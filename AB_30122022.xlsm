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Май 2023\Аудиторы\"/>
    </mc:Choice>
  </mc:AlternateContent>
  <bookViews>
    <workbookView xWindow="-120" yWindow="-120" windowWidth="15480" windowHeight="6240" firstSheet="1" activeTab="1"/>
  </bookViews>
  <sheets>
    <sheet name="Лист1" sheetId="1" state="hidden" r:id="rId1"/>
    <sheet name="Параметры ноты" sheetId="3" r:id="rId2"/>
    <sheet name="Модель" sheetId="4" r:id="rId3"/>
    <sheet name="Ставки" sheetId="8" r:id="rId4"/>
    <sheet name="Предпосылки" sheetId="11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5" i="11" l="1"/>
  <c r="R14" i="11"/>
  <c r="R13" i="11"/>
  <c r="T15" i="11" l="1"/>
  <c r="S15" i="11"/>
  <c r="S14" i="11"/>
  <c r="Q15" i="11"/>
  <c r="Q14" i="11"/>
  <c r="Q13" i="11"/>
  <c r="Q12" i="11"/>
  <c r="AD18" i="4"/>
  <c r="U14" i="11"/>
  <c r="AA3" i="11"/>
  <c r="Z3" i="11"/>
  <c r="Y3" i="11"/>
  <c r="X3" i="11"/>
  <c r="W3" i="11"/>
  <c r="K4" i="11"/>
  <c r="K3" i="11"/>
  <c r="B27" i="4"/>
  <c r="AD19" i="4" l="1"/>
  <c r="Z19" i="4"/>
  <c r="Z18" i="4"/>
  <c r="V19" i="4"/>
  <c r="V18" i="4"/>
  <c r="R19" i="4"/>
  <c r="R18" i="4"/>
  <c r="N19" i="4" l="1"/>
  <c r="N18" i="4"/>
  <c r="J19" i="4"/>
  <c r="J18" i="4"/>
  <c r="F19" i="4"/>
  <c r="F18" i="4"/>
  <c r="D3" i="4" l="1" a="1"/>
  <c r="D3" i="4" s="1"/>
  <c r="F3" i="4"/>
  <c r="G3" i="4"/>
  <c r="J3" i="4"/>
  <c r="K3" i="4"/>
  <c r="N3" i="4"/>
  <c r="O3" i="4"/>
  <c r="R3" i="4"/>
  <c r="S3" i="4"/>
  <c r="V3" i="4"/>
  <c r="W3" i="4"/>
  <c r="Z3" i="4"/>
  <c r="AA3" i="4"/>
  <c r="AD3" i="4"/>
  <c r="C8" i="4"/>
  <c r="C16" i="4" s="1"/>
  <c r="A16" i="4"/>
  <c r="A8" i="4"/>
  <c r="AN66" i="3" a="1"/>
  <c r="AO66" i="3" s="1"/>
  <c r="AU66" i="3" a="1"/>
  <c r="AU66" i="3" s="1"/>
  <c r="AU61" i="3" a="1"/>
  <c r="AV61" i="3" s="1"/>
  <c r="AU61" i="3"/>
  <c r="AX61" i="3"/>
  <c r="AY61" i="3"/>
  <c r="AU60" i="3" a="1"/>
  <c r="AX60" i="3" s="1"/>
  <c r="AD66" i="3" a="1"/>
  <c r="AE66" i="3" s="1"/>
  <c r="Q68" i="3"/>
  <c r="R68" i="3"/>
  <c r="Q69" i="3"/>
  <c r="R69" i="3"/>
  <c r="Q70" i="3"/>
  <c r="R70" i="3"/>
  <c r="Q71" i="3"/>
  <c r="R71" i="3"/>
  <c r="Q72" i="3"/>
  <c r="R72" i="3"/>
  <c r="Q73" i="3"/>
  <c r="R73" i="3"/>
  <c r="Q74" i="3"/>
  <c r="R74" i="3"/>
  <c r="Q75" i="3"/>
  <c r="R75" i="3"/>
  <c r="Q76" i="3"/>
  <c r="R76" i="3"/>
  <c r="Q77" i="3"/>
  <c r="R77" i="3"/>
  <c r="Q78" i="3"/>
  <c r="R78" i="3"/>
  <c r="Q79" i="3"/>
  <c r="R79" i="3"/>
  <c r="Q80" i="3"/>
  <c r="R80" i="3"/>
  <c r="Q81" i="3"/>
  <c r="R81" i="3"/>
  <c r="Q82" i="3"/>
  <c r="R82" i="3"/>
  <c r="Q83" i="3"/>
  <c r="R83" i="3"/>
  <c r="Q84" i="3"/>
  <c r="R84" i="3"/>
  <c r="Q85" i="3"/>
  <c r="R85" i="3"/>
  <c r="Q86" i="3"/>
  <c r="R86" i="3"/>
  <c r="Q87" i="3"/>
  <c r="R87" i="3"/>
  <c r="Q88" i="3"/>
  <c r="R88" i="3"/>
  <c r="Q89" i="3"/>
  <c r="R89" i="3"/>
  <c r="Q90" i="3"/>
  <c r="R90" i="3"/>
  <c r="Q91" i="3"/>
  <c r="R91" i="3"/>
  <c r="Q92" i="3"/>
  <c r="R92" i="3"/>
  <c r="R67" i="3"/>
  <c r="N66" i="3" a="1"/>
  <c r="N66" i="3" s="1"/>
  <c r="O38" i="3" a="1"/>
  <c r="O38" i="3" s="1"/>
  <c r="O20" i="3" a="1"/>
  <c r="P20" i="3" s="1"/>
  <c r="O20" i="3"/>
  <c r="R20" i="3"/>
  <c r="B24" i="3"/>
  <c r="L15" i="8"/>
  <c r="K15" i="8"/>
  <c r="L14" i="8" s="1"/>
  <c r="J15" i="8"/>
  <c r="K14" i="8" s="1"/>
  <c r="I15" i="8"/>
  <c r="J14" i="8" s="1"/>
  <c r="H15" i="8"/>
  <c r="G15" i="8"/>
  <c r="H14" i="8" s="1"/>
  <c r="F15" i="8"/>
  <c r="G14" i="8" s="1"/>
  <c r="E15" i="8"/>
  <c r="F14" i="8" s="1"/>
  <c r="D15" i="8"/>
  <c r="C15" i="8"/>
  <c r="D14" i="8" s="1"/>
  <c r="B15" i="8"/>
  <c r="C14" i="8" s="1"/>
  <c r="M14" i="8"/>
  <c r="I14" i="8"/>
  <c r="E14" i="8"/>
  <c r="AV66" i="3" l="1"/>
  <c r="AW66" i="3"/>
  <c r="AX66" i="3"/>
  <c r="S20" i="3"/>
  <c r="AY60" i="3"/>
  <c r="AQ66" i="3"/>
  <c r="AR66" i="3"/>
  <c r="AU60" i="3"/>
  <c r="AP66" i="3"/>
  <c r="AN66" i="3"/>
  <c r="AC3" i="4"/>
  <c r="Y3" i="4"/>
  <c r="U3" i="4"/>
  <c r="Q3" i="4"/>
  <c r="M3" i="4"/>
  <c r="I3" i="4"/>
  <c r="E3" i="4"/>
  <c r="AB3" i="4"/>
  <c r="X3" i="4"/>
  <c r="T3" i="4"/>
  <c r="P3" i="4"/>
  <c r="L3" i="4"/>
  <c r="H3" i="4"/>
  <c r="AY66" i="3"/>
  <c r="AW61" i="3"/>
  <c r="AW60" i="3"/>
  <c r="AV60" i="3"/>
  <c r="AH66" i="3"/>
  <c r="AD66" i="3"/>
  <c r="AG66" i="3"/>
  <c r="AF66" i="3"/>
  <c r="P66" i="3"/>
  <c r="O66" i="3"/>
  <c r="Q66" i="3"/>
  <c r="R66" i="3"/>
  <c r="R38" i="3"/>
  <c r="Q38" i="3"/>
  <c r="P38" i="3"/>
  <c r="S38" i="3"/>
  <c r="Q20" i="3"/>
  <c r="J39" i="11" l="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" i="11"/>
  <c r="M4" i="11"/>
  <c r="M5" i="11"/>
  <c r="S24" i="3" s="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3" i="11"/>
  <c r="O25" i="3" l="1"/>
  <c r="O23" i="3"/>
  <c r="O24" i="3"/>
  <c r="O22" i="3"/>
  <c r="P25" i="3"/>
  <c r="D24" i="3"/>
  <c r="U11" i="11"/>
  <c r="S21" i="3" s="1"/>
  <c r="U15" i="11"/>
  <c r="S25" i="3" s="1"/>
  <c r="R25" i="3"/>
  <c r="P24" i="3"/>
  <c r="Q25" i="3"/>
  <c r="Q24" i="3"/>
  <c r="P23" i="3"/>
  <c r="U12" i="11"/>
  <c r="S22" i="3" s="1"/>
  <c r="U13" i="11"/>
  <c r="S23" i="3" s="1"/>
  <c r="Q11" i="11"/>
  <c r="O21" i="3" s="1"/>
  <c r="AR69" i="3" l="1"/>
  <c r="AR73" i="3"/>
  <c r="AR77" i="3"/>
  <c r="AR81" i="3"/>
  <c r="AR85" i="3"/>
  <c r="AR89" i="3"/>
  <c r="AR67" i="3"/>
  <c r="AR74" i="3"/>
  <c r="AR78" i="3"/>
  <c r="AR86" i="3"/>
  <c r="AR70" i="3"/>
  <c r="AR82" i="3"/>
  <c r="AR90" i="3"/>
  <c r="AR71" i="3"/>
  <c r="AR75" i="3"/>
  <c r="AR79" i="3"/>
  <c r="AR83" i="3"/>
  <c r="AR87" i="3"/>
  <c r="AR91" i="3"/>
  <c r="AR68" i="3"/>
  <c r="AR72" i="3"/>
  <c r="AR76" i="3"/>
  <c r="AR80" i="3"/>
  <c r="AR84" i="3"/>
  <c r="AR88" i="3"/>
  <c r="AR92" i="3"/>
  <c r="A5" i="8"/>
  <c r="J8" i="8"/>
  <c r="I8" i="8"/>
  <c r="H8" i="8"/>
  <c r="G8" i="8"/>
  <c r="F8" i="8"/>
  <c r="G7" i="8" s="1"/>
  <c r="E8" i="8"/>
  <c r="C8" i="8"/>
  <c r="J7" i="8"/>
  <c r="I7" i="8"/>
  <c r="H7" i="8"/>
  <c r="F7" i="8"/>
  <c r="E7" i="8"/>
  <c r="D7" i="8"/>
  <c r="C7" i="8"/>
  <c r="F6" i="8"/>
  <c r="E6" i="8"/>
  <c r="D6" i="8"/>
  <c r="C6" i="8"/>
  <c r="B6" i="8"/>
  <c r="A13" i="4" l="1"/>
  <c r="A14" i="4"/>
  <c r="A15" i="4"/>
  <c r="A12" i="4"/>
  <c r="A5" i="4"/>
  <c r="A6" i="4"/>
  <c r="A7" i="4"/>
  <c r="A4" i="4"/>
  <c r="B41" i="3" l="1"/>
  <c r="D21" i="3"/>
  <c r="D22" i="3"/>
  <c r="D23" i="3"/>
  <c r="AQ67" i="3" s="1"/>
  <c r="D20" i="3"/>
  <c r="M39" i="11"/>
  <c r="L39" i="11"/>
  <c r="K39" i="11"/>
  <c r="B10" i="3"/>
  <c r="AU62" i="3" l="1" a="1"/>
  <c r="AP67" i="3"/>
  <c r="AV62" i="3" l="1"/>
  <c r="AX62" i="3"/>
  <c r="AU62" i="3"/>
  <c r="AY62" i="3"/>
  <c r="AW62" i="3"/>
  <c r="S12" i="11"/>
  <c r="Q22" i="3" s="1"/>
  <c r="T12" i="11"/>
  <c r="R22" i="3" s="1"/>
  <c r="R12" i="11"/>
  <c r="P22" i="3" s="1"/>
  <c r="S13" i="11"/>
  <c r="Q23" i="3" s="1"/>
  <c r="T13" i="11"/>
  <c r="R23" i="3" s="1"/>
  <c r="T14" i="11"/>
  <c r="R24" i="3" s="1"/>
  <c r="S11" i="11" l="1"/>
  <c r="Q21" i="3" s="1"/>
  <c r="T11" i="11"/>
  <c r="R21" i="3" s="1"/>
  <c r="R11" i="11"/>
  <c r="P21" i="3" s="1"/>
  <c r="O39" i="3" a="1"/>
  <c r="O40" i="3" l="1"/>
  <c r="P43" i="3"/>
  <c r="S41" i="3"/>
  <c r="Q40" i="3"/>
  <c r="R43" i="3"/>
  <c r="Q41" i="3"/>
  <c r="S40" i="3"/>
  <c r="Q39" i="3"/>
  <c r="R42" i="3"/>
  <c r="P41" i="3"/>
  <c r="O39" i="3"/>
  <c r="P42" i="3"/>
  <c r="R41" i="3"/>
  <c r="P40" i="3"/>
  <c r="Q43" i="3"/>
  <c r="O42" i="3"/>
  <c r="S39" i="3"/>
  <c r="O43" i="3"/>
  <c r="P39" i="3"/>
  <c r="Q42" i="3"/>
  <c r="O41" i="3"/>
  <c r="R39" i="3"/>
  <c r="S42" i="3"/>
  <c r="R40" i="3"/>
  <c r="S43" i="3"/>
  <c r="AM89" i="3"/>
  <c r="AM90" i="3"/>
  <c r="AM91" i="3"/>
  <c r="AM92" i="3"/>
  <c r="AM88" i="3"/>
  <c r="AM81" i="3"/>
  <c r="AM82" i="3"/>
  <c r="AM83" i="3"/>
  <c r="AM84" i="3"/>
  <c r="AM85" i="3"/>
  <c r="AM86" i="3"/>
  <c r="AM87" i="3"/>
  <c r="AP92" i="3" l="1"/>
  <c r="AN92" i="3"/>
  <c r="AQ92" i="3"/>
  <c r="AO92" i="3"/>
  <c r="AQ91" i="3"/>
  <c r="AO91" i="3"/>
  <c r="AP91" i="3"/>
  <c r="AN91" i="3"/>
  <c r="AP90" i="3"/>
  <c r="AQ90" i="3"/>
  <c r="AN90" i="3"/>
  <c r="AO90" i="3"/>
  <c r="AQ89" i="3"/>
  <c r="AO89" i="3"/>
  <c r="AN89" i="3"/>
  <c r="AP89" i="3"/>
  <c r="AP88" i="3"/>
  <c r="AO88" i="3"/>
  <c r="AN88" i="3"/>
  <c r="AQ88" i="3"/>
  <c r="AQ87" i="3"/>
  <c r="AO87" i="3"/>
  <c r="AP87" i="3"/>
  <c r="AN87" i="3"/>
  <c r="AP86" i="3"/>
  <c r="AQ86" i="3"/>
  <c r="AO86" i="3"/>
  <c r="AN86" i="3"/>
  <c r="AP85" i="3"/>
  <c r="AN85" i="3"/>
  <c r="AQ85" i="3"/>
  <c r="AO85" i="3"/>
  <c r="AP84" i="3"/>
  <c r="AO84" i="3"/>
  <c r="AN84" i="3"/>
  <c r="AQ84" i="3"/>
  <c r="AQ83" i="3"/>
  <c r="AO83" i="3"/>
  <c r="AP83" i="3"/>
  <c r="AN83" i="3"/>
  <c r="AP82" i="3"/>
  <c r="AN82" i="3"/>
  <c r="AO82" i="3"/>
  <c r="AQ82" i="3"/>
  <c r="AQ81" i="3"/>
  <c r="AO81" i="3"/>
  <c r="AN81" i="3"/>
  <c r="AP81" i="3"/>
  <c r="AM68" i="3"/>
  <c r="AQ68" i="3" s="1"/>
  <c r="AM69" i="3"/>
  <c r="AQ69" i="3" s="1"/>
  <c r="AM70" i="3"/>
  <c r="AM71" i="3"/>
  <c r="AM78" i="3"/>
  <c r="AM79" i="3"/>
  <c r="AM80" i="3"/>
  <c r="AM67" i="3"/>
  <c r="AP80" i="3" l="1"/>
  <c r="AN80" i="3"/>
  <c r="AO80" i="3"/>
  <c r="AQ80" i="3"/>
  <c r="AQ79" i="3"/>
  <c r="AO79" i="3"/>
  <c r="AP79" i="3"/>
  <c r="AN79" i="3"/>
  <c r="AQ78" i="3"/>
  <c r="AP78" i="3"/>
  <c r="AO78" i="3"/>
  <c r="AN78" i="3"/>
  <c r="AQ71" i="3"/>
  <c r="AP71" i="3"/>
  <c r="AO71" i="3"/>
  <c r="AN71" i="3"/>
  <c r="AN70" i="3"/>
  <c r="AP70" i="3"/>
  <c r="AQ70" i="3"/>
  <c r="AO70" i="3"/>
  <c r="AP69" i="3"/>
  <c r="AN69" i="3"/>
  <c r="AO69" i="3"/>
  <c r="AN68" i="3"/>
  <c r="AO68" i="3"/>
  <c r="AP68" i="3"/>
  <c r="AN67" i="3"/>
  <c r="AO67" i="3"/>
  <c r="P68" i="3" l="1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O67" i="3"/>
  <c r="P67" i="3"/>
  <c r="Q67" i="3"/>
  <c r="N67" i="3"/>
  <c r="AD67" i="3" l="1" a="1"/>
  <c r="AE67" i="3" s="1"/>
  <c r="AH67" i="3" l="1"/>
  <c r="AE69" i="3"/>
  <c r="AD67" i="3"/>
  <c r="AU67" i="3" s="1"/>
  <c r="AD69" i="3"/>
  <c r="AF88" i="3"/>
  <c r="AG80" i="3"/>
  <c r="AH87" i="3"/>
  <c r="AH79" i="3"/>
  <c r="AG87" i="3"/>
  <c r="AH91" i="3"/>
  <c r="AD75" i="3"/>
  <c r="AH78" i="3"/>
  <c r="AF72" i="3"/>
  <c r="AE88" i="3"/>
  <c r="AH81" i="3"/>
  <c r="AH88" i="3"/>
  <c r="AF82" i="3"/>
  <c r="AE79" i="3"/>
  <c r="AH72" i="3"/>
  <c r="AF77" i="3"/>
  <c r="AE86" i="3"/>
  <c r="AF92" i="3"/>
  <c r="AH75" i="3"/>
  <c r="AH83" i="3"/>
  <c r="AE81" i="3"/>
  <c r="AH74" i="3"/>
  <c r="AF68" i="3"/>
  <c r="AF87" i="3"/>
  <c r="AD81" i="3"/>
  <c r="AG74" i="3"/>
  <c r="AE68" i="3"/>
  <c r="AD88" i="3"/>
  <c r="AH84" i="3"/>
  <c r="AG81" i="3"/>
  <c r="AF78" i="3"/>
  <c r="AE75" i="3"/>
  <c r="AH68" i="3"/>
  <c r="AG91" i="3"/>
  <c r="AE85" i="3"/>
  <c r="AE74" i="3"/>
  <c r="AD91" i="3"/>
  <c r="AG84" i="3"/>
  <c r="AF73" i="3"/>
  <c r="AH90" i="3"/>
  <c r="AF84" i="3"/>
  <c r="AG72" i="3"/>
  <c r="AG88" i="3"/>
  <c r="AF81" i="3"/>
  <c r="AG68" i="3"/>
  <c r="AF80" i="3"/>
  <c r="AE77" i="3"/>
  <c r="AD74" i="3"/>
  <c r="AH70" i="3"/>
  <c r="AG67" i="3"/>
  <c r="AH89" i="3"/>
  <c r="AG86" i="3"/>
  <c r="AF83" i="3"/>
  <c r="AE80" i="3"/>
  <c r="AD77" i="3"/>
  <c r="AH73" i="3"/>
  <c r="AG70" i="3"/>
  <c r="AF67" i="3"/>
  <c r="AW67" i="3" s="1"/>
  <c r="AF90" i="3"/>
  <c r="AE87" i="3"/>
  <c r="AD84" i="3"/>
  <c r="AH80" i="3"/>
  <c r="AG77" i="3"/>
  <c r="AF74" i="3"/>
  <c r="AE71" i="3"/>
  <c r="AD68" i="3"/>
  <c r="AD79" i="3"/>
  <c r="AF85" i="3"/>
  <c r="AD82" i="3"/>
  <c r="AG75" i="3"/>
  <c r="AF91" i="3"/>
  <c r="AD85" i="3"/>
  <c r="AG78" i="3"/>
  <c r="AF75" i="3"/>
  <c r="AE72" i="3"/>
  <c r="AD92" i="3"/>
  <c r="AG85" i="3"/>
  <c r="AD76" i="3"/>
  <c r="AG69" i="3"/>
  <c r="AH86" i="3"/>
  <c r="AG92" i="3"/>
  <c r="AG76" i="3"/>
  <c r="AD86" i="3"/>
  <c r="AE90" i="3"/>
  <c r="AH71" i="3"/>
  <c r="AD78" i="3"/>
  <c r="AG71" i="3"/>
  <c r="AG90" i="3"/>
  <c r="AE84" i="3"/>
  <c r="AH77" i="3"/>
  <c r="AF71" i="3"/>
  <c r="AE91" i="3"/>
  <c r="AD72" i="3"/>
  <c r="AD90" i="3"/>
  <c r="AG83" i="3"/>
  <c r="AD71" i="3"/>
  <c r="AF89" i="3"/>
  <c r="AD83" i="3"/>
  <c r="AE70" i="3"/>
  <c r="AE89" i="3"/>
  <c r="AE82" i="3"/>
  <c r="AF69" i="3"/>
  <c r="AD87" i="3"/>
  <c r="AE78" i="3"/>
  <c r="AH82" i="3"/>
  <c r="AG79" i="3"/>
  <c r="AF76" i="3"/>
  <c r="AE73" i="3"/>
  <c r="AD70" i="3"/>
  <c r="AE92" i="3"/>
  <c r="AD89" i="3"/>
  <c r="AH85" i="3"/>
  <c r="AG82" i="3"/>
  <c r="AF79" i="3"/>
  <c r="AE76" i="3"/>
  <c r="AD73" i="3"/>
  <c r="AH69" i="3"/>
  <c r="AH92" i="3"/>
  <c r="AG89" i="3"/>
  <c r="AF86" i="3"/>
  <c r="AE83" i="3"/>
  <c r="AD80" i="3"/>
  <c r="AH76" i="3"/>
  <c r="AG73" i="3"/>
  <c r="AF70" i="3"/>
  <c r="AV67" i="3"/>
  <c r="C7" i="4"/>
  <c r="C15" i="4" s="1"/>
  <c r="C4" i="4"/>
  <c r="AY67" i="3" l="1"/>
  <c r="AW68" i="3"/>
  <c r="AW69" i="3" s="1"/>
  <c r="AW70" i="3" s="1"/>
  <c r="AW71" i="3" s="1"/>
  <c r="AX67" i="3"/>
  <c r="AX68" i="3" s="1"/>
  <c r="AX69" i="3" s="1"/>
  <c r="AX70" i="3" s="1"/>
  <c r="AU68" i="3"/>
  <c r="AU69" i="3" s="1"/>
  <c r="AU70" i="3" s="1"/>
  <c r="AU71" i="3" s="1"/>
  <c r="AV68" i="3"/>
  <c r="AV69" i="3" s="1"/>
  <c r="AY68" i="3" l="1"/>
  <c r="AX71" i="3"/>
  <c r="B24" i="4"/>
  <c r="AV70" i="3" l="1"/>
  <c r="AV71" i="3" s="1"/>
  <c r="AV72" i="3" s="1"/>
  <c r="AY69" i="3"/>
  <c r="AY70" i="3" s="1"/>
  <c r="C5" i="4"/>
  <c r="C6" i="4"/>
  <c r="C14" i="4" s="1"/>
  <c r="C12" i="4"/>
  <c r="C3" i="4"/>
  <c r="C13" i="4" l="1"/>
  <c r="AY71" i="3" l="1"/>
  <c r="AY72" i="3" s="1"/>
  <c r="AY73" i="3" s="1"/>
  <c r="AY74" i="3" s="1"/>
  <c r="AY75" i="3" s="1"/>
  <c r="AY76" i="3" s="1"/>
  <c r="AY77" i="3" s="1"/>
  <c r="AY78" i="3" s="1"/>
  <c r="AY79" i="3" s="1"/>
  <c r="AY80" i="3" s="1"/>
  <c r="AY81" i="3" s="1"/>
  <c r="AY82" i="3" s="1"/>
  <c r="AY83" i="3" s="1"/>
  <c r="AY84" i="3" s="1"/>
  <c r="AY85" i="3" s="1"/>
  <c r="AY86" i="3" s="1"/>
  <c r="AY87" i="3" s="1"/>
  <c r="AY88" i="3" s="1"/>
  <c r="AY89" i="3" s="1"/>
  <c r="AY90" i="3" s="1"/>
  <c r="AY91" i="3" s="1"/>
  <c r="AY92" i="3" s="1"/>
  <c r="AM72" i="3"/>
  <c r="AM73" i="3"/>
  <c r="AM74" i="3"/>
  <c r="B21" i="3"/>
  <c r="B22" i="3"/>
  <c r="B23" i="3"/>
  <c r="B20" i="3"/>
  <c r="AQ73" i="3" l="1"/>
  <c r="AO73" i="3"/>
  <c r="AP73" i="3"/>
  <c r="AN73" i="3"/>
  <c r="AO72" i="3"/>
  <c r="AP72" i="3"/>
  <c r="AW72" i="3" s="1"/>
  <c r="AN72" i="3"/>
  <c r="AU72" i="3" s="1"/>
  <c r="AQ72" i="3"/>
  <c r="AX72" i="3" s="1"/>
  <c r="AN74" i="3"/>
  <c r="AO74" i="3"/>
  <c r="AQ74" i="3"/>
  <c r="AP74" i="3"/>
  <c r="AM75" i="3"/>
  <c r="J7" i="1"/>
  <c r="AX73" i="3" l="1"/>
  <c r="AU73" i="3"/>
  <c r="AW73" i="3"/>
  <c r="AV73" i="3"/>
  <c r="AQ75" i="3"/>
  <c r="AO75" i="3"/>
  <c r="AP75" i="3"/>
  <c r="AN75" i="3"/>
  <c r="X45" i="1"/>
  <c r="X20" i="1"/>
  <c r="Z45" i="1"/>
  <c r="Z32" i="1"/>
  <c r="Z20" i="1"/>
  <c r="I17" i="1"/>
  <c r="I16" i="1"/>
  <c r="K5" i="1"/>
  <c r="L5" i="1" s="1"/>
  <c r="F6" i="1"/>
  <c r="J4" i="1" s="1"/>
  <c r="AV74" i="3" l="1"/>
  <c r="AU74" i="3"/>
  <c r="AW74" i="3"/>
  <c r="AX74" i="3"/>
  <c r="AM76" i="3"/>
  <c r="AM77" i="3"/>
  <c r="X4" i="1"/>
  <c r="J17" i="1"/>
  <c r="AX75" i="3" l="1"/>
  <c r="AU75" i="3"/>
  <c r="AW75" i="3"/>
  <c r="AV75" i="3"/>
  <c r="AO77" i="3"/>
  <c r="AN77" i="3"/>
  <c r="AQ77" i="3"/>
  <c r="AP77" i="3"/>
  <c r="AQ76" i="3"/>
  <c r="AO76" i="3"/>
  <c r="AP76" i="3"/>
  <c r="AN76" i="3"/>
  <c r="AV76" i="3" l="1"/>
  <c r="AU76" i="3"/>
  <c r="AW76" i="3"/>
  <c r="AX76" i="3"/>
  <c r="AX77" i="3" l="1"/>
  <c r="AU77" i="3"/>
  <c r="AW77" i="3"/>
  <c r="AV77" i="3"/>
  <c r="AV78" i="3" l="1"/>
  <c r="AU78" i="3"/>
  <c r="AW78" i="3"/>
  <c r="AX78" i="3"/>
  <c r="AX79" i="3" l="1"/>
  <c r="AU79" i="3"/>
  <c r="AW79" i="3"/>
  <c r="AV79" i="3"/>
  <c r="AV80" i="3" l="1"/>
  <c r="AU80" i="3"/>
  <c r="AW80" i="3"/>
  <c r="AX80" i="3"/>
  <c r="AX81" i="3" l="1"/>
  <c r="AU81" i="3"/>
  <c r="AW81" i="3"/>
  <c r="AV81" i="3"/>
  <c r="AV82" i="3" l="1"/>
  <c r="AU82" i="3"/>
  <c r="AW82" i="3"/>
  <c r="AX82" i="3"/>
  <c r="AX83" i="3" l="1"/>
  <c r="AU83" i="3"/>
  <c r="AW83" i="3"/>
  <c r="AV83" i="3"/>
  <c r="AV84" i="3" l="1"/>
  <c r="AU84" i="3"/>
  <c r="AW84" i="3"/>
  <c r="AX84" i="3"/>
  <c r="AX85" i="3" l="1"/>
  <c r="AU85" i="3"/>
  <c r="AW85" i="3"/>
  <c r="AV85" i="3"/>
  <c r="AV86" i="3" l="1"/>
  <c r="AU86" i="3"/>
  <c r="AW86" i="3"/>
  <c r="AX86" i="3"/>
  <c r="AX87" i="3" l="1"/>
  <c r="AU87" i="3"/>
  <c r="AW87" i="3"/>
  <c r="AV87" i="3"/>
  <c r="AV88" i="3" l="1"/>
  <c r="AU88" i="3"/>
  <c r="AW88" i="3"/>
  <c r="AX88" i="3"/>
  <c r="AX89" i="3" l="1"/>
  <c r="AU89" i="3"/>
  <c r="AW89" i="3"/>
  <c r="AV89" i="3"/>
  <c r="AV90" i="3" l="1"/>
  <c r="AU90" i="3"/>
  <c r="AW90" i="3"/>
  <c r="AX90" i="3"/>
  <c r="AX91" i="3" l="1"/>
  <c r="AU91" i="3"/>
  <c r="AW91" i="3"/>
  <c r="AV91" i="3"/>
  <c r="AV92" i="3" l="1"/>
  <c r="AU92" i="3"/>
  <c r="AW92" i="3"/>
  <c r="AX92" i="3"/>
  <c r="D4" i="4" l="1" a="1"/>
  <c r="X8" i="4" s="1"/>
  <c r="X16" i="4" s="1"/>
  <c r="AB4" i="4" l="1"/>
  <c r="AD7" i="4"/>
  <c r="AD15" i="4" s="1"/>
  <c r="AA4" i="4"/>
  <c r="P6" i="4"/>
  <c r="AD6" i="4"/>
  <c r="AD14" i="4" s="1"/>
  <c r="T7" i="4"/>
  <c r="T15" i="4" s="1"/>
  <c r="T8" i="4"/>
  <c r="T16" i="4" s="1"/>
  <c r="X4" i="4"/>
  <c r="X12" i="4" s="1"/>
  <c r="Y6" i="4"/>
  <c r="Y14" i="4" s="1"/>
  <c r="G4" i="4"/>
  <c r="S5" i="4"/>
  <c r="S13" i="4" s="1"/>
  <c r="Y5" i="4"/>
  <c r="Y13" i="4" s="1"/>
  <c r="S6" i="4"/>
  <c r="S14" i="4" s="1"/>
  <c r="O7" i="4"/>
  <c r="L4" i="4"/>
  <c r="X5" i="4"/>
  <c r="X13" i="4" s="1"/>
  <c r="AC7" i="4"/>
  <c r="Z4" i="4"/>
  <c r="Z12" i="4" s="1"/>
  <c r="Z7" i="4"/>
  <c r="Z15" i="4" s="1"/>
  <c r="N5" i="4"/>
  <c r="N13" i="4" s="1"/>
  <c r="V6" i="4"/>
  <c r="V14" i="4" s="1"/>
  <c r="D4" i="4"/>
  <c r="D5" i="4"/>
  <c r="I7" i="4"/>
  <c r="F4" i="4"/>
  <c r="F12" i="4" s="1"/>
  <c r="Q8" i="4"/>
  <c r="Q16" i="4" s="1"/>
  <c r="M4" i="4"/>
  <c r="W7" i="4"/>
  <c r="W15" i="4" s="1"/>
  <c r="M5" i="4"/>
  <c r="P4" i="4"/>
  <c r="K8" i="4"/>
  <c r="K16" i="4" s="1"/>
  <c r="AC6" i="4"/>
  <c r="E6" i="4"/>
  <c r="H5" i="4"/>
  <c r="O4" i="4"/>
  <c r="N8" i="4"/>
  <c r="N16" i="4" s="1"/>
  <c r="M7" i="4"/>
  <c r="T6" i="4"/>
  <c r="T14" i="4" s="1"/>
  <c r="AA5" i="4"/>
  <c r="AD4" i="4"/>
  <c r="AD12" i="4" s="1"/>
  <c r="J4" i="4"/>
  <c r="J12" i="4" s="1"/>
  <c r="S7" i="4"/>
  <c r="S15" i="4" s="1"/>
  <c r="AC5" i="4"/>
  <c r="O8" i="4"/>
  <c r="O16" i="4" s="1"/>
  <c r="AC8" i="4"/>
  <c r="AC16" i="4" s="1"/>
  <c r="X7" i="4"/>
  <c r="X15" i="4" s="1"/>
  <c r="W6" i="4"/>
  <c r="W14" i="4" s="1"/>
  <c r="Z5" i="4"/>
  <c r="Z13" i="4" s="1"/>
  <c r="U4" i="4"/>
  <c r="U12" i="4" s="1"/>
  <c r="V7" i="4"/>
  <c r="V15" i="4" s="1"/>
  <c r="M6" i="4"/>
  <c r="T5" i="4"/>
  <c r="T13" i="4" s="1"/>
  <c r="V8" i="4"/>
  <c r="V16" i="4" s="1"/>
  <c r="Y7" i="4"/>
  <c r="Y15" i="4" s="1"/>
  <c r="E7" i="4"/>
  <c r="H6" i="4"/>
  <c r="O5" i="4"/>
  <c r="V4" i="4"/>
  <c r="V12" i="4" s="1"/>
  <c r="P8" i="4"/>
  <c r="P16" i="4" s="1"/>
  <c r="R6" i="4"/>
  <c r="R14" i="4" s="1"/>
  <c r="Q5" i="4"/>
  <c r="J7" i="4"/>
  <c r="J15" i="4" s="1"/>
  <c r="M8" i="4"/>
  <c r="M16" i="4" s="1"/>
  <c r="L7" i="4"/>
  <c r="G6" i="4"/>
  <c r="J5" i="4"/>
  <c r="J13" i="4" s="1"/>
  <c r="I4" i="4"/>
  <c r="D8" i="4"/>
  <c r="D16" i="4" s="1"/>
  <c r="U5" i="4"/>
  <c r="U13" i="4" s="1"/>
  <c r="T4" i="4"/>
  <c r="T12" i="4" s="1"/>
  <c r="AA8" i="4"/>
  <c r="AA16" i="4" s="1"/>
  <c r="F7" i="4"/>
  <c r="F15" i="4" s="1"/>
  <c r="I6" i="4"/>
  <c r="P5" i="4"/>
  <c r="S4" i="4"/>
  <c r="S12" i="4" s="1"/>
  <c r="R8" i="4"/>
  <c r="R16" i="4" s="1"/>
  <c r="U7" i="4"/>
  <c r="U15" i="4" s="1"/>
  <c r="X6" i="4"/>
  <c r="X14" i="4" s="1"/>
  <c r="D6" i="4"/>
  <c r="K5" i="4"/>
  <c r="N4" i="4"/>
  <c r="N12" i="4" s="1"/>
  <c r="H8" i="4"/>
  <c r="H16" i="4" s="1"/>
  <c r="N6" i="4"/>
  <c r="N14" i="4" s="1"/>
  <c r="W8" i="4"/>
  <c r="W16" i="4" s="1"/>
  <c r="K4" i="4"/>
  <c r="I8" i="4"/>
  <c r="I16" i="4" s="1"/>
  <c r="D7" i="4"/>
  <c r="D15" i="4" s="1"/>
  <c r="AD5" i="4"/>
  <c r="AD13" i="4" s="1"/>
  <c r="AC4" i="4"/>
  <c r="L8" i="4"/>
  <c r="L16" i="4" s="1"/>
  <c r="G7" i="4"/>
  <c r="E5" i="4"/>
  <c r="S8" i="4"/>
  <c r="S16" i="4" s="1"/>
  <c r="N7" i="4"/>
  <c r="N15" i="4" s="1"/>
  <c r="Q6" i="4"/>
  <c r="AB5" i="4"/>
  <c r="L5" i="4"/>
  <c r="W4" i="4"/>
  <c r="W12" i="4" s="1"/>
  <c r="AD8" i="4"/>
  <c r="AD16" i="4" s="1"/>
  <c r="F8" i="4"/>
  <c r="F16" i="4" s="1"/>
  <c r="Q7" i="4"/>
  <c r="AB6" i="4"/>
  <c r="L6" i="4"/>
  <c r="W5" i="4"/>
  <c r="W13" i="4" s="1"/>
  <c r="G5" i="4"/>
  <c r="R4" i="4"/>
  <c r="R12" i="4" s="1"/>
  <c r="AB8" i="4"/>
  <c r="AB16" i="4" s="1"/>
  <c r="K7" i="4"/>
  <c r="J6" i="4"/>
  <c r="J14" i="4" s="1"/>
  <c r="H4" i="4"/>
  <c r="R7" i="4"/>
  <c r="R15" i="4" s="1"/>
  <c r="Y8" i="4"/>
  <c r="Y16" i="4" s="1"/>
  <c r="AB7" i="4"/>
  <c r="H7" i="4"/>
  <c r="O6" i="4"/>
  <c r="R5" i="4"/>
  <c r="R13" i="4" s="1"/>
  <c r="Y4" i="4"/>
  <c r="Y12" i="4" s="1"/>
  <c r="E4" i="4"/>
  <c r="Z8" i="4"/>
  <c r="Z16" i="4" s="1"/>
  <c r="J8" i="4"/>
  <c r="J16" i="4" s="1"/>
  <c r="AA7" i="4"/>
  <c r="Z6" i="4"/>
  <c r="Z14" i="4" s="1"/>
  <c r="F6" i="4"/>
  <c r="F14" i="4" s="1"/>
  <c r="I5" i="4"/>
  <c r="G8" i="4"/>
  <c r="G16" i="4" s="1"/>
  <c r="U6" i="4"/>
  <c r="U14" i="4" s="1"/>
  <c r="U8" i="4"/>
  <c r="U16" i="4" s="1"/>
  <c r="E8" i="4"/>
  <c r="E16" i="4" s="1"/>
  <c r="P7" i="4"/>
  <c r="AA6" i="4"/>
  <c r="K6" i="4"/>
  <c r="V5" i="4"/>
  <c r="V13" i="4" s="1"/>
  <c r="F5" i="4"/>
  <c r="F13" i="4" s="1"/>
  <c r="Q4" i="4"/>
  <c r="G12" i="4" l="1"/>
  <c r="E12" i="4"/>
  <c r="D12" i="4"/>
  <c r="I12" i="4"/>
  <c r="H12" i="4"/>
  <c r="G13" i="4"/>
  <c r="E13" i="4"/>
  <c r="D13" i="4"/>
  <c r="I13" i="4"/>
  <c r="G14" i="4"/>
  <c r="E14" i="4"/>
  <c r="D14" i="4"/>
  <c r="H14" i="4"/>
  <c r="G15" i="4"/>
  <c r="H15" i="4"/>
  <c r="H13" i="4"/>
  <c r="I14" i="4"/>
  <c r="E15" i="4"/>
  <c r="I15" i="4"/>
  <c r="K12" i="4"/>
  <c r="K15" i="4"/>
  <c r="K13" i="4"/>
  <c r="K14" i="4"/>
  <c r="L12" i="4"/>
  <c r="L13" i="4"/>
  <c r="L15" i="4"/>
  <c r="L14" i="4"/>
  <c r="M13" i="4"/>
  <c r="M14" i="4"/>
  <c r="M12" i="4"/>
  <c r="M15" i="4"/>
  <c r="O13" i="4"/>
  <c r="O14" i="4"/>
  <c r="O12" i="4"/>
  <c r="O15" i="4"/>
  <c r="P15" i="4"/>
  <c r="P14" i="4"/>
  <c r="P12" i="4"/>
  <c r="P13" i="4"/>
  <c r="Q12" i="4"/>
  <c r="Q15" i="4"/>
  <c r="Q13" i="4"/>
  <c r="Q14" i="4"/>
  <c r="AA12" i="4"/>
  <c r="AA15" i="4"/>
  <c r="AA13" i="4"/>
  <c r="AA14" i="4"/>
  <c r="AB12" i="4"/>
  <c r="AB13" i="4"/>
  <c r="AB15" i="4"/>
  <c r="AB14" i="4"/>
  <c r="AC13" i="4"/>
  <c r="AC12" i="4"/>
  <c r="AC15" i="4"/>
  <c r="AC14" i="4"/>
  <c r="F10" i="4" l="1"/>
  <c r="F9" i="4"/>
  <c r="J9" i="4" l="1"/>
  <c r="J10" i="4"/>
  <c r="F11" i="4"/>
  <c r="F20" i="4" s="1"/>
  <c r="N9" i="4" l="1"/>
  <c r="N10" i="4"/>
  <c r="J11" i="4"/>
  <c r="J20" i="4" s="1"/>
  <c r="R9" i="4" l="1"/>
  <c r="R10" i="4"/>
  <c r="N11" i="4"/>
  <c r="N20" i="4" s="1"/>
  <c r="R11" i="4" l="1"/>
  <c r="R20" i="4" s="1"/>
  <c r="V10" i="4"/>
  <c r="Z10" i="4" s="1"/>
  <c r="AD10" i="4" s="1"/>
  <c r="V9" i="4"/>
  <c r="Z9" i="4" l="1"/>
  <c r="Z11" i="4" s="1"/>
  <c r="Z20" i="4" s="1"/>
  <c r="V11" i="4"/>
  <c r="V20" i="4" s="1"/>
  <c r="AD9" i="4" l="1"/>
  <c r="MS10" i="4"/>
  <c r="AD11" i="4" l="1"/>
  <c r="AD20" i="4" s="1"/>
  <c r="MS9" i="4"/>
  <c r="MS11" i="4" s="1"/>
  <c r="B23" i="4" l="1"/>
  <c r="B25" i="4" s="1"/>
</calcChain>
</file>

<file path=xl/sharedStrings.xml><?xml version="1.0" encoding="utf-8"?>
<sst xmlns="http://schemas.openxmlformats.org/spreadsheetml/2006/main" count="160" uniqueCount="103">
  <si>
    <t>AAPL</t>
  </si>
  <si>
    <t>r</t>
  </si>
  <si>
    <t>s</t>
  </si>
  <si>
    <t>1000-1200</t>
  </si>
  <si>
    <t>RUR</t>
  </si>
  <si>
    <t>USD</t>
  </si>
  <si>
    <t>Underlyings</t>
  </si>
  <si>
    <t>Холецкий</t>
  </si>
  <si>
    <t>Значение функции нормального обратного стандартного (среднее = 0, ст. отклон = 1) распределения</t>
  </si>
  <si>
    <t>Смоделированные цены на акции</t>
  </si>
  <si>
    <t>Strike</t>
  </si>
  <si>
    <t>worst of</t>
  </si>
  <si>
    <t>тело</t>
  </si>
  <si>
    <t>Барьеры для автоколла</t>
  </si>
  <si>
    <t>Autocall Level 1</t>
  </si>
  <si>
    <t>Autocall Level 2</t>
  </si>
  <si>
    <t>Autocall Level 3</t>
  </si>
  <si>
    <t>Autocall Level 4</t>
  </si>
  <si>
    <t>Даты экспирации</t>
  </si>
  <si>
    <t>gear put</t>
  </si>
  <si>
    <t>Coupon rate (квартальный)</t>
  </si>
  <si>
    <t>Параметры ноты 1</t>
  </si>
  <si>
    <t>ER</t>
  </si>
  <si>
    <t>Вол-ть</t>
  </si>
  <si>
    <t>Initial date</t>
  </si>
  <si>
    <t>Current date</t>
  </si>
  <si>
    <t>Номинал</t>
  </si>
  <si>
    <t>валюта ноты</t>
  </si>
  <si>
    <t>ISIN</t>
  </si>
  <si>
    <t xml:space="preserve">Initial Prices </t>
  </si>
  <si>
    <t>Current prices</t>
  </si>
  <si>
    <t>Treasury yield curve</t>
  </si>
  <si>
    <t>Срок до погашения, лет</t>
  </si>
  <si>
    <t xml:space="preserve">Дней от </t>
  </si>
  <si>
    <t>Дней до</t>
  </si>
  <si>
    <t>Дисконтирование</t>
  </si>
  <si>
    <t>Кол-во дней</t>
  </si>
  <si>
    <t xml:space="preserve">Дисконтированный денежный поток по ноте </t>
  </si>
  <si>
    <t>текущая</t>
  </si>
  <si>
    <t>модельная</t>
  </si>
  <si>
    <t>Итого стоимость ноты на дату оценки</t>
  </si>
  <si>
    <t>Стоимость ноты, в % от номинала</t>
  </si>
  <si>
    <t>Текущая цена, %</t>
  </si>
  <si>
    <t>Дата</t>
  </si>
  <si>
    <t>Рубли</t>
  </si>
  <si>
    <t>https://www.cbr.ru/hd_base/zcyc_params/zcyc/</t>
  </si>
  <si>
    <t xml:space="preserve">Скореллированные случайные величины </t>
  </si>
  <si>
    <t>Er мес</t>
  </si>
  <si>
    <t>Ст. отклонения, приведенные к дням</t>
  </si>
  <si>
    <t>Дней</t>
  </si>
  <si>
    <t>s мес</t>
  </si>
  <si>
    <t>Корреляционная матрица БА месячные данные</t>
  </si>
  <si>
    <t>квартальный купон</t>
  </si>
  <si>
    <t>нет</t>
  </si>
  <si>
    <t>Autocall Level 5</t>
  </si>
  <si>
    <t>Autocall Level 6</t>
  </si>
  <si>
    <t>Autocall Level 7</t>
  </si>
  <si>
    <t>Autocall Level 8</t>
  </si>
  <si>
    <t>Autocall Level 9</t>
  </si>
  <si>
    <t>Autocall Level 10</t>
  </si>
  <si>
    <t>Autocall Level 11</t>
  </si>
  <si>
    <t>Autocall Level 12</t>
  </si>
  <si>
    <t>Станд откл</t>
  </si>
  <si>
    <t xml:space="preserve">Условия автоколла </t>
  </si>
  <si>
    <t xml:space="preserve">Денежный поток по ноте </t>
  </si>
  <si>
    <t>Date</t>
  </si>
  <si>
    <t>1 Mo</t>
  </si>
  <si>
    <t>2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</si>
  <si>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</si>
  <si>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</si>
  <si>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</si>
  <si>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</si>
  <si>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</si>
  <si>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</si>
  <si>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</si>
  <si>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</si>
  <si>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</si>
  <si>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</si>
  <si>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доллары</t>
  </si>
  <si>
    <t>https://home.treasury.gov/resource-center/data-chart-center/interest-rates/TextView?type=daily_treasury_yield_curve&amp;field_tdr_date_value_month=202203</t>
  </si>
  <si>
    <t>XS2381671168</t>
  </si>
  <si>
    <t>RUB</t>
  </si>
  <si>
    <t>Условный купон, % годовых</t>
  </si>
  <si>
    <t>Условия по купону</t>
  </si>
  <si>
    <t>AMD UW Equity</t>
  </si>
  <si>
    <t>NVDA UW Equity</t>
  </si>
  <si>
    <t>PYPL UW Equity</t>
  </si>
  <si>
    <t>SQ UN Equity</t>
  </si>
  <si>
    <t>ZM UW Equity</t>
  </si>
  <si>
    <t>0,25</t>
  </si>
  <si>
    <t>0,5</t>
  </si>
  <si>
    <t>0,75</t>
  </si>
  <si>
    <t>Ставки на дату</t>
  </si>
  <si>
    <t>ставка в RUR</t>
  </si>
  <si>
    <t>купонный барьер</t>
  </si>
  <si>
    <t>купоны условные, в штуках</t>
  </si>
  <si>
    <t>worst of с эффектом памяти</t>
  </si>
  <si>
    <t>Количество запомненных купонов на дату оценки (барьер не преодолен, купоны "запомнены")</t>
  </si>
  <si>
    <t xml:space="preserve">Final fixing date </t>
  </si>
  <si>
    <t>Номинал ноты, RUB</t>
  </si>
  <si>
    <t xml:space="preserve">коррел. Матрица </t>
  </si>
  <si>
    <t>кол-во запомненных "условных" купонов на дату оценки (барьер не преодолен, купон "запомнен")</t>
  </si>
  <si>
    <t>Нота Феникс автолоколл с условным купоном (есть эффект памяти). Для финальной выплаты стандартное усровие по gear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</si>
</sst>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00%"/>
    <numFmt numFmtId="166" formatCode="#,##0.0000"/>
    <numFmt numFmtId="167" formatCode="0.0000%"/>
    <numFmt numFmtId="168" formatCode="0.000000000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8"/>
      <color rgb="FF333333"/>
      <name val="Segoe UI"/>
      <family val="2"/>
      <charset val="204"/>
    </font>
    <font>
      <sz val="9"/>
      <color theme="1"/>
      <name val="Calibri"/>
      <family val="2"/>
      <charset val="204"/>
      <scheme val="minor"/>
    </font>
    <font>
      <sz val="8"/>
      <color rgb="FF333333"/>
      <name val="Segoe UI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i/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</patternFill>
    </fill>
    <fill>
      <patternFill patternType="solid">
        <fgColor theme="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E8E9E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medium">
        <color rgb="FFE8E9EB"/>
      </bottom>
      <diagonal/>
    </border>
    <border>
      <left/>
      <right style="thin">
        <color auto="1"/>
      </right>
      <top style="medium">
        <color rgb="FFE8E9EB"/>
      </top>
      <bottom style="medium">
        <color rgb="FFE8E9EB"/>
      </bottom>
      <diagonal/>
    </border>
    <border>
      <left/>
      <right/>
      <top style="medium">
        <color rgb="FFE8E9EB"/>
      </top>
      <bottom/>
      <diagonal/>
    </border>
    <border>
      <left/>
      <right style="thin">
        <color auto="1"/>
      </right>
      <top style="medium">
        <color rgb="FFE8E9EB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44">
    <xf numFmtId="0" fontId="0" fillId="0" borderId="0" xfId="0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0" fontId="0" fillId="2" borderId="0" xfId="0" applyFill="1"/>
    <xf numFmtId="9" fontId="0" fillId="0" borderId="0" xfId="0" applyNumberFormat="1"/>
    <xf numFmtId="2" fontId="0" fillId="0" borderId="0" xfId="0" applyNumberFormat="1"/>
    <xf numFmtId="9" fontId="0" fillId="4" borderId="0" xfId="0" applyNumberFormat="1" applyFill="1"/>
    <xf numFmtId="165" fontId="0" fillId="0" borderId="0" xfId="1" applyNumberFormat="1" applyFont="1"/>
    <xf numFmtId="2" fontId="0" fillId="2" borderId="0" xfId="0" applyNumberFormat="1" applyFill="1"/>
    <xf numFmtId="9" fontId="0" fillId="2" borderId="0" xfId="0" applyNumberFormat="1" applyFill="1"/>
    <xf numFmtId="164" fontId="0" fillId="2" borderId="0" xfId="0" applyNumberFormat="1" applyFill="1"/>
    <xf numFmtId="10" fontId="0" fillId="2" borderId="0" xfId="0" applyNumberFormat="1" applyFill="1"/>
    <xf numFmtId="0" fontId="2" fillId="0" borderId="0" xfId="0" applyFon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0" fontId="0" fillId="0" borderId="0" xfId="0" applyAlignment="1">
      <alignment horizontal="left" indent="2"/>
    </xf>
    <xf numFmtId="10" fontId="0" fillId="5" borderId="0" xfId="0" applyNumberFormat="1" applyFill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166" fontId="0" fillId="0" borderId="0" xfId="0" applyNumberFormat="1" applyFill="1" applyAlignment="1">
      <alignment horizontal="center" vertical="center"/>
    </xf>
    <xf numFmtId="166" fontId="0" fillId="0" borderId="0" xfId="0" applyNumberFormat="1"/>
    <xf numFmtId="0" fontId="0" fillId="0" borderId="0" xfId="0" applyAlignment="1">
      <alignment horizontal="center"/>
    </xf>
    <xf numFmtId="0" fontId="0" fillId="6" borderId="1" xfId="0" applyFill="1" applyBorder="1"/>
    <xf numFmtId="0" fontId="0" fillId="6" borderId="2" xfId="0" applyFill="1" applyBorder="1"/>
    <xf numFmtId="3" fontId="0" fillId="6" borderId="2" xfId="0" applyNumberFormat="1" applyFill="1" applyBorder="1"/>
    <xf numFmtId="167" fontId="0" fillId="0" borderId="0" xfId="1" applyNumberFormat="1" applyFont="1"/>
    <xf numFmtId="10" fontId="0" fillId="0" borderId="0" xfId="0" applyNumberFormat="1"/>
    <xf numFmtId="9" fontId="0" fillId="0" borderId="0" xfId="0" applyNumberFormat="1" applyAlignment="1">
      <alignment horizontal="right"/>
    </xf>
    <xf numFmtId="165" fontId="0" fillId="0" borderId="0" xfId="0" applyNumberFormat="1"/>
    <xf numFmtId="4" fontId="0" fillId="6" borderId="2" xfId="0" applyNumberFormat="1" applyFill="1" applyBorder="1"/>
    <xf numFmtId="0" fontId="2" fillId="0" borderId="0" xfId="0" applyFont="1" applyAlignment="1">
      <alignment horizontal="left" indent="2"/>
    </xf>
    <xf numFmtId="14" fontId="2" fillId="0" borderId="0" xfId="0" applyNumberFormat="1" applyFont="1"/>
    <xf numFmtId="1" fontId="0" fillId="0" borderId="0" xfId="1" applyNumberFormat="1" applyFont="1"/>
    <xf numFmtId="1" fontId="0" fillId="0" borderId="0" xfId="0" applyNumberFormat="1"/>
    <xf numFmtId="164" fontId="0" fillId="0" borderId="0" xfId="0" applyNumberFormat="1"/>
    <xf numFmtId="0" fontId="5" fillId="5" borderId="0" xfId="0" applyFont="1" applyFill="1" applyAlignment="1">
      <alignment horizontal="center" vertical="center" wrapText="1"/>
    </xf>
    <xf numFmtId="9" fontId="0" fillId="0" borderId="0" xfId="0" applyNumberFormat="1" applyFill="1"/>
    <xf numFmtId="4" fontId="0" fillId="0" borderId="0" xfId="0" applyNumberFormat="1"/>
    <xf numFmtId="9" fontId="0" fillId="6" borderId="2" xfId="0" applyNumberFormat="1" applyFill="1" applyBorder="1"/>
    <xf numFmtId="10" fontId="0" fillId="6" borderId="2" xfId="0" applyNumberFormat="1" applyFill="1" applyBorder="1"/>
    <xf numFmtId="10" fontId="5" fillId="10" borderId="0" xfId="0" applyNumberFormat="1" applyFont="1" applyFill="1" applyAlignment="1">
      <alignment horizontal="center" vertical="center" wrapText="1"/>
    </xf>
    <xf numFmtId="14" fontId="0" fillId="8" borderId="0" xfId="0" applyNumberFormat="1" applyFill="1"/>
    <xf numFmtId="0" fontId="0" fillId="9" borderId="0" xfId="0" applyFill="1"/>
    <xf numFmtId="0" fontId="6" fillId="0" borderId="0" xfId="2"/>
    <xf numFmtId="0" fontId="7" fillId="0" borderId="3" xfId="0" applyFont="1" applyFill="1" applyBorder="1"/>
    <xf numFmtId="0" fontId="8" fillId="0" borderId="4" xfId="0" applyFont="1" applyFill="1" applyBorder="1" applyAlignment="1">
      <alignment horizontal="right"/>
    </xf>
    <xf numFmtId="0" fontId="8" fillId="0" borderId="5" xfId="0" applyFont="1" applyFill="1" applyBorder="1" applyAlignment="1">
      <alignment horizontal="right"/>
    </xf>
    <xf numFmtId="0" fontId="8" fillId="0" borderId="0" xfId="0" applyFont="1" applyFill="1"/>
    <xf numFmtId="0" fontId="7" fillId="0" borderId="6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right" vertical="center" wrapText="1"/>
    </xf>
    <xf numFmtId="0" fontId="7" fillId="2" borderId="0" xfId="0" applyFont="1" applyFill="1" applyBorder="1" applyAlignment="1">
      <alignment horizontal="right" vertical="center" wrapText="1"/>
    </xf>
    <xf numFmtId="0" fontId="7" fillId="0" borderId="7" xfId="0" applyFont="1" applyFill="1" applyBorder="1" applyAlignment="1">
      <alignment horizontal="right" vertical="center" wrapText="1"/>
    </xf>
    <xf numFmtId="0" fontId="6" fillId="0" borderId="0" xfId="2" applyFill="1"/>
    <xf numFmtId="14" fontId="8" fillId="2" borderId="8" xfId="0" applyNumberFormat="1" applyFont="1" applyFill="1" applyBorder="1" applyAlignment="1">
      <alignment vertical="top" wrapText="1"/>
    </xf>
    <xf numFmtId="10" fontId="8" fillId="11" borderId="9" xfId="0" applyNumberFormat="1" applyFont="1" applyFill="1" applyBorder="1" applyAlignment="1">
      <alignment vertical="top" wrapText="1"/>
    </xf>
    <xf numFmtId="10" fontId="8" fillId="11" borderId="10" xfId="0" applyNumberFormat="1" applyFont="1" applyFill="1" applyBorder="1" applyAlignment="1">
      <alignment vertical="top" wrapText="1"/>
    </xf>
    <xf numFmtId="0" fontId="8" fillId="0" borderId="11" xfId="0" applyFont="1" applyFill="1" applyBorder="1" applyAlignment="1">
      <alignment vertical="top"/>
    </xf>
    <xf numFmtId="0" fontId="8" fillId="0" borderId="0" xfId="0" applyFont="1" applyFill="1" applyBorder="1" applyAlignment="1">
      <alignment vertical="top" wrapText="1"/>
    </xf>
    <xf numFmtId="0" fontId="8" fillId="2" borderId="0" xfId="0" applyFont="1" applyFill="1" applyBorder="1" applyAlignment="1">
      <alignment vertical="top" wrapText="1"/>
    </xf>
    <xf numFmtId="0" fontId="8" fillId="0" borderId="0" xfId="0" applyFont="1" applyFill="1" applyBorder="1" applyAlignment="1">
      <alignment horizontal="right" vertical="top"/>
    </xf>
    <xf numFmtId="0" fontId="8" fillId="8" borderId="0" xfId="0" applyFont="1" applyFill="1" applyBorder="1" applyAlignment="1">
      <alignment vertical="top" wrapText="1"/>
    </xf>
    <xf numFmtId="0" fontId="9" fillId="0" borderId="0" xfId="0" applyFont="1" applyFill="1" applyBorder="1" applyAlignment="1">
      <alignment horizontal="right" vertical="top"/>
    </xf>
    <xf numFmtId="4" fontId="10" fillId="9" borderId="0" xfId="0" applyNumberFormat="1" applyFont="1" applyFill="1"/>
    <xf numFmtId="10" fontId="10" fillId="9" borderId="0" xfId="0" applyNumberFormat="1" applyFont="1" applyFill="1"/>
    <xf numFmtId="10" fontId="10" fillId="11" borderId="0" xfId="0" applyNumberFormat="1" applyFont="1" applyFill="1"/>
    <xf numFmtId="0" fontId="0" fillId="11" borderId="0" xfId="0" applyFill="1"/>
    <xf numFmtId="0" fontId="0" fillId="8" borderId="0" xfId="0" applyFill="1"/>
    <xf numFmtId="10" fontId="10" fillId="8" borderId="0" xfId="0" applyNumberFormat="1" applyFont="1" applyFill="1"/>
    <xf numFmtId="0" fontId="0" fillId="7" borderId="0" xfId="0" applyFill="1"/>
    <xf numFmtId="4" fontId="0" fillId="7" borderId="0" xfId="0" applyNumberFormat="1" applyFill="1"/>
    <xf numFmtId="10" fontId="10" fillId="7" borderId="0" xfId="0" applyNumberFormat="1" applyFont="1" applyFill="1"/>
    <xf numFmtId="0" fontId="0" fillId="6" borderId="0" xfId="0" applyFill="1"/>
    <xf numFmtId="0" fontId="0" fillId="12" borderId="0" xfId="0" applyFill="1"/>
    <xf numFmtId="0" fontId="4" fillId="9" borderId="0" xfId="0" applyFont="1" applyFill="1"/>
    <xf numFmtId="10" fontId="0" fillId="6" borderId="0" xfId="0" applyNumberFormat="1" applyFill="1"/>
    <xf numFmtId="0" fontId="4" fillId="11" borderId="0" xfId="0" applyFont="1" applyFill="1"/>
    <xf numFmtId="0" fontId="4" fillId="8" borderId="0" xfId="0" applyFont="1" applyFill="1"/>
    <xf numFmtId="0" fontId="4" fillId="12" borderId="0" xfId="0" applyFont="1" applyFill="1"/>
    <xf numFmtId="0" fontId="4" fillId="7" borderId="0" xfId="0" applyFont="1" applyFill="1"/>
    <xf numFmtId="4" fontId="0" fillId="6" borderId="0" xfId="0" applyNumberFormat="1" applyFill="1"/>
    <xf numFmtId="4" fontId="0" fillId="11" borderId="0" xfId="0" applyNumberFormat="1" applyFill="1"/>
    <xf numFmtId="4" fontId="0" fillId="8" borderId="0" xfId="0" applyNumberFormat="1" applyFill="1"/>
    <xf numFmtId="4" fontId="0" fillId="12" borderId="0" xfId="0" applyNumberFormat="1" applyFill="1"/>
    <xf numFmtId="10" fontId="10" fillId="12" borderId="0" xfId="0" applyNumberFormat="1" applyFont="1" applyFill="1"/>
    <xf numFmtId="166" fontId="10" fillId="12" borderId="0" xfId="0" applyNumberFormat="1" applyFont="1" applyFill="1"/>
    <xf numFmtId="166" fontId="10" fillId="8" borderId="0" xfId="0" applyNumberFormat="1" applyFont="1" applyFill="1"/>
    <xf numFmtId="166" fontId="10" fillId="9" borderId="0" xfId="0" applyNumberFormat="1" applyFont="1" applyFill="1"/>
    <xf numFmtId="166" fontId="10" fillId="11" borderId="0" xfId="0" applyNumberFormat="1" applyFont="1" applyFill="1"/>
    <xf numFmtId="166" fontId="10" fillId="7" borderId="0" xfId="0" applyNumberFormat="1" applyFont="1" applyFill="1"/>
    <xf numFmtId="168" fontId="0" fillId="0" borderId="0" xfId="0" applyNumberFormat="1"/>
    <xf numFmtId="0" fontId="12" fillId="13" borderId="12" xfId="0" applyNumberFormat="1" applyFont="1" applyFill="1" applyBorder="1" applyAlignment="1" applyProtection="1"/>
    <xf numFmtId="0" fontId="12" fillId="2" borderId="12" xfId="0" applyNumberFormat="1" applyFont="1" applyFill="1" applyBorder="1" applyAlignment="1" applyProtection="1"/>
    <xf numFmtId="10" fontId="0" fillId="11" borderId="0" xfId="0" applyNumberForma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right"/>
    </xf>
    <xf numFmtId="0" fontId="0" fillId="0" borderId="0" xfId="0" applyBorder="1"/>
    <xf numFmtId="10" fontId="0" fillId="0" borderId="0" xfId="0" applyNumberFormat="1" applyBorder="1"/>
    <xf numFmtId="0" fontId="13" fillId="0" borderId="0" xfId="0" applyFont="1"/>
    <xf numFmtId="10" fontId="11" fillId="0" borderId="0" xfId="0" applyNumberFormat="1" applyFont="1"/>
    <xf numFmtId="164" fontId="0" fillId="12" borderId="0" xfId="0" applyNumberFormat="1" applyFill="1" applyAlignment="1">
      <alignment horizontal="right"/>
    </xf>
    <xf numFmtId="165" fontId="0" fillId="12" borderId="0" xfId="0" applyNumberFormat="1" applyFill="1" applyAlignment="1">
      <alignment horizontal="right"/>
    </xf>
    <xf numFmtId="10" fontId="0" fillId="12" borderId="0" xfId="0" applyNumberFormat="1" applyFill="1" applyAlignment="1">
      <alignment horizontal="right"/>
    </xf>
    <xf numFmtId="10" fontId="2" fillId="6" borderId="0" xfId="0" applyNumberFormat="1" applyFont="1" applyFill="1"/>
    <xf numFmtId="14" fontId="2" fillId="0" borderId="0" xfId="0" applyNumberFormat="1" applyFont="1" applyAlignment="1">
      <alignment horizontal="left" indent="2"/>
    </xf>
    <xf numFmtId="10" fontId="0" fillId="9" borderId="0" xfId="0" applyNumberFormat="1" applyFill="1"/>
    <xf numFmtId="0" fontId="12" fillId="2" borderId="14" xfId="0" applyNumberFormat="1" applyFont="1" applyFill="1" applyBorder="1" applyAlignment="1" applyProtection="1"/>
    <xf numFmtId="0" fontId="0" fillId="0" borderId="13" xfId="0" applyBorder="1"/>
    <xf numFmtId="10" fontId="0" fillId="0" borderId="13" xfId="0" applyNumberFormat="1" applyBorder="1"/>
    <xf numFmtId="0" fontId="12" fillId="2" borderId="0" xfId="0" applyNumberFormat="1" applyFont="1" applyFill="1" applyBorder="1" applyAlignment="1" applyProtection="1"/>
    <xf numFmtId="14" fontId="2" fillId="0" borderId="0" xfId="0" applyNumberFormat="1" applyFont="1" applyAlignment="1">
      <alignment horizontal="right"/>
    </xf>
    <xf numFmtId="14" fontId="0" fillId="11" borderId="0" xfId="0" applyNumberFormat="1" applyFill="1"/>
    <xf numFmtId="0" fontId="2" fillId="0" borderId="0" xfId="0" applyFont="1" applyAlignment="1">
      <alignment horizontal="right" indent="2"/>
    </xf>
    <xf numFmtId="14" fontId="0" fillId="14" borderId="0" xfId="0" applyNumberFormat="1" applyFont="1" applyFill="1"/>
    <xf numFmtId="14" fontId="0" fillId="14" borderId="0" xfId="0" applyNumberFormat="1" applyFill="1"/>
    <xf numFmtId="1" fontId="0" fillId="12" borderId="0" xfId="0" applyNumberFormat="1" applyFill="1" applyAlignment="1">
      <alignment horizontal="right"/>
    </xf>
    <xf numFmtId="0" fontId="8" fillId="0" borderId="4" xfId="0" applyFont="1" applyFill="1" applyBorder="1"/>
    <xf numFmtId="0" fontId="8" fillId="2" borderId="4" xfId="0" applyFont="1" applyFill="1" applyBorder="1"/>
    <xf numFmtId="0" fontId="8" fillId="0" borderId="5" xfId="0" applyFont="1" applyFill="1" applyBorder="1"/>
    <xf numFmtId="0" fontId="8" fillId="0" borderId="6" xfId="0" applyFont="1" applyFill="1" applyBorder="1" applyAlignment="1">
      <alignment vertical="center"/>
    </xf>
    <xf numFmtId="0" fontId="8" fillId="2" borderId="11" xfId="0" applyFont="1" applyFill="1" applyBorder="1" applyAlignment="1">
      <alignment vertical="top"/>
    </xf>
    <xf numFmtId="0" fontId="8" fillId="0" borderId="15" xfId="0" applyFont="1" applyFill="1" applyBorder="1" applyAlignment="1">
      <alignment vertical="top"/>
    </xf>
    <xf numFmtId="0" fontId="8" fillId="0" borderId="11" xfId="0" applyFont="1" applyFill="1" applyBorder="1" applyAlignment="1">
      <alignment horizontal="right" vertical="top"/>
    </xf>
    <xf numFmtId="0" fontId="8" fillId="2" borderId="11" xfId="0" applyFont="1" applyFill="1" applyBorder="1" applyAlignment="1">
      <alignment horizontal="right" vertical="top"/>
    </xf>
    <xf numFmtId="0" fontId="8" fillId="0" borderId="16" xfId="0" applyFont="1" applyFill="1" applyBorder="1" applyAlignment="1">
      <alignment horizontal="right" vertical="top"/>
    </xf>
    <xf numFmtId="0" fontId="8" fillId="8" borderId="0" xfId="0" applyFont="1" applyFill="1" applyBorder="1" applyAlignment="1">
      <alignment horizontal="right" vertical="top"/>
    </xf>
    <xf numFmtId="0" fontId="8" fillId="8" borderId="17" xfId="0" applyFont="1" applyFill="1" applyBorder="1" applyAlignment="1">
      <alignment horizontal="right" vertical="top"/>
    </xf>
    <xf numFmtId="0" fontId="8" fillId="8" borderId="18" xfId="0" applyFont="1" applyFill="1" applyBorder="1" applyAlignment="1">
      <alignment horizontal="right" vertical="top"/>
    </xf>
    <xf numFmtId="0" fontId="8" fillId="2" borderId="0" xfId="0" applyFont="1" applyFill="1" applyBorder="1" applyAlignment="1">
      <alignment horizontal="right" vertical="top"/>
    </xf>
    <xf numFmtId="0" fontId="8" fillId="0" borderId="7" xfId="0" applyFont="1" applyFill="1" applyBorder="1" applyAlignment="1">
      <alignment horizontal="right" vertical="top"/>
    </xf>
    <xf numFmtId="0" fontId="8" fillId="2" borderId="0" xfId="0" applyFont="1" applyFill="1"/>
    <xf numFmtId="0" fontId="8" fillId="2" borderId="4" xfId="0" applyFont="1" applyFill="1" applyBorder="1" applyAlignment="1">
      <alignment horizontal="right"/>
    </xf>
    <xf numFmtId="166" fontId="0" fillId="11" borderId="0" xfId="0" applyNumberFormat="1" applyFill="1"/>
    <xf numFmtId="0" fontId="0" fillId="0" borderId="0" xfId="0" applyAlignment="1">
      <alignment wrapText="1"/>
    </xf>
    <xf numFmtId="0" fontId="12" fillId="2" borderId="12" xfId="0" applyNumberFormat="1" applyFont="1" applyFill="1" applyBorder="1" applyAlignment="1" applyProtection="1"/>
    <xf numFmtId="4" fontId="0" fillId="9" borderId="0" xfId="0" applyNumberFormat="1" applyFill="1"/>
    <xf numFmtId="0" fontId="0" fillId="9" borderId="0" xfId="0" applyFill="1"/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</cellXfs>
  <cellStyles count="3">
    <cellStyle name="Гиперссылка" xfId="2" builtinId="8"/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895350</xdr:colOff>
          <xdr:row>22</xdr:row>
          <xdr:rowOff>38100</xdr:rowOff>
        </xdr:from>
        <xdr:to>
          <xdr:col>23</xdr:col>
          <xdr:colOff>676275</xdr:colOff>
          <xdr:row>26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Запустить 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home.treasury.gov/resource-center/data-chart-center/interest-rates/TextView?type=daily_treasury_yield_curve&amp;field_tdr_date_value_month=202203" TargetMode="External"/><Relationship Id="rId1" Type="http://schemas.openxmlformats.org/officeDocument/2006/relationships/hyperlink" Target="https://www.cbr.ru/hd_base/zcyc_params/zcyc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G45"/>
  <sheetViews>
    <sheetView workbookViewId="0">
      <selection activeCell="M8" sqref="M8"/>
    </sheetView>
  </sheetViews>
  <sheetFormatPr defaultRowHeight="15" x14ac:dyDescent="0.25"/>
  <cols>
    <col min="2" max="2" width="10.140625" bestFit="1" customWidth="1"/>
    <col min="5" max="5" width="10.140625" bestFit="1" customWidth="1"/>
    <col min="16" max="16" width="10.140625" bestFit="1" customWidth="1"/>
    <col min="19" max="19" width="11.7109375" customWidth="1"/>
    <col min="28" max="29" width="10.140625" bestFit="1" customWidth="1"/>
  </cols>
  <sheetData>
    <row r="3" spans="2:24" x14ac:dyDescent="0.25">
      <c r="I3" t="s">
        <v>0</v>
      </c>
      <c r="P3" s="1">
        <v>44386</v>
      </c>
    </row>
    <row r="4" spans="2:24" x14ac:dyDescent="0.25">
      <c r="E4" s="3">
        <v>44390</v>
      </c>
      <c r="F4" s="4"/>
      <c r="H4" t="s">
        <v>1</v>
      </c>
      <c r="I4" s="12">
        <v>2.5000000000000001E-2</v>
      </c>
      <c r="J4">
        <f>I4*F6/G6</f>
        <v>1.4516129032258065E-2</v>
      </c>
      <c r="S4" s="3">
        <v>44390</v>
      </c>
      <c r="X4" s="9">
        <f>SUM(X5:X45)</f>
        <v>26.534707121726701</v>
      </c>
    </row>
    <row r="5" spans="2:24" x14ac:dyDescent="0.25">
      <c r="E5" s="1">
        <v>44408</v>
      </c>
      <c r="F5" s="4"/>
      <c r="H5" t="s">
        <v>2</v>
      </c>
      <c r="I5" s="5">
        <v>0.06</v>
      </c>
      <c r="J5" s="7">
        <v>0.02</v>
      </c>
      <c r="K5">
        <f>I5*12^(1/2)</f>
        <v>0.20784609690826525</v>
      </c>
      <c r="L5">
        <f>K5/12^(1/2)</f>
        <v>0.06</v>
      </c>
      <c r="P5" s="1">
        <v>44474</v>
      </c>
      <c r="S5" s="1">
        <v>44408</v>
      </c>
    </row>
    <row r="6" spans="2:24" x14ac:dyDescent="0.25">
      <c r="B6" s="1">
        <v>44743</v>
      </c>
      <c r="E6" s="1">
        <v>44439</v>
      </c>
      <c r="F6">
        <f>E5-E4</f>
        <v>18</v>
      </c>
      <c r="G6">
        <v>31</v>
      </c>
      <c r="S6" s="1">
        <v>44439</v>
      </c>
    </row>
    <row r="7" spans="2:24" x14ac:dyDescent="0.25">
      <c r="B7" s="1">
        <v>45107</v>
      </c>
      <c r="E7" s="1">
        <v>44469</v>
      </c>
      <c r="I7">
        <v>100</v>
      </c>
      <c r="J7" s="6">
        <f ca="1">EXP(_xlfn.NORM.INV(RAND(),I4,I5))*I7</f>
        <v>95.303395965226827</v>
      </c>
      <c r="P7" s="1">
        <v>44572</v>
      </c>
      <c r="S7" s="1">
        <v>44469</v>
      </c>
    </row>
    <row r="8" spans="2:24" x14ac:dyDescent="0.25">
      <c r="B8" s="1">
        <v>45476</v>
      </c>
      <c r="E8" s="1">
        <v>44500</v>
      </c>
      <c r="S8" s="2">
        <v>44474</v>
      </c>
    </row>
    <row r="9" spans="2:24" x14ac:dyDescent="0.25">
      <c r="E9" s="1">
        <v>44530</v>
      </c>
      <c r="P9" s="1">
        <v>44658</v>
      </c>
      <c r="S9" s="1">
        <v>44500</v>
      </c>
    </row>
    <row r="10" spans="2:24" x14ac:dyDescent="0.25">
      <c r="E10" s="1">
        <v>44561</v>
      </c>
      <c r="S10" s="1">
        <v>44530</v>
      </c>
    </row>
    <row r="11" spans="2:24" x14ac:dyDescent="0.25">
      <c r="E11" s="1">
        <v>44592</v>
      </c>
      <c r="S11" s="1">
        <v>44561</v>
      </c>
    </row>
    <row r="12" spans="2:24" x14ac:dyDescent="0.25">
      <c r="E12" s="1">
        <v>44620</v>
      </c>
      <c r="S12" s="2">
        <v>44572</v>
      </c>
    </row>
    <row r="13" spans="2:24" x14ac:dyDescent="0.25">
      <c r="E13" s="1">
        <v>44651</v>
      </c>
      <c r="S13" s="2">
        <v>44583</v>
      </c>
    </row>
    <row r="14" spans="2:24" x14ac:dyDescent="0.25">
      <c r="E14" s="1">
        <v>44681</v>
      </c>
      <c r="S14" s="1">
        <v>44592</v>
      </c>
    </row>
    <row r="15" spans="2:24" x14ac:dyDescent="0.25">
      <c r="E15" s="1">
        <v>44712</v>
      </c>
      <c r="S15" s="1">
        <v>44620</v>
      </c>
    </row>
    <row r="16" spans="2:24" x14ac:dyDescent="0.25">
      <c r="E16" s="1">
        <v>44742</v>
      </c>
      <c r="F16" s="4"/>
      <c r="H16" t="s">
        <v>1</v>
      </c>
      <c r="I16" s="8">
        <f>I4/30</f>
        <v>8.3333333333333339E-4</v>
      </c>
      <c r="S16" s="1">
        <v>44651</v>
      </c>
    </row>
    <row r="17" spans="5:33" x14ac:dyDescent="0.25">
      <c r="E17" s="2">
        <v>44743</v>
      </c>
      <c r="F17" s="4"/>
      <c r="H17" t="s">
        <v>2</v>
      </c>
      <c r="I17" s="8">
        <f>I5/(30)^(1/2)</f>
        <v>1.0954451150103323E-2</v>
      </c>
      <c r="J17">
        <f ca="1">EXP(_xlfn.NORM.INV(RAND(),I16,I17))*I7</f>
        <v>101.0523512081366</v>
      </c>
      <c r="S17" s="1">
        <v>44681</v>
      </c>
    </row>
    <row r="18" spans="5:33" x14ac:dyDescent="0.25">
      <c r="E18" s="1">
        <v>44773</v>
      </c>
      <c r="S18" s="1">
        <v>44712</v>
      </c>
    </row>
    <row r="19" spans="5:33" x14ac:dyDescent="0.25">
      <c r="E19" s="1">
        <v>44804</v>
      </c>
      <c r="S19" s="1">
        <v>44742</v>
      </c>
    </row>
    <row r="20" spans="5:33" x14ac:dyDescent="0.25">
      <c r="E20" s="1">
        <v>44834</v>
      </c>
      <c r="S20" s="2">
        <v>44743</v>
      </c>
      <c r="W20">
        <v>10</v>
      </c>
      <c r="X20">
        <f>W20/(1+AG20)^((S20-$S$4)/365)</f>
        <v>9.7181773649032834</v>
      </c>
      <c r="Z20">
        <f>S20-$S$4</f>
        <v>353</v>
      </c>
      <c r="AB20" s="1">
        <v>44378</v>
      </c>
      <c r="AC20" s="1">
        <v>44408</v>
      </c>
      <c r="AD20" s="4">
        <v>300</v>
      </c>
      <c r="AE20" s="4">
        <v>400</v>
      </c>
      <c r="AF20" s="4" t="s">
        <v>4</v>
      </c>
      <c r="AG20" s="10">
        <v>0.03</v>
      </c>
    </row>
    <row r="21" spans="5:33" x14ac:dyDescent="0.25">
      <c r="E21" s="1">
        <v>44865</v>
      </c>
      <c r="S21" s="1">
        <v>44773</v>
      </c>
    </row>
    <row r="22" spans="5:33" x14ac:dyDescent="0.25">
      <c r="E22" s="1">
        <v>44895</v>
      </c>
      <c r="S22" s="1">
        <v>44804</v>
      </c>
      <c r="AB22" s="1">
        <v>44378</v>
      </c>
      <c r="AC22" s="1">
        <v>44408</v>
      </c>
      <c r="AD22" s="4" t="s">
        <v>4</v>
      </c>
      <c r="AE22" s="10">
        <v>0.03</v>
      </c>
    </row>
    <row r="23" spans="5:33" x14ac:dyDescent="0.25">
      <c r="E23" s="1">
        <v>44926</v>
      </c>
      <c r="S23" s="1">
        <v>44834</v>
      </c>
      <c r="AB23" s="1">
        <v>44378</v>
      </c>
      <c r="AC23" s="1">
        <v>44408</v>
      </c>
      <c r="AD23" s="4" t="s">
        <v>5</v>
      </c>
      <c r="AE23" s="11">
        <v>1.4999999999999999E-2</v>
      </c>
    </row>
    <row r="24" spans="5:33" x14ac:dyDescent="0.25">
      <c r="E24" s="1">
        <v>44957</v>
      </c>
      <c r="S24" s="1">
        <v>44865</v>
      </c>
    </row>
    <row r="25" spans="5:33" x14ac:dyDescent="0.25">
      <c r="E25" s="1">
        <v>44985</v>
      </c>
      <c r="S25" s="1">
        <v>44895</v>
      </c>
    </row>
    <row r="26" spans="5:33" x14ac:dyDescent="0.25">
      <c r="E26" s="1">
        <v>45016</v>
      </c>
      <c r="S26" s="1">
        <v>44926</v>
      </c>
    </row>
    <row r="27" spans="5:33" x14ac:dyDescent="0.25">
      <c r="E27" s="1">
        <v>45046</v>
      </c>
      <c r="S27" s="1">
        <v>44957</v>
      </c>
    </row>
    <row r="28" spans="5:33" x14ac:dyDescent="0.25">
      <c r="E28" s="1">
        <v>45077</v>
      </c>
      <c r="S28" s="1">
        <v>44985</v>
      </c>
    </row>
    <row r="29" spans="5:33" x14ac:dyDescent="0.25">
      <c r="E29" s="2">
        <v>45107</v>
      </c>
      <c r="S29" s="1">
        <v>45016</v>
      </c>
    </row>
    <row r="30" spans="5:33" x14ac:dyDescent="0.25">
      <c r="E30" s="1">
        <v>45138</v>
      </c>
      <c r="S30" s="1">
        <v>45046</v>
      </c>
    </row>
    <row r="31" spans="5:33" x14ac:dyDescent="0.25">
      <c r="E31" s="1">
        <v>45169</v>
      </c>
      <c r="S31" s="1">
        <v>45077</v>
      </c>
    </row>
    <row r="32" spans="5:33" x14ac:dyDescent="0.25">
      <c r="E32" s="1">
        <v>45199</v>
      </c>
      <c r="S32" s="2">
        <v>45107</v>
      </c>
      <c r="W32">
        <v>0</v>
      </c>
      <c r="Z32">
        <f>S32-$S$4</f>
        <v>717</v>
      </c>
    </row>
    <row r="33" spans="5:29" x14ac:dyDescent="0.25">
      <c r="E33" s="1">
        <v>45230</v>
      </c>
      <c r="S33" s="1">
        <v>45138</v>
      </c>
    </row>
    <row r="34" spans="5:29" x14ac:dyDescent="0.25">
      <c r="E34" s="1">
        <v>45260</v>
      </c>
      <c r="S34" s="1">
        <v>45169</v>
      </c>
    </row>
    <row r="35" spans="5:29" x14ac:dyDescent="0.25">
      <c r="E35" s="1">
        <v>45291</v>
      </c>
      <c r="S35" s="1">
        <v>45199</v>
      </c>
    </row>
    <row r="36" spans="5:29" x14ac:dyDescent="0.25">
      <c r="E36" s="1">
        <v>45322</v>
      </c>
      <c r="S36" s="1">
        <v>45230</v>
      </c>
    </row>
    <row r="37" spans="5:29" x14ac:dyDescent="0.25">
      <c r="E37" s="1">
        <v>45351</v>
      </c>
      <c r="S37" s="1">
        <v>45260</v>
      </c>
    </row>
    <row r="38" spans="5:29" x14ac:dyDescent="0.25">
      <c r="E38" s="1">
        <v>45382</v>
      </c>
      <c r="S38" s="1">
        <v>45291</v>
      </c>
    </row>
    <row r="39" spans="5:29" x14ac:dyDescent="0.25">
      <c r="E39" s="1">
        <v>45412</v>
      </c>
      <c r="S39" s="1">
        <v>45322</v>
      </c>
    </row>
    <row r="40" spans="5:29" x14ac:dyDescent="0.25">
      <c r="E40" s="1">
        <v>45443</v>
      </c>
      <c r="S40" s="1">
        <v>45351</v>
      </c>
    </row>
    <row r="41" spans="5:29" x14ac:dyDescent="0.25">
      <c r="E41" s="1">
        <v>45473</v>
      </c>
      <c r="S41" s="1">
        <v>45382</v>
      </c>
    </row>
    <row r="42" spans="5:29" x14ac:dyDescent="0.25">
      <c r="E42" s="2">
        <v>45476</v>
      </c>
      <c r="S42" s="1">
        <v>45412</v>
      </c>
    </row>
    <row r="43" spans="5:29" x14ac:dyDescent="0.25">
      <c r="S43" s="1">
        <v>45443</v>
      </c>
    </row>
    <row r="44" spans="5:29" x14ac:dyDescent="0.25">
      <c r="S44" s="1">
        <v>45473</v>
      </c>
    </row>
    <row r="45" spans="5:29" x14ac:dyDescent="0.25">
      <c r="S45" s="2">
        <v>45476</v>
      </c>
      <c r="W45">
        <v>20</v>
      </c>
      <c r="X45">
        <f>W45/(1+AC45)^((S45-$S$4)/365)</f>
        <v>16.816529756823417</v>
      </c>
      <c r="Z45">
        <f>S45-$S$4</f>
        <v>1086</v>
      </c>
      <c r="AB45" t="s">
        <v>3</v>
      </c>
      <c r="AC45" s="5">
        <v>0.06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K555"/>
  <sheetViews>
    <sheetView tabSelected="1" topLeftCell="M1" zoomScale="85" zoomScaleNormal="85" workbookViewId="0">
      <selection activeCell="N69" sqref="N69"/>
    </sheetView>
  </sheetViews>
  <sheetFormatPr defaultRowHeight="15" x14ac:dyDescent="0.25"/>
  <cols>
    <col min="1" max="1" width="46.28515625" customWidth="1"/>
    <col min="2" max="2" width="26.28515625" customWidth="1"/>
    <col min="3" max="3" width="17.42578125" customWidth="1"/>
    <col min="4" max="4" width="18.7109375" customWidth="1"/>
    <col min="5" max="5" width="34.85546875" customWidth="1"/>
    <col min="6" max="6" width="18.7109375" customWidth="1"/>
    <col min="7" max="7" width="34.140625" customWidth="1"/>
    <col min="8" max="8" width="18.7109375" customWidth="1"/>
    <col min="9" max="9" width="32.85546875" customWidth="1"/>
    <col min="10" max="12" width="18.7109375" customWidth="1"/>
    <col min="13" max="13" width="22.140625" customWidth="1"/>
    <col min="14" max="14" width="20.140625" customWidth="1"/>
    <col min="15" max="15" width="19.140625" customWidth="1"/>
    <col min="16" max="16" width="17.85546875" customWidth="1"/>
    <col min="17" max="17" width="19.5703125" customWidth="1"/>
    <col min="18" max="18" width="16.7109375" customWidth="1"/>
    <col min="19" max="19" width="16.140625" customWidth="1"/>
    <col min="20" max="29" width="13.140625" customWidth="1"/>
    <col min="30" max="30" width="17.140625" customWidth="1"/>
    <col min="31" max="31" width="20.5703125" customWidth="1"/>
    <col min="32" max="32" width="18.28515625" customWidth="1"/>
    <col min="33" max="33" width="17.5703125" customWidth="1"/>
    <col min="34" max="34" width="18.140625" customWidth="1"/>
    <col min="38" max="38" width="12.85546875" bestFit="1" customWidth="1"/>
    <col min="40" max="40" width="18.5703125" customWidth="1"/>
    <col min="41" max="41" width="17.5703125" customWidth="1"/>
    <col min="42" max="42" width="18.42578125" customWidth="1"/>
    <col min="43" max="44" width="18.28515625" customWidth="1"/>
    <col min="45" max="45" width="12.7109375" bestFit="1" customWidth="1"/>
    <col min="46" max="63" width="17.140625" customWidth="1"/>
  </cols>
  <sheetData>
    <row r="1" spans="1:47" ht="102" customHeight="1" x14ac:dyDescent="0.25">
      <c r="A1" s="143" t="s">
        <v>102</v>
      </c>
      <c r="B1" s="143"/>
      <c r="C1" s="143"/>
    </row>
    <row r="2" spans="1:47" x14ac:dyDescent="0.25">
      <c r="A2" s="13" t="s">
        <v>28</v>
      </c>
      <c r="B2" s="13" t="s">
        <v>80</v>
      </c>
      <c r="E2" s="13"/>
      <c r="I2" s="13"/>
      <c r="M2" s="13" t="s">
        <v>21</v>
      </c>
      <c r="T2" s="13"/>
      <c r="AA2" s="13"/>
    </row>
    <row r="3" spans="1:47" x14ac:dyDescent="0.25">
      <c r="A3" t="s">
        <v>27</v>
      </c>
      <c r="B3" t="s">
        <v>81</v>
      </c>
      <c r="N3" t="s">
        <v>13</v>
      </c>
      <c r="P3" t="s">
        <v>12</v>
      </c>
      <c r="R3" t="s">
        <v>18</v>
      </c>
    </row>
    <row r="4" spans="1:47" x14ac:dyDescent="0.25">
      <c r="A4" t="s">
        <v>26</v>
      </c>
      <c r="B4" s="15">
        <v>69300000</v>
      </c>
      <c r="M4" t="s">
        <v>14</v>
      </c>
      <c r="N4" s="5" t="s">
        <v>53</v>
      </c>
      <c r="P4" s="5"/>
      <c r="R4" s="47">
        <v>44512</v>
      </c>
      <c r="U4" s="5"/>
      <c r="W4" s="5"/>
      <c r="AU4" s="1"/>
    </row>
    <row r="5" spans="1:47" x14ac:dyDescent="0.25">
      <c r="A5" t="s">
        <v>25</v>
      </c>
      <c r="B5" s="16">
        <v>44925</v>
      </c>
      <c r="M5" t="s">
        <v>15</v>
      </c>
      <c r="N5" s="5">
        <v>0.98</v>
      </c>
      <c r="P5" s="5">
        <v>1</v>
      </c>
      <c r="R5" s="47">
        <v>44603</v>
      </c>
      <c r="U5" s="5"/>
      <c r="W5" s="5"/>
      <c r="AU5" s="1"/>
    </row>
    <row r="6" spans="1:47" x14ac:dyDescent="0.25">
      <c r="A6" t="s">
        <v>24</v>
      </c>
      <c r="B6" s="16">
        <v>44433</v>
      </c>
      <c r="M6" t="s">
        <v>16</v>
      </c>
      <c r="N6" s="5">
        <v>0.96</v>
      </c>
      <c r="O6" s="21"/>
      <c r="P6" s="5">
        <v>1</v>
      </c>
      <c r="Q6" s="21"/>
      <c r="R6" s="47">
        <v>44693</v>
      </c>
      <c r="S6" s="21"/>
      <c r="U6" s="5"/>
      <c r="V6" s="21"/>
      <c r="W6" s="5"/>
      <c r="AU6" s="1"/>
    </row>
    <row r="7" spans="1:47" x14ac:dyDescent="0.25">
      <c r="A7" t="s">
        <v>98</v>
      </c>
      <c r="B7" s="115">
        <v>45516</v>
      </c>
      <c r="M7" t="s">
        <v>17</v>
      </c>
      <c r="N7" s="5">
        <v>0.94</v>
      </c>
      <c r="O7" s="21"/>
      <c r="P7" s="5">
        <v>1</v>
      </c>
      <c r="Q7" s="21"/>
      <c r="R7" s="47">
        <v>44785</v>
      </c>
      <c r="S7" s="21"/>
      <c r="U7" s="5"/>
      <c r="V7" s="21"/>
      <c r="W7" s="5"/>
      <c r="AU7" s="1"/>
    </row>
    <row r="8" spans="1:47" x14ac:dyDescent="0.25">
      <c r="A8" t="s">
        <v>10</v>
      </c>
      <c r="B8" s="33">
        <v>0.75</v>
      </c>
      <c r="F8" s="5"/>
      <c r="J8" s="5"/>
      <c r="M8" t="s">
        <v>54</v>
      </c>
      <c r="N8" s="5">
        <v>0.92</v>
      </c>
      <c r="O8" s="21"/>
      <c r="P8" s="5">
        <v>1</v>
      </c>
      <c r="Q8" s="21"/>
      <c r="R8" s="47">
        <v>44875</v>
      </c>
      <c r="S8" s="21"/>
      <c r="U8" s="5"/>
      <c r="V8" s="21"/>
      <c r="W8" s="5"/>
      <c r="AU8" s="1"/>
    </row>
    <row r="9" spans="1:47" x14ac:dyDescent="0.25">
      <c r="A9" t="s">
        <v>82</v>
      </c>
      <c r="B9" s="105">
        <v>0.18</v>
      </c>
      <c r="F9" s="32"/>
      <c r="J9" s="32"/>
      <c r="M9" s="4" t="s">
        <v>55</v>
      </c>
      <c r="N9" s="10">
        <v>0.9</v>
      </c>
      <c r="O9" s="4"/>
      <c r="P9" s="10">
        <v>1</v>
      </c>
      <c r="Q9" s="4"/>
      <c r="R9" s="2">
        <v>44967</v>
      </c>
      <c r="S9" s="21"/>
      <c r="U9" s="5"/>
      <c r="V9" s="21"/>
      <c r="W9" s="5"/>
      <c r="AU9" s="1"/>
    </row>
    <row r="10" spans="1:47" x14ac:dyDescent="0.25">
      <c r="A10" t="s">
        <v>52</v>
      </c>
      <c r="B10" s="106">
        <f>B9/4</f>
        <v>4.4999999999999998E-2</v>
      </c>
      <c r="F10" s="32"/>
      <c r="J10" s="32"/>
      <c r="M10" s="4" t="s">
        <v>56</v>
      </c>
      <c r="N10" s="10">
        <v>0.88</v>
      </c>
      <c r="O10" s="4"/>
      <c r="P10" s="10">
        <v>1</v>
      </c>
      <c r="Q10" s="4"/>
      <c r="R10" s="2">
        <v>45058</v>
      </c>
      <c r="S10" s="21"/>
      <c r="U10" s="5"/>
      <c r="V10" s="21"/>
      <c r="W10" s="5"/>
      <c r="AU10" s="1"/>
    </row>
    <row r="11" spans="1:47" x14ac:dyDescent="0.25">
      <c r="A11" t="s">
        <v>19</v>
      </c>
      <c r="B11" s="33">
        <v>0.75</v>
      </c>
      <c r="F11" s="32"/>
      <c r="J11" s="5"/>
      <c r="M11" s="4" t="s">
        <v>57</v>
      </c>
      <c r="N11" s="10">
        <v>0.86</v>
      </c>
      <c r="O11" s="4"/>
      <c r="P11" s="10">
        <v>1</v>
      </c>
      <c r="Q11" s="4"/>
      <c r="R11" s="2">
        <v>45149</v>
      </c>
      <c r="S11" s="21"/>
      <c r="U11" s="5"/>
      <c r="V11" s="21"/>
      <c r="W11" s="5"/>
      <c r="AU11" s="1"/>
    </row>
    <row r="12" spans="1:47" x14ac:dyDescent="0.25">
      <c r="A12" t="s">
        <v>12</v>
      </c>
      <c r="B12" s="33">
        <v>1</v>
      </c>
      <c r="F12" s="32"/>
      <c r="J12" s="5"/>
      <c r="M12" s="4" t="s">
        <v>58</v>
      </c>
      <c r="N12" s="10">
        <v>0.84</v>
      </c>
      <c r="O12" s="4"/>
      <c r="P12" s="10">
        <v>1</v>
      </c>
      <c r="Q12" s="4"/>
      <c r="R12" s="2">
        <v>45243</v>
      </c>
      <c r="S12" s="21"/>
      <c r="U12" s="5"/>
      <c r="V12" s="21"/>
      <c r="W12" s="5"/>
      <c r="AU12" s="1"/>
    </row>
    <row r="13" spans="1:47" x14ac:dyDescent="0.25">
      <c r="A13" t="s">
        <v>94</v>
      </c>
      <c r="B13" s="33">
        <v>0.75</v>
      </c>
      <c r="F13" s="32"/>
      <c r="J13" s="5"/>
      <c r="M13" s="4" t="s">
        <v>59</v>
      </c>
      <c r="N13" s="10">
        <v>0.82</v>
      </c>
      <c r="O13" s="4"/>
      <c r="P13" s="10">
        <v>1</v>
      </c>
      <c r="Q13" s="4"/>
      <c r="R13" s="2">
        <v>45334</v>
      </c>
      <c r="S13" s="21"/>
      <c r="U13" s="5"/>
      <c r="V13" s="21"/>
      <c r="W13" s="5"/>
      <c r="AU13" s="1"/>
    </row>
    <row r="14" spans="1:47" x14ac:dyDescent="0.25">
      <c r="A14" t="s">
        <v>63</v>
      </c>
      <c r="B14" s="33" t="s">
        <v>11</v>
      </c>
      <c r="M14" s="4" t="s">
        <v>60</v>
      </c>
      <c r="N14" s="10">
        <v>0.8</v>
      </c>
      <c r="O14" s="4"/>
      <c r="P14" s="10">
        <v>1</v>
      </c>
      <c r="Q14" s="4"/>
      <c r="R14" s="2">
        <v>45422</v>
      </c>
      <c r="S14" s="21"/>
      <c r="U14" s="5"/>
      <c r="V14" s="21"/>
      <c r="W14" s="5"/>
      <c r="AU14" s="1"/>
    </row>
    <row r="15" spans="1:47" x14ac:dyDescent="0.25">
      <c r="A15" t="s">
        <v>83</v>
      </c>
      <c r="B15" s="33" t="s">
        <v>96</v>
      </c>
      <c r="F15" s="32"/>
      <c r="J15" s="40"/>
      <c r="M15" s="4" t="s">
        <v>61</v>
      </c>
      <c r="N15" s="10">
        <v>0.78</v>
      </c>
      <c r="O15" s="4"/>
      <c r="P15" s="10">
        <v>1</v>
      </c>
      <c r="Q15" s="4"/>
      <c r="R15" s="2">
        <v>45516</v>
      </c>
      <c r="S15" s="21"/>
      <c r="U15" s="5"/>
      <c r="V15" s="21"/>
      <c r="W15" s="5"/>
      <c r="AU15" s="1"/>
    </row>
    <row r="16" spans="1:47" ht="34.5" customHeight="1" x14ac:dyDescent="0.25">
      <c r="A16" s="138" t="s">
        <v>97</v>
      </c>
      <c r="B16" s="120">
        <v>4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AU16" s="1"/>
    </row>
    <row r="17" spans="1:47" x14ac:dyDescent="0.25">
      <c r="B17" s="17"/>
      <c r="F17" s="32"/>
      <c r="J17" s="32"/>
      <c r="N17" s="21"/>
      <c r="O17" s="21"/>
      <c r="P17" s="21"/>
      <c r="Q17" s="21"/>
      <c r="R17" s="21"/>
      <c r="S17" s="21"/>
      <c r="T17" s="21"/>
      <c r="U17" s="21"/>
      <c r="V17" s="21"/>
      <c r="W17" s="21"/>
      <c r="AU17" s="1"/>
    </row>
    <row r="18" spans="1:47" x14ac:dyDescent="0.25">
      <c r="B18" s="107"/>
      <c r="N18" s="21"/>
      <c r="O18" s="21"/>
      <c r="P18" s="21"/>
      <c r="Q18" s="21"/>
      <c r="R18" s="21"/>
      <c r="S18" s="21"/>
      <c r="T18" s="21"/>
      <c r="U18" s="42"/>
      <c r="V18" s="21"/>
      <c r="W18" s="21"/>
      <c r="X18" s="21"/>
      <c r="Y18" s="21"/>
      <c r="Z18" s="21"/>
      <c r="AA18" s="21"/>
      <c r="AB18" s="21"/>
      <c r="AC18" s="21"/>
      <c r="AD18" s="21"/>
      <c r="AU18" s="1"/>
    </row>
    <row r="19" spans="1:47" x14ac:dyDescent="0.25">
      <c r="A19" t="s">
        <v>6</v>
      </c>
      <c r="B19" s="14"/>
      <c r="C19" s="27" t="s">
        <v>47</v>
      </c>
      <c r="D19" s="27" t="s">
        <v>50</v>
      </c>
      <c r="F19" s="14"/>
      <c r="G19" s="27"/>
      <c r="H19" s="27"/>
      <c r="J19" s="14"/>
      <c r="K19" s="27"/>
      <c r="L19" s="27"/>
      <c r="M19" s="27"/>
      <c r="N19" s="24" t="s">
        <v>51</v>
      </c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1"/>
      <c r="AU19" s="1"/>
    </row>
    <row r="20" spans="1:47" x14ac:dyDescent="0.25">
      <c r="A20" s="18" t="s">
        <v>87</v>
      </c>
      <c r="B20" t="str">
        <f>A20</f>
        <v>SQ UN Equity</v>
      </c>
      <c r="C20" s="19">
        <v>3.8999999999999998E-3</v>
      </c>
      <c r="D20" s="19">
        <f>Предпосылки!W3</f>
        <v>0.18736457607830648</v>
      </c>
      <c r="E20" s="18"/>
      <c r="G20" s="19"/>
      <c r="H20" s="20"/>
      <c r="I20" s="18"/>
      <c r="K20" s="19"/>
      <c r="L20" s="20"/>
      <c r="M20" s="31"/>
      <c r="N20" s="41"/>
      <c r="O20" t="str">
        <f t="array" ref="O20:S20">TRANSPOSE(N21:N25)</f>
        <v>SQ UN Equity</v>
      </c>
      <c r="P20" t="str">
        <v>ZM UW Equity</v>
      </c>
      <c r="Q20" t="str">
        <v>AMD UW Equity</v>
      </c>
      <c r="R20" t="str">
        <v>NVDA UW Equity</v>
      </c>
      <c r="S20" s="41" t="str">
        <v>PYPL UW Equity</v>
      </c>
      <c r="T20" s="41"/>
      <c r="U20" s="41"/>
      <c r="V20" s="41"/>
      <c r="W20" s="41"/>
      <c r="X20" s="41"/>
      <c r="Y20" s="41"/>
      <c r="Z20" s="41"/>
      <c r="AA20" s="41"/>
      <c r="AB20" s="41"/>
      <c r="AD20" s="21"/>
      <c r="AU20" s="1"/>
    </row>
    <row r="21" spans="1:47" x14ac:dyDescent="0.25">
      <c r="A21" s="18" t="s">
        <v>88</v>
      </c>
      <c r="B21" t="str">
        <f t="shared" ref="B21:B24" si="0">A21</f>
        <v>ZM UW Equity</v>
      </c>
      <c r="C21" s="19">
        <v>3.8999999999999998E-3</v>
      </c>
      <c r="D21" s="19">
        <f>Предпосылки!X3</f>
        <v>0.18463181203842488</v>
      </c>
      <c r="E21" s="18"/>
      <c r="G21" s="19"/>
      <c r="H21" s="20"/>
      <c r="I21" s="18"/>
      <c r="K21" s="19"/>
      <c r="L21" s="20"/>
      <c r="M21" s="38">
        <v>1</v>
      </c>
      <c r="N21" s="139" t="s">
        <v>87</v>
      </c>
      <c r="O21" s="46">
        <f>Предпосылки!Q11</f>
        <v>0.99999999999999978</v>
      </c>
      <c r="P21" s="46">
        <f>Предпосылки!R11</f>
        <v>0.25613805904678838</v>
      </c>
      <c r="Q21" s="46">
        <f>Предпосылки!S11</f>
        <v>0.54888184036973553</v>
      </c>
      <c r="R21" s="46">
        <f>Предпосылки!T11</f>
        <v>0.65534029374124725</v>
      </c>
      <c r="S21" s="46">
        <f>Предпосылки!U11</f>
        <v>0.61943703201415334</v>
      </c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1"/>
      <c r="AU21" s="1"/>
    </row>
    <row r="22" spans="1:47" x14ac:dyDescent="0.25">
      <c r="A22" s="18" t="s">
        <v>84</v>
      </c>
      <c r="B22" t="str">
        <f t="shared" si="0"/>
        <v>AMD UW Equity</v>
      </c>
      <c r="C22" s="19">
        <v>3.8999999999999998E-3</v>
      </c>
      <c r="D22" s="19">
        <f>Предпосылки!Y3</f>
        <v>0.16045773212327669</v>
      </c>
      <c r="E22" s="18"/>
      <c r="G22" s="19"/>
      <c r="H22" s="20"/>
      <c r="I22" s="18"/>
      <c r="K22" s="19"/>
      <c r="L22" s="20"/>
      <c r="M22" s="38">
        <v>2</v>
      </c>
      <c r="N22" s="139" t="s">
        <v>88</v>
      </c>
      <c r="O22" s="46">
        <f>Предпосылки!Q12</f>
        <v>0.25613805904678838</v>
      </c>
      <c r="P22" s="46">
        <f>Предпосылки!R12</f>
        <v>0.99999999999999978</v>
      </c>
      <c r="Q22" s="46">
        <f>Предпосылки!S12</f>
        <v>6.0173854678676711E-2</v>
      </c>
      <c r="R22" s="46">
        <f>Предпосылки!T12</f>
        <v>0.29466029891074996</v>
      </c>
      <c r="S22" s="46">
        <f>Предпосылки!U12</f>
        <v>0.209648393303596</v>
      </c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1"/>
      <c r="AE22" s="32"/>
      <c r="AU22" s="1"/>
    </row>
    <row r="23" spans="1:47" x14ac:dyDescent="0.25">
      <c r="A23" s="18" t="s">
        <v>85</v>
      </c>
      <c r="B23" t="str">
        <f t="shared" si="0"/>
        <v>NVDA UW Equity</v>
      </c>
      <c r="C23" s="19">
        <v>3.8999999999999998E-3</v>
      </c>
      <c r="D23" s="19">
        <f>Предпосылки!Z3</f>
        <v>0.14569038145939303</v>
      </c>
      <c r="E23" s="18"/>
      <c r="G23" s="19"/>
      <c r="H23" s="20"/>
      <c r="I23" s="18"/>
      <c r="K23" s="19"/>
      <c r="L23" s="20"/>
      <c r="M23" s="38">
        <v>3</v>
      </c>
      <c r="N23" s="139" t="s">
        <v>84</v>
      </c>
      <c r="O23" s="46">
        <f>Предпосылки!Q13</f>
        <v>0.54888184036973553</v>
      </c>
      <c r="P23" s="46">
        <f>Предпосылки!R13</f>
        <v>6.0173854678676711E-2</v>
      </c>
      <c r="Q23" s="46">
        <f>Предпосылки!S13</f>
        <v>0.99999999999999989</v>
      </c>
      <c r="R23" s="46">
        <f>Предпосылки!T13</f>
        <v>0.76019734129524197</v>
      </c>
      <c r="S23" s="46">
        <f>Предпосылки!U13</f>
        <v>0.29731564880294131</v>
      </c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1"/>
      <c r="AU23" s="1"/>
    </row>
    <row r="24" spans="1:47" x14ac:dyDescent="0.25">
      <c r="A24" s="18" t="s">
        <v>86</v>
      </c>
      <c r="B24" t="str">
        <f t="shared" si="0"/>
        <v>PYPL UW Equity</v>
      </c>
      <c r="C24" s="19">
        <v>3.8999999999999998E-3</v>
      </c>
      <c r="D24" s="19">
        <f>Предпосылки!AA3</f>
        <v>0.13994517119003472</v>
      </c>
      <c r="E24" s="18"/>
      <c r="G24" s="20"/>
      <c r="H24" s="20"/>
      <c r="I24" s="18"/>
      <c r="K24" s="20"/>
      <c r="L24" s="20"/>
      <c r="M24" s="38">
        <v>4</v>
      </c>
      <c r="N24" s="139" t="s">
        <v>85</v>
      </c>
      <c r="O24" s="46">
        <f>Предпосылки!Q14</f>
        <v>0.65534029374124725</v>
      </c>
      <c r="P24" s="46">
        <f>Предпосылки!R14</f>
        <v>0.29466029891074996</v>
      </c>
      <c r="Q24" s="46">
        <f>Предпосылки!S14</f>
        <v>0.76019734129524197</v>
      </c>
      <c r="R24" s="46">
        <f>Предпосылки!T14</f>
        <v>0.99999999999999978</v>
      </c>
      <c r="S24" s="46">
        <f>Предпосылки!U14</f>
        <v>0.40525070343829267</v>
      </c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1"/>
      <c r="AU24" s="1"/>
    </row>
    <row r="25" spans="1:47" x14ac:dyDescent="0.25">
      <c r="B25" s="14"/>
      <c r="M25" s="38">
        <v>5</v>
      </c>
      <c r="N25" s="139" t="s">
        <v>86</v>
      </c>
      <c r="O25" s="46">
        <f>Предпосылки!Q15</f>
        <v>0.61943703201415334</v>
      </c>
      <c r="P25" s="46">
        <f>Предпосылки!R15</f>
        <v>0.209648393303596</v>
      </c>
      <c r="Q25" s="46">
        <f>Предпосылки!S15</f>
        <v>0.29731564880294131</v>
      </c>
      <c r="R25" s="46">
        <f>Предпосылки!T15</f>
        <v>0.40525070343829267</v>
      </c>
      <c r="S25" s="46">
        <f>Предпосылки!U15</f>
        <v>1</v>
      </c>
      <c r="T25" s="23"/>
      <c r="U25" s="23"/>
      <c r="V25" s="23"/>
      <c r="W25" s="23"/>
      <c r="X25" s="23"/>
      <c r="Y25" s="23"/>
      <c r="Z25" s="23"/>
      <c r="AA25" s="23"/>
      <c r="AB25" s="23"/>
      <c r="AC25" s="22"/>
      <c r="AD25" s="21"/>
      <c r="AU25" s="1"/>
    </row>
    <row r="26" spans="1:47" x14ac:dyDescent="0.25">
      <c r="B26" s="14"/>
      <c r="M26" s="38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2"/>
      <c r="AD26" s="21"/>
      <c r="AU26" s="1"/>
    </row>
    <row r="27" spans="1:47" x14ac:dyDescent="0.25">
      <c r="B27" s="17"/>
      <c r="M27" s="38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2"/>
      <c r="AD27" s="21"/>
      <c r="AU27" s="1"/>
    </row>
    <row r="28" spans="1:47" x14ac:dyDescent="0.25">
      <c r="B28" s="14"/>
      <c r="C28" s="32"/>
      <c r="M28" s="38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2"/>
      <c r="AD28" s="21"/>
      <c r="AU28" s="1"/>
    </row>
    <row r="29" spans="1:47" x14ac:dyDescent="0.25">
      <c r="B29" s="14"/>
      <c r="M29" s="38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2"/>
      <c r="AD29" s="21"/>
      <c r="AU29" s="1"/>
    </row>
    <row r="30" spans="1:47" x14ac:dyDescent="0.25">
      <c r="B30" s="14"/>
      <c r="M30" s="38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2"/>
      <c r="AD30" s="21"/>
      <c r="AU30" s="1"/>
    </row>
    <row r="31" spans="1:47" x14ac:dyDescent="0.25">
      <c r="B31" s="14"/>
      <c r="M31" s="38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2"/>
      <c r="AD31" s="21"/>
      <c r="AU31" s="1"/>
    </row>
    <row r="32" spans="1:47" x14ac:dyDescent="0.25">
      <c r="B32" s="14"/>
      <c r="M32" s="38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2"/>
      <c r="AD32" s="21"/>
      <c r="AU32" s="1"/>
    </row>
    <row r="33" spans="1:47" x14ac:dyDescent="0.25">
      <c r="B33" s="14"/>
      <c r="M33" s="38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2"/>
      <c r="AD33" s="21"/>
      <c r="AU33" s="1"/>
    </row>
    <row r="34" spans="1:47" x14ac:dyDescent="0.25">
      <c r="B34" s="14"/>
      <c r="M34" s="38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2"/>
      <c r="AD34" s="21"/>
      <c r="AU34" s="1"/>
    </row>
    <row r="35" spans="1:47" x14ac:dyDescent="0.25">
      <c r="B35" s="14"/>
      <c r="M35" s="38"/>
      <c r="O35" s="23"/>
      <c r="P35" s="23"/>
      <c r="Q35" s="23"/>
      <c r="R35" s="23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1"/>
      <c r="AU35" s="1"/>
    </row>
    <row r="36" spans="1:47" x14ac:dyDescent="0.25">
      <c r="M36" s="39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</row>
    <row r="37" spans="1:47" x14ac:dyDescent="0.25">
      <c r="A37" s="1"/>
      <c r="B37" s="14"/>
      <c r="C37" s="1"/>
      <c r="E37" s="1"/>
      <c r="I37" s="1"/>
      <c r="N37" s="24" t="s">
        <v>7</v>
      </c>
      <c r="O37" s="24">
        <v>1</v>
      </c>
      <c r="P37" s="24">
        <v>2</v>
      </c>
      <c r="Q37" s="24">
        <v>3</v>
      </c>
      <c r="R37" s="24">
        <v>4</v>
      </c>
      <c r="S37" s="24">
        <v>5</v>
      </c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1"/>
    </row>
    <row r="38" spans="1:47" x14ac:dyDescent="0.25">
      <c r="A38" s="1"/>
      <c r="B38" s="14"/>
      <c r="C38" s="1"/>
      <c r="E38" s="1"/>
      <c r="I38" s="1"/>
      <c r="N38" s="22"/>
      <c r="O38" s="18" t="str">
        <f t="array" ref="O38:S38">TRANSPOSE(N39:N43)</f>
        <v>SQ UN Equity</v>
      </c>
      <c r="P38" s="18" t="str">
        <v>ZM UW Equity</v>
      </c>
      <c r="Q38" s="18" t="str">
        <v>AMD UW Equity</v>
      </c>
      <c r="R38" s="18" t="str">
        <v>NVDA UW Equity</v>
      </c>
      <c r="S38" s="18" t="str">
        <v>PYPL UW Equity</v>
      </c>
      <c r="T38" s="18"/>
      <c r="U38" s="18"/>
      <c r="V38" s="18"/>
      <c r="W38" s="18"/>
      <c r="X38" s="18"/>
      <c r="Y38" s="18"/>
      <c r="Z38" s="18"/>
      <c r="AA38" s="18"/>
      <c r="AB38" s="18"/>
      <c r="AD38" s="21"/>
    </row>
    <row r="39" spans="1:47" x14ac:dyDescent="0.25">
      <c r="A39" s="37"/>
      <c r="B39" s="14"/>
      <c r="C39" s="1"/>
      <c r="E39" s="37"/>
      <c r="I39" s="37"/>
      <c r="M39">
        <v>1</v>
      </c>
      <c r="N39" t="s">
        <v>87</v>
      </c>
      <c r="O39" s="25">
        <f t="array" ref="O39:S43">Cholesky(O21:S25)</f>
        <v>0.99999999999999989</v>
      </c>
      <c r="P39" s="25">
        <v>0.25613805904678844</v>
      </c>
      <c r="Q39" s="25">
        <v>0.54888184036973564</v>
      </c>
      <c r="R39" s="25">
        <v>0.65534029374124736</v>
      </c>
      <c r="S39" s="25">
        <v>0.61943703201415345</v>
      </c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1"/>
    </row>
    <row r="40" spans="1:47" x14ac:dyDescent="0.25">
      <c r="B40" s="32"/>
      <c r="F40" s="32"/>
      <c r="J40" s="32"/>
      <c r="M40">
        <v>2</v>
      </c>
      <c r="N40" t="s">
        <v>88</v>
      </c>
      <c r="O40">
        <v>0</v>
      </c>
      <c r="P40" s="25">
        <v>0.9666402095442459</v>
      </c>
      <c r="Q40" s="25">
        <v>-8.3190905743069726E-2</v>
      </c>
      <c r="R40" s="25">
        <v>0.13117880552113589</v>
      </c>
      <c r="S40" s="25">
        <v>5.2746610081352674E-2</v>
      </c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1"/>
    </row>
    <row r="41" spans="1:47" x14ac:dyDescent="0.25">
      <c r="A41" t="s">
        <v>20</v>
      </c>
      <c r="B41" s="34">
        <f>B9/4</f>
        <v>4.4999999999999998E-2</v>
      </c>
      <c r="D41" s="6"/>
      <c r="F41" s="32"/>
      <c r="M41">
        <v>3</v>
      </c>
      <c r="N41" t="s">
        <v>84</v>
      </c>
      <c r="O41">
        <v>0</v>
      </c>
      <c r="P41">
        <v>0</v>
      </c>
      <c r="Q41" s="25">
        <v>0.83174996153530389</v>
      </c>
      <c r="R41" s="25">
        <v>0.49462681992109475</v>
      </c>
      <c r="S41" s="25">
        <v>-4.6040340036714776E-2</v>
      </c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1"/>
    </row>
    <row r="42" spans="1:47" x14ac:dyDescent="0.25">
      <c r="M42">
        <v>4</v>
      </c>
      <c r="N42" t="s">
        <v>85</v>
      </c>
      <c r="O42">
        <v>0</v>
      </c>
      <c r="P42">
        <v>0</v>
      </c>
      <c r="Q42">
        <v>0</v>
      </c>
      <c r="R42">
        <v>0.55557675382968319</v>
      </c>
      <c r="S42" s="25">
        <v>2.7290930540380644E-2</v>
      </c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1"/>
    </row>
    <row r="43" spans="1:47" x14ac:dyDescent="0.25">
      <c r="A43" s="4" t="s">
        <v>29</v>
      </c>
      <c r="B43" s="2">
        <v>44433</v>
      </c>
      <c r="E43" s="4"/>
      <c r="I43" s="4"/>
      <c r="M43">
        <v>5</v>
      </c>
      <c r="N43" t="s">
        <v>86</v>
      </c>
      <c r="O43">
        <v>0</v>
      </c>
      <c r="P43">
        <v>0</v>
      </c>
      <c r="Q43">
        <v>0</v>
      </c>
      <c r="R43">
        <v>0</v>
      </c>
      <c r="S43" s="25">
        <v>0.78144164893737655</v>
      </c>
      <c r="T43" s="25"/>
      <c r="U43" s="25"/>
      <c r="V43" s="25"/>
      <c r="W43" s="25"/>
      <c r="X43" s="25"/>
      <c r="Y43" s="25"/>
      <c r="Z43" s="25"/>
      <c r="AA43" s="25"/>
      <c r="AB43" s="25"/>
      <c r="AC43" s="25"/>
    </row>
    <row r="44" spans="1:47" x14ac:dyDescent="0.25">
      <c r="A44" s="18" t="s">
        <v>87</v>
      </c>
      <c r="B44" s="43">
        <v>267.57</v>
      </c>
      <c r="E44" s="18"/>
      <c r="I44" s="18"/>
      <c r="N44" s="18"/>
      <c r="T44" s="25"/>
      <c r="U44" s="25"/>
      <c r="V44" s="25"/>
      <c r="W44" s="25"/>
      <c r="X44" s="25"/>
      <c r="Y44" s="25"/>
      <c r="Z44" s="25"/>
      <c r="AA44" s="25"/>
      <c r="AB44" s="25"/>
    </row>
    <row r="45" spans="1:47" x14ac:dyDescent="0.25">
      <c r="A45" s="18" t="s">
        <v>88</v>
      </c>
      <c r="B45" s="43">
        <v>337.74</v>
      </c>
      <c r="E45" s="18"/>
      <c r="I45" s="18"/>
      <c r="N45" s="18"/>
      <c r="U45" s="25"/>
      <c r="V45" s="25"/>
      <c r="W45" s="25"/>
      <c r="X45" s="25"/>
      <c r="Y45" s="25"/>
      <c r="Z45" s="25"/>
      <c r="AA45" s="25"/>
      <c r="AB45" s="25"/>
    </row>
    <row r="46" spans="1:47" x14ac:dyDescent="0.25">
      <c r="A46" s="18" t="s">
        <v>84</v>
      </c>
      <c r="B46" s="43">
        <v>108.3</v>
      </c>
      <c r="E46" s="18"/>
      <c r="I46" s="18"/>
      <c r="N46" s="18"/>
      <c r="V46" s="25"/>
      <c r="W46" s="25"/>
      <c r="X46" s="25"/>
      <c r="Y46" s="25"/>
      <c r="Z46" s="25"/>
      <c r="AA46" s="25"/>
      <c r="AB46" s="25"/>
    </row>
    <row r="47" spans="1:47" x14ac:dyDescent="0.25">
      <c r="A47" s="18" t="s">
        <v>85</v>
      </c>
      <c r="B47" s="43">
        <v>222.13</v>
      </c>
      <c r="E47" s="18"/>
      <c r="I47" s="18"/>
      <c r="N47" s="18"/>
      <c r="W47" s="25"/>
      <c r="X47" s="25"/>
      <c r="Y47" s="25"/>
      <c r="Z47" s="25"/>
      <c r="AA47" s="25"/>
      <c r="AB47" s="25"/>
    </row>
    <row r="48" spans="1:47" x14ac:dyDescent="0.25">
      <c r="A48" s="18" t="s">
        <v>86</v>
      </c>
      <c r="B48" s="43">
        <v>277.69</v>
      </c>
      <c r="E48" s="18"/>
      <c r="I48" s="18"/>
      <c r="N48" s="18"/>
      <c r="X48" s="25"/>
      <c r="Y48" s="25"/>
      <c r="Z48" s="25"/>
      <c r="AA48" s="25"/>
      <c r="AB48" s="25"/>
    </row>
    <row r="49" spans="1:63" x14ac:dyDescent="0.25">
      <c r="N49" s="18"/>
      <c r="Y49" s="25"/>
      <c r="Z49" s="25"/>
      <c r="AA49" s="25"/>
      <c r="AB49" s="25"/>
    </row>
    <row r="50" spans="1:63" x14ac:dyDescent="0.25">
      <c r="A50" s="4" t="s">
        <v>30</v>
      </c>
      <c r="B50" s="2">
        <v>44925</v>
      </c>
      <c r="N50" s="18"/>
      <c r="Z50" s="25"/>
      <c r="AA50" s="25"/>
      <c r="AB50" s="25"/>
    </row>
    <row r="51" spans="1:63" x14ac:dyDescent="0.25">
      <c r="A51" s="18" t="s">
        <v>87</v>
      </c>
      <c r="B51" s="43">
        <v>62.84</v>
      </c>
      <c r="N51" s="18"/>
      <c r="AA51" s="25"/>
      <c r="AB51" s="25"/>
    </row>
    <row r="52" spans="1:63" x14ac:dyDescent="0.25">
      <c r="A52" s="18" t="s">
        <v>88</v>
      </c>
      <c r="B52" s="43">
        <v>67.739999999999995</v>
      </c>
      <c r="N52" s="18"/>
      <c r="AB52" s="25"/>
    </row>
    <row r="53" spans="1:63" x14ac:dyDescent="0.25">
      <c r="A53" s="18" t="s">
        <v>84</v>
      </c>
      <c r="B53" s="43">
        <v>64.77</v>
      </c>
    </row>
    <row r="54" spans="1:63" x14ac:dyDescent="0.25">
      <c r="A54" s="18" t="s">
        <v>85</v>
      </c>
      <c r="B54" s="43">
        <v>146.13999999999999</v>
      </c>
    </row>
    <row r="55" spans="1:63" x14ac:dyDescent="0.25">
      <c r="A55" s="18" t="s">
        <v>86</v>
      </c>
      <c r="B55" s="43">
        <v>71.22</v>
      </c>
    </row>
    <row r="56" spans="1:63" x14ac:dyDescent="0.25">
      <c r="A56" s="18"/>
    </row>
    <row r="57" spans="1:63" x14ac:dyDescent="0.25">
      <c r="A57" s="18"/>
    </row>
    <row r="58" spans="1:63" x14ac:dyDescent="0.25">
      <c r="A58" s="18"/>
    </row>
    <row r="59" spans="1:63" x14ac:dyDescent="0.25">
      <c r="A59" s="18"/>
    </row>
    <row r="60" spans="1:63" x14ac:dyDescent="0.25">
      <c r="A60" s="18"/>
      <c r="B60" s="1"/>
      <c r="AU60" s="36" t="str">
        <f t="array" ref="AU60:AY60">TRANSPOSE(A20:A24)</f>
        <v>SQ UN Equity</v>
      </c>
      <c r="AV60" s="36" t="str">
        <v>ZM UW Equity</v>
      </c>
      <c r="AW60" s="36" t="str">
        <v>AMD UW Equity</v>
      </c>
      <c r="AX60" s="36" t="str">
        <v>NVDA UW Equity</v>
      </c>
      <c r="AY60" s="13" t="str">
        <v>PYPL UW Equity</v>
      </c>
    </row>
    <row r="61" spans="1:63" x14ac:dyDescent="0.25">
      <c r="A61" s="18"/>
      <c r="AT61" t="s">
        <v>22</v>
      </c>
      <c r="AU61" s="32">
        <f t="array" ref="AU61:AY61">TRANSPOSE(C20:C24)</f>
        <v>3.8999999999999998E-3</v>
      </c>
      <c r="AV61" s="32">
        <v>3.8999999999999998E-3</v>
      </c>
      <c r="AW61" s="32">
        <v>3.8999999999999998E-3</v>
      </c>
      <c r="AX61" s="32">
        <v>3.8999999999999998E-3</v>
      </c>
      <c r="AY61" s="32">
        <v>3.8999999999999998E-3</v>
      </c>
      <c r="AZ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</row>
    <row r="62" spans="1:63" x14ac:dyDescent="0.25">
      <c r="A62" s="18"/>
      <c r="AT62" t="s">
        <v>23</v>
      </c>
      <c r="AU62" s="32">
        <f t="array" ref="AU62:AY62">TRANSPOSE(D20:D24)</f>
        <v>0.18736457607830648</v>
      </c>
      <c r="AV62" s="32">
        <v>0.18463181203842488</v>
      </c>
      <c r="AW62" s="32">
        <v>0.16045773212327669</v>
      </c>
      <c r="AX62" s="32">
        <v>0.14569038145939303</v>
      </c>
      <c r="AY62" s="32">
        <v>0.13994517119003472</v>
      </c>
      <c r="AZ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</row>
    <row r="63" spans="1:63" x14ac:dyDescent="0.25">
      <c r="A63" s="18"/>
      <c r="BB63" s="5"/>
      <c r="BC63" s="5"/>
    </row>
    <row r="64" spans="1:63" x14ac:dyDescent="0.25">
      <c r="A64" s="18"/>
      <c r="N64" s="142" t="s">
        <v>8</v>
      </c>
      <c r="O64" s="142"/>
      <c r="P64" s="142"/>
      <c r="Q64" s="142"/>
      <c r="R64" s="142"/>
      <c r="AC64" s="142" t="s">
        <v>46</v>
      </c>
      <c r="AD64" s="142"/>
      <c r="AE64" s="142"/>
      <c r="AF64" s="142"/>
      <c r="AG64" s="142"/>
      <c r="AM64" s="13" t="s">
        <v>48</v>
      </c>
      <c r="AU64" s="13" t="s">
        <v>9</v>
      </c>
      <c r="BB64" s="13"/>
      <c r="BC64" s="13"/>
    </row>
    <row r="65" spans="1:63" ht="15" customHeight="1" x14ac:dyDescent="0.25">
      <c r="A65" s="18"/>
      <c r="N65" s="142"/>
      <c r="O65" s="142"/>
      <c r="P65" s="142"/>
      <c r="Q65" s="142"/>
      <c r="R65" s="142"/>
      <c r="AC65" s="142"/>
      <c r="AD65" s="142"/>
      <c r="AE65" s="142"/>
      <c r="AF65" s="142"/>
      <c r="AG65" s="142"/>
      <c r="AT65" s="1"/>
      <c r="AZ65" s="6"/>
      <c r="BA65" s="1"/>
      <c r="BB65" s="5"/>
      <c r="BC65" s="5"/>
      <c r="BD65" s="5"/>
      <c r="BE65" s="5"/>
      <c r="BF65" s="5"/>
      <c r="BG65" s="5"/>
      <c r="BH65" s="5"/>
      <c r="BI65" s="5"/>
      <c r="BJ65" s="5"/>
      <c r="BK65" s="5"/>
    </row>
    <row r="66" spans="1:63" x14ac:dyDescent="0.25">
      <c r="N66" s="36" t="str">
        <f t="array" ref="N66:R66">TRANSPOSE(A20:A24)</f>
        <v>SQ UN Equity</v>
      </c>
      <c r="O66" s="36" t="str">
        <v>ZM UW Equity</v>
      </c>
      <c r="P66" s="36" t="str">
        <v>AMD UW Equity</v>
      </c>
      <c r="Q66" s="36" t="str">
        <v>NVDA UW Equity</v>
      </c>
      <c r="R66" s="36" t="str">
        <v>PYPL UW Equity</v>
      </c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 t="str">
        <f t="array" ref="AD66:AH66">TRANSPOSE(A20:A24)</f>
        <v>SQ UN Equity</v>
      </c>
      <c r="AE66" s="36" t="str">
        <v>ZM UW Equity</v>
      </c>
      <c r="AF66" s="36" t="str">
        <v>AMD UW Equity</v>
      </c>
      <c r="AG66" s="36" t="str">
        <v>NVDA UW Equity</v>
      </c>
      <c r="AH66" s="36" t="str">
        <v>PYPL UW Equity</v>
      </c>
      <c r="AI66" s="36"/>
      <c r="AJ66" s="36"/>
      <c r="AK66" s="36"/>
      <c r="AL66" s="109">
        <v>44925</v>
      </c>
      <c r="AM66" s="18" t="s">
        <v>49</v>
      </c>
      <c r="AN66" s="36" t="str">
        <f t="array" ref="AN66:AR66">TRANSPOSE(A20:A24)</f>
        <v>SQ UN Equity</v>
      </c>
      <c r="AO66" s="36" t="str">
        <v>ZM UW Equity</v>
      </c>
      <c r="AP66" s="36" t="str">
        <v>AMD UW Equity</v>
      </c>
      <c r="AQ66" s="36" t="str">
        <v>NVDA UW Equity</v>
      </c>
      <c r="AR66" s="36" t="str">
        <v>PYPL UW Equity</v>
      </c>
      <c r="AS66" s="13"/>
      <c r="AT66" s="109">
        <v>44925</v>
      </c>
      <c r="AU66" s="117">
        <f t="array" ref="AU66:AY66">TRANSPOSE(B51:B55)</f>
        <v>62.84</v>
      </c>
      <c r="AV66" s="117">
        <v>67.739999999999995</v>
      </c>
      <c r="AW66" s="117">
        <v>64.77</v>
      </c>
      <c r="AX66" s="117">
        <v>146.13999999999999</v>
      </c>
      <c r="AY66" s="36">
        <v>71.22</v>
      </c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</row>
    <row r="67" spans="1:63" x14ac:dyDescent="0.25">
      <c r="M67">
        <v>1</v>
      </c>
      <c r="N67" s="137">
        <f ca="1">_xlfn.NORM.INV(RAND(),0,1)</f>
        <v>-1.1135325769479678</v>
      </c>
      <c r="O67" s="137">
        <f t="shared" ref="O67:R82" ca="1" si="1">_xlfn.NORM.INV(RAND(),0,1)</f>
        <v>-1.0967484875610831</v>
      </c>
      <c r="P67" s="137">
        <f t="shared" ca="1" si="1"/>
        <v>2.1178758298269007</v>
      </c>
      <c r="Q67" s="137">
        <f t="shared" ca="1" si="1"/>
        <v>1.1320109886020797</v>
      </c>
      <c r="R67" s="137">
        <f t="shared" ca="1" si="1"/>
        <v>0.29006863603438193</v>
      </c>
      <c r="S67" s="26"/>
      <c r="T67" s="26"/>
      <c r="U67" s="26"/>
      <c r="V67" s="26"/>
      <c r="W67" s="26"/>
      <c r="X67" s="26"/>
      <c r="Y67" s="26"/>
      <c r="Z67" s="26"/>
      <c r="AA67" s="26"/>
      <c r="AC67">
        <v>1</v>
      </c>
      <c r="AD67">
        <f t="array" aca="1" ref="AD67:AH92" ca="1">MMULT(N67:R92,O39:S43)</f>
        <v>-1.1135325769479676</v>
      </c>
      <c r="AE67">
        <f ca="1"/>
        <v>-1.3453792607782011</v>
      </c>
      <c r="AF67">
        <f ca="1"/>
        <v>1.2415848299007681</v>
      </c>
      <c r="AG67">
        <f ca="1"/>
        <v>0.80286425441919884</v>
      </c>
      <c r="AH67">
        <f ca="1"/>
        <v>-0.58755545619857863</v>
      </c>
      <c r="AL67" s="1">
        <v>44957</v>
      </c>
      <c r="AM67">
        <f>AL67-AL66</f>
        <v>32</v>
      </c>
      <c r="AN67">
        <f>IF(AM67&gt;=28,$D$20,D$20*(AM67/30.3)^(1/2))</f>
        <v>0.18736457607830648</v>
      </c>
      <c r="AO67">
        <f>IF(AM67&gt;=28,$D$21,D$21*(AM67/30.3)^(1/2))</f>
        <v>0.18463181203842488</v>
      </c>
      <c r="AP67">
        <f>IF(AM67&gt;=28,$D$22,D$22*(AM67/30.3)^(1/2))</f>
        <v>0.16045773212327669</v>
      </c>
      <c r="AQ67">
        <f>IF(AM67&gt;=28,$D$23,D$23*(AM67/30.3)^(1/2))</f>
        <v>0.14569038145939303</v>
      </c>
      <c r="AR67">
        <f>IF(AM67&gt;=28,$D$24,D$24*(AM67/30.3)^(1/2))</f>
        <v>0.13994517119003472</v>
      </c>
      <c r="AT67" s="1">
        <v>44957</v>
      </c>
      <c r="AU67" s="43">
        <f t="shared" ref="AU67:AU92" ca="1" si="2">AU66*EXP((_xlfn.NORM.INV(_xlfn.NORM.DIST(AD67,0,1,1),IF(AM67&gt;=28,1*$AU$61,AM67/30.3*$AU$61),AN67)))</f>
        <v>51.205925315009544</v>
      </c>
      <c r="AV67" s="43">
        <f t="shared" ref="AV67:AV92" ca="1" si="3">AV66*EXP((_xlfn.NORM.INV(_xlfn.NORM.DIST(AE67,0,1,1),IF(AM67&gt;=28,1*$AV$61,AM67/30.3*$AV$61),AO67)))</f>
        <v>53.046932288539622</v>
      </c>
      <c r="AW67" s="43">
        <f t="shared" ref="AW67:AW92" ca="1" si="4">AW66*EXP((_xlfn.NORM.INV(_xlfn.NORM.DIST(AF67,0,1,1),IF(AM67&gt;=28,1*$AW$61,AM67/30.3*$AW$61),AP67)))</f>
        <v>79.357615764827685</v>
      </c>
      <c r="AX67" s="43">
        <f t="shared" ref="AX67:AX92" ca="1" si="5">AX66*EXP((_xlfn.NORM.INV(_xlfn.NORM.DIST(AG67,0,1,1),IF(AM67&gt;=28,1*$AX$61,AM67/30.3*$AX$61),AQ67)))</f>
        <v>164.91573819421089</v>
      </c>
      <c r="AY67" s="43">
        <f ca="1">AY66*EXP((_xlfn.NORM.INV(_xlfn.NORM.DIST(AG67,0,1,1),IF(AM67&gt;=28,1*$AY$61,AM67/30.3*$AY$61),AR67)))</f>
        <v>80.000321496870342</v>
      </c>
      <c r="AZ67" s="43"/>
      <c r="BA67" s="1"/>
      <c r="BB67" s="43"/>
      <c r="BC67" s="43"/>
      <c r="BD67" s="43"/>
      <c r="BE67" s="43"/>
      <c r="BF67" s="43"/>
      <c r="BG67" s="43"/>
      <c r="BH67" s="43"/>
      <c r="BI67" s="43"/>
      <c r="BJ67" s="43"/>
      <c r="BK67" s="43"/>
    </row>
    <row r="68" spans="1:63" x14ac:dyDescent="0.25">
      <c r="M68">
        <v>2</v>
      </c>
      <c r="N68" s="137">
        <f t="shared" ref="N68:R92" ca="1" si="6">_xlfn.NORM.INV(RAND(),0,1)</f>
        <v>2.730894681229442E-2</v>
      </c>
      <c r="O68" s="137">
        <f t="shared" ca="1" si="1"/>
        <v>-1.138595708609295</v>
      </c>
      <c r="P68" s="137">
        <f t="shared" ca="1" si="1"/>
        <v>1.1510902408171941</v>
      </c>
      <c r="Q68" s="137">
        <f t="shared" ca="1" si="1"/>
        <v>1.4253456338023009</v>
      </c>
      <c r="R68" s="137">
        <f t="shared" ca="1" si="1"/>
        <v>-1.2057862756961912</v>
      </c>
      <c r="S68" s="26"/>
      <c r="T68" s="26"/>
      <c r="U68" s="26"/>
      <c r="V68" s="26"/>
      <c r="W68" s="26"/>
      <c r="X68" s="26"/>
      <c r="Y68" s="26"/>
      <c r="Z68" s="26"/>
      <c r="AA68" s="26"/>
      <c r="AC68">
        <v>2</v>
      </c>
      <c r="AD68">
        <f ca="1"/>
        <v>2.7308946812294416E-2</v>
      </c>
      <c r="AE68">
        <f ca="1"/>
        <v>-1.093617533725155</v>
      </c>
      <c r="AF68">
        <f ca="1"/>
        <v>1.0671294567826359</v>
      </c>
      <c r="AG68">
        <f ca="1"/>
        <v>1.2297860337696851</v>
      </c>
      <c r="AH68">
        <f ca="1"/>
        <v>-0.99949008387959981</v>
      </c>
      <c r="AL68" s="116">
        <v>44967</v>
      </c>
      <c r="AM68">
        <f t="shared" ref="AM68:AM92" si="7">AL68-AL67</f>
        <v>10</v>
      </c>
      <c r="AN68">
        <f t="shared" ref="AN68:AN92" si="8">IF(AM68&gt;=28,$D$20,D$20*(AM68/30.3)^(1/2))</f>
        <v>0.1076381365437688</v>
      </c>
      <c r="AO68">
        <f t="shared" ref="AO68:AO92" si="9">IF(AM68&gt;=28,$D$21,D$21*(AM68/30.3)^(1/2))</f>
        <v>0.10606820462267962</v>
      </c>
      <c r="AP68">
        <f t="shared" ref="AP68:AP92" si="10">IF(AM68&gt;=28,$D$22,D$22*(AM68/30.3)^(1/2))</f>
        <v>9.2180558573518187E-2</v>
      </c>
      <c r="AQ68">
        <f>IF(AM68&gt;=28,$D$23,D$23*(AM68/30.3)^(1/2))</f>
        <v>8.3696937280641023E-2</v>
      </c>
      <c r="AR68">
        <f t="shared" ref="AR68:AR92" si="11">IF(AM68&gt;=28,$D$24,D$24*(AM68/30.3)^(1/2))</f>
        <v>8.0396400218675793E-2</v>
      </c>
      <c r="AT68" s="116">
        <v>44967</v>
      </c>
      <c r="AU68" s="43">
        <f t="shared" ca="1" si="2"/>
        <v>51.422810960342353</v>
      </c>
      <c r="AV68" s="43">
        <f t="shared" ca="1" si="3"/>
        <v>47.297910401315541</v>
      </c>
      <c r="AW68" s="43">
        <f t="shared" ca="1" si="4"/>
        <v>87.673539462613348</v>
      </c>
      <c r="AX68" s="43">
        <f t="shared" ca="1" si="5"/>
        <v>183.03019131541893</v>
      </c>
      <c r="AY68" s="43">
        <f ca="1">AY67*EXP((_xlfn.NORM.INV(_xlfn.NORM.DIST(AG68,0,1,1),IF(AM68&gt;=28,1*$AY$61,AM68/30.3*$AY$61),AR68)))</f>
        <v>88.427954961064898</v>
      </c>
      <c r="AZ68" s="6"/>
      <c r="BA68" s="1"/>
      <c r="BB68" s="6"/>
      <c r="BC68" s="6"/>
      <c r="BD68" s="6"/>
      <c r="BE68" s="6"/>
      <c r="BF68" s="6"/>
      <c r="BG68" s="6"/>
      <c r="BH68" s="6"/>
      <c r="BI68" s="6"/>
      <c r="BJ68" s="6"/>
      <c r="BK68" s="6"/>
    </row>
    <row r="69" spans="1:63" x14ac:dyDescent="0.25">
      <c r="M69">
        <v>3</v>
      </c>
      <c r="N69" s="137">
        <f t="shared" ca="1" si="6"/>
        <v>0.33750381138939467</v>
      </c>
      <c r="O69" s="137">
        <f t="shared" ca="1" si="1"/>
        <v>-0.21422244878318764</v>
      </c>
      <c r="P69" s="137">
        <f t="shared" ca="1" si="1"/>
        <v>0.87204794170951605</v>
      </c>
      <c r="Q69" s="137">
        <f t="shared" ca="1" si="1"/>
        <v>0.9064249484857777</v>
      </c>
      <c r="R69" s="137">
        <f t="shared" ca="1" si="1"/>
        <v>-2.2538978249103746E-2</v>
      </c>
      <c r="S69" s="26"/>
      <c r="T69" s="26"/>
      <c r="U69" s="26"/>
      <c r="V69" s="26"/>
      <c r="W69" s="26"/>
      <c r="X69" s="26"/>
      <c r="Y69" s="26"/>
      <c r="Z69" s="26"/>
      <c r="AA69" s="26"/>
      <c r="AC69">
        <v>3</v>
      </c>
      <c r="AD69">
        <f ca="1"/>
        <v>0.33750381138939461</v>
      </c>
      <c r="AE69">
        <f ca="1"/>
        <v>-0.12062846161068906</v>
      </c>
      <c r="AF69">
        <f ca="1"/>
        <v>0.92839691464581375</v>
      </c>
      <c r="AG69">
        <f ca="1"/>
        <v>1.1280053326440056</v>
      </c>
      <c r="AH69">
        <f ca="1"/>
        <v>0.16473775146009878</v>
      </c>
      <c r="AL69" s="1">
        <v>44985</v>
      </c>
      <c r="AM69">
        <f t="shared" si="7"/>
        <v>18</v>
      </c>
      <c r="AN69">
        <f t="shared" si="8"/>
        <v>0.14441171416996279</v>
      </c>
      <c r="AO69">
        <f t="shared" si="9"/>
        <v>0.14230542947260141</v>
      </c>
      <c r="AP69">
        <f t="shared" si="10"/>
        <v>0.12367319710457261</v>
      </c>
      <c r="AQ69">
        <f>IF(AM69&gt;=28,$D$23,D$23*(AM69/30.3)^(1/2))</f>
        <v>0.11229122476082982</v>
      </c>
      <c r="AR69">
        <f t="shared" si="11"/>
        <v>0.10786308962114281</v>
      </c>
      <c r="AT69" s="1">
        <v>44985</v>
      </c>
      <c r="AU69" s="43">
        <f t="shared" ca="1" si="2"/>
        <v>54.116449808681857</v>
      </c>
      <c r="AV69" s="43">
        <f t="shared" ca="1" si="3"/>
        <v>46.600760633562757</v>
      </c>
      <c r="AW69" s="43">
        <f t="shared" ca="1" si="4"/>
        <v>98.56880021038431</v>
      </c>
      <c r="AX69" s="43">
        <f t="shared" ca="1" si="5"/>
        <v>208.22787879310155</v>
      </c>
      <c r="AY69" s="43">
        <f ca="1">AY68*EXP((_xlfn.NORM.INV(_xlfn.NORM.DIST(AG69,0,1,1),IF(AM69&gt;=28,1*$AY$61,AM69/30.3*$AY$61),AR69)))</f>
        <v>100.10054433466377</v>
      </c>
      <c r="AZ69" s="6"/>
      <c r="BA69" s="1"/>
      <c r="BB69" s="6"/>
      <c r="BC69" s="6"/>
      <c r="BD69" s="6"/>
      <c r="BE69" s="6"/>
      <c r="BF69" s="6"/>
      <c r="BG69" s="6"/>
      <c r="BH69" s="6"/>
      <c r="BI69" s="6"/>
      <c r="BJ69" s="6"/>
      <c r="BK69" s="6"/>
    </row>
    <row r="70" spans="1:63" x14ac:dyDescent="0.25">
      <c r="M70">
        <v>4</v>
      </c>
      <c r="N70" s="137">
        <f t="shared" ca="1" si="6"/>
        <v>-0.60270978383439111</v>
      </c>
      <c r="O70" s="137">
        <f t="shared" ca="1" si="1"/>
        <v>-0.80064908362676268</v>
      </c>
      <c r="P70" s="137">
        <f t="shared" ca="1" si="1"/>
        <v>1.4178248849038173</v>
      </c>
      <c r="Q70" s="137">
        <f t="shared" ca="1" si="1"/>
        <v>-0.27691757032027464</v>
      </c>
      <c r="R70" s="137">
        <f t="shared" ca="1" si="1"/>
        <v>0.10967640056527148</v>
      </c>
      <c r="S70" s="26"/>
      <c r="T70" s="26"/>
      <c r="U70" s="26"/>
      <c r="V70" s="26"/>
      <c r="W70" s="26"/>
      <c r="X70" s="26"/>
      <c r="Y70" s="26"/>
      <c r="Z70" s="26"/>
      <c r="AA70" s="26"/>
      <c r="AC70">
        <v>4</v>
      </c>
      <c r="AD70">
        <f ca="1"/>
        <v>-0.602709783834391</v>
      </c>
      <c r="AE70">
        <f ca="1"/>
        <v>-0.92831651216823263</v>
      </c>
      <c r="AF70">
        <f ca="1"/>
        <v>0.91506606057194961</v>
      </c>
      <c r="AG70">
        <f ca="1"/>
        <v>4.7437052017521797E-2</v>
      </c>
      <c r="AH70">
        <f ca="1"/>
        <v>-0.40270105537358769</v>
      </c>
      <c r="AL70" s="1">
        <v>45016</v>
      </c>
      <c r="AM70">
        <f t="shared" si="7"/>
        <v>31</v>
      </c>
      <c r="AN70">
        <f t="shared" si="8"/>
        <v>0.18736457607830648</v>
      </c>
      <c r="AO70">
        <f t="shared" si="9"/>
        <v>0.18463181203842488</v>
      </c>
      <c r="AP70">
        <f t="shared" si="10"/>
        <v>0.16045773212327669</v>
      </c>
      <c r="AQ70">
        <f t="shared" ref="AQ70:AQ92" si="12">IF(AM70&gt;=28,$D$23,D$23*(AM70/30.3)^(1/2))</f>
        <v>0.14569038145939303</v>
      </c>
      <c r="AR70">
        <f t="shared" si="11"/>
        <v>0.13994517119003472</v>
      </c>
      <c r="AT70" s="1">
        <v>45016</v>
      </c>
      <c r="AU70" s="43">
        <f t="shared" ca="1" si="2"/>
        <v>48.526582447415343</v>
      </c>
      <c r="AV70" s="43">
        <f t="shared" ca="1" si="3"/>
        <v>39.413961401172486</v>
      </c>
      <c r="AW70" s="43">
        <f t="shared" ca="1" si="4"/>
        <v>114.60417199609776</v>
      </c>
      <c r="AX70" s="43">
        <f t="shared" ca="1" si="5"/>
        <v>210.4912686838685</v>
      </c>
      <c r="AY70" s="43">
        <f ca="1">AY69*EXP((_xlfn.NORM.INV(_xlfn.NORM.DIST(AG70,0,1,1),IF(AM70&gt;=28,1*$AY$61,AM70/30.3*$AY$61),AR70)))</f>
        <v>101.16104081820731</v>
      </c>
      <c r="AZ70" s="6"/>
      <c r="BA70" s="1"/>
      <c r="BB70" s="6"/>
      <c r="BC70" s="6"/>
      <c r="BD70" s="6"/>
      <c r="BE70" s="6"/>
      <c r="BF70" s="6"/>
      <c r="BG70" s="6"/>
      <c r="BH70" s="6"/>
      <c r="BI70" s="6"/>
      <c r="BJ70" s="6"/>
      <c r="BK70" s="6"/>
    </row>
    <row r="71" spans="1:63" x14ac:dyDescent="0.25">
      <c r="M71">
        <v>5</v>
      </c>
      <c r="N71" s="137">
        <f t="shared" ca="1" si="6"/>
        <v>0.6120585075397651</v>
      </c>
      <c r="O71" s="137">
        <f t="shared" ca="1" si="1"/>
        <v>0.2246107645748823</v>
      </c>
      <c r="P71" s="137">
        <f t="shared" ca="1" si="1"/>
        <v>-0.46896017906023407</v>
      </c>
      <c r="Q71" s="137">
        <f t="shared" ca="1" si="1"/>
        <v>0.27538233814814911</v>
      </c>
      <c r="R71" s="137">
        <f t="shared" ca="1" si="1"/>
        <v>1.4918546122927596</v>
      </c>
      <c r="S71" s="26"/>
      <c r="T71" s="26"/>
      <c r="U71" s="26"/>
      <c r="V71" s="26"/>
      <c r="W71" s="26"/>
      <c r="X71" s="26"/>
      <c r="Y71" s="26"/>
      <c r="Z71" s="26"/>
      <c r="AA71" s="26"/>
      <c r="AC71">
        <v>5</v>
      </c>
      <c r="AD71">
        <f ca="1"/>
        <v>0.61205850753976498</v>
      </c>
      <c r="AE71">
        <f ca="1"/>
        <v>0.37388927467886707</v>
      </c>
      <c r="AF71">
        <f ca="1"/>
        <v>-7.2795383807186753E-2</v>
      </c>
      <c r="AG71">
        <f ca="1"/>
        <v>0.35160651737424731</v>
      </c>
      <c r="AH71">
        <f ca="1"/>
        <v>1.5858830163234954</v>
      </c>
      <c r="AL71" s="1">
        <v>45046</v>
      </c>
      <c r="AM71">
        <f t="shared" si="7"/>
        <v>30</v>
      </c>
      <c r="AN71">
        <f t="shared" si="8"/>
        <v>0.18736457607830648</v>
      </c>
      <c r="AO71">
        <f t="shared" si="9"/>
        <v>0.18463181203842488</v>
      </c>
      <c r="AP71">
        <f t="shared" si="10"/>
        <v>0.16045773212327669</v>
      </c>
      <c r="AQ71">
        <f t="shared" si="12"/>
        <v>0.14569038145939303</v>
      </c>
      <c r="AR71">
        <f t="shared" si="11"/>
        <v>0.13994517119003472</v>
      </c>
      <c r="AT71" s="1">
        <v>45046</v>
      </c>
      <c r="AU71" s="43">
        <f t="shared" ca="1" si="2"/>
        <v>54.635826047721054</v>
      </c>
      <c r="AV71" s="43">
        <f t="shared" ca="1" si="3"/>
        <v>42.395912661824461</v>
      </c>
      <c r="AW71" s="43">
        <f t="shared" ca="1" si="4"/>
        <v>113.71594475944649</v>
      </c>
      <c r="AX71" s="43">
        <f t="shared" ca="1" si="5"/>
        <v>222.42052815356217</v>
      </c>
      <c r="AY71" s="43">
        <f ca="1">AY70*EXP((_xlfn.NORM.INV(_xlfn.NORM.DIST(AG71,0,1,1),IF(AM71&gt;=28,1*$AY$61,AM71/30.3*$AY$61),AR71)))</f>
        <v>106.6784686763571</v>
      </c>
      <c r="AZ71" s="6"/>
      <c r="BA71" s="1"/>
      <c r="BB71" s="6"/>
      <c r="BC71" s="6"/>
      <c r="BD71" s="6"/>
      <c r="BE71" s="6"/>
      <c r="BF71" s="6"/>
      <c r="BG71" s="6"/>
      <c r="BH71" s="6"/>
      <c r="BI71" s="6"/>
      <c r="BJ71" s="6"/>
      <c r="BK71" s="6"/>
    </row>
    <row r="72" spans="1:63" x14ac:dyDescent="0.25">
      <c r="M72">
        <v>6</v>
      </c>
      <c r="N72" s="137">
        <f t="shared" ca="1" si="6"/>
        <v>0.17786743340639641</v>
      </c>
      <c r="O72" s="137">
        <f t="shared" ca="1" si="1"/>
        <v>0.18917955037572254</v>
      </c>
      <c r="P72" s="137">
        <f t="shared" ca="1" si="1"/>
        <v>0.16384863639902669</v>
      </c>
      <c r="Q72" s="137">
        <f t="shared" ca="1" si="1"/>
        <v>1.5359209460442789</v>
      </c>
      <c r="R72" s="137">
        <f t="shared" ca="1" si="1"/>
        <v>3.4101884612547537</v>
      </c>
      <c r="S72" s="26"/>
      <c r="T72" s="26"/>
      <c r="U72" s="26"/>
      <c r="V72" s="26"/>
      <c r="W72" s="26"/>
      <c r="X72" s="26"/>
      <c r="Y72" s="26"/>
      <c r="Z72" s="26"/>
      <c r="AA72" s="26"/>
      <c r="AC72">
        <v>6</v>
      </c>
      <c r="AD72">
        <f ca="1"/>
        <v>0.17786743340639638</v>
      </c>
      <c r="AE72">
        <f ca="1"/>
        <v>0.22842717937702295</v>
      </c>
      <c r="AF72">
        <f ca="1"/>
        <v>0.21817128306862366</v>
      </c>
      <c r="AG72">
        <f ca="1"/>
        <v>1.0757459468156172</v>
      </c>
      <c r="AH72">
        <f ca="1"/>
        <v>2.8193926142900438</v>
      </c>
      <c r="AL72" s="116">
        <v>45058</v>
      </c>
      <c r="AM72">
        <f t="shared" si="7"/>
        <v>12</v>
      </c>
      <c r="AN72">
        <f t="shared" si="8"/>
        <v>0.11791167086568664</v>
      </c>
      <c r="AO72">
        <f t="shared" si="9"/>
        <v>0.11619189661183071</v>
      </c>
      <c r="AP72">
        <f t="shared" si="10"/>
        <v>0.10097874258828428</v>
      </c>
      <c r="AQ72">
        <f t="shared" si="12"/>
        <v>9.168540108540435E-2</v>
      </c>
      <c r="AR72">
        <f t="shared" si="11"/>
        <v>8.8069843883963994E-2</v>
      </c>
      <c r="AT72" s="116">
        <v>45058</v>
      </c>
      <c r="AU72" s="43">
        <f t="shared" ca="1" si="2"/>
        <v>55.880027304531552</v>
      </c>
      <c r="AV72" s="43">
        <f t="shared" ca="1" si="3"/>
        <v>43.603520816682177</v>
      </c>
      <c r="AW72" s="43">
        <f t="shared" ca="1" si="4"/>
        <v>116.42867369700559</v>
      </c>
      <c r="AX72" s="43">
        <f t="shared" ca="1" si="5"/>
        <v>245.85565957217057</v>
      </c>
      <c r="AY72" s="43">
        <f t="shared" ref="AY72:AY92" ca="1" si="13">AY71*EXP((_xlfn.NORM.INV(_xlfn.NORM.DIST(AG72,0,1,1),IF(AM72&gt;=28,1*$AY$61,AM72/30.3*$AY$61),AR72)))</f>
        <v>117.46080187888393</v>
      </c>
      <c r="AZ72" s="6"/>
      <c r="BA72" s="1"/>
      <c r="BB72" s="6"/>
      <c r="BC72" s="6"/>
      <c r="BD72" s="6"/>
      <c r="BE72" s="6"/>
      <c r="BF72" s="6"/>
      <c r="BG72" s="6"/>
      <c r="BH72" s="6"/>
      <c r="BI72" s="6"/>
      <c r="BJ72" s="6"/>
      <c r="BK72" s="6"/>
    </row>
    <row r="73" spans="1:63" x14ac:dyDescent="0.25">
      <c r="M73">
        <v>7</v>
      </c>
      <c r="N73" s="137">
        <f t="shared" ca="1" si="6"/>
        <v>2.4984973875074394</v>
      </c>
      <c r="O73" s="137">
        <f t="shared" ca="1" si="1"/>
        <v>-0.17658753117758741</v>
      </c>
      <c r="P73" s="137">
        <f t="shared" ca="1" si="1"/>
        <v>-0.39524093465933013</v>
      </c>
      <c r="Q73" s="137">
        <f t="shared" ca="1" si="1"/>
        <v>0.11586101432865363</v>
      </c>
      <c r="R73" s="137">
        <f t="shared" ca="1" si="1"/>
        <v>-8.3662592452114243E-2</v>
      </c>
      <c r="S73" s="26"/>
      <c r="T73" s="26"/>
      <c r="U73" s="26"/>
      <c r="V73" s="26"/>
      <c r="W73" s="26"/>
      <c r="X73" s="26"/>
      <c r="Y73" s="26"/>
      <c r="Z73" s="26"/>
      <c r="AA73" s="26"/>
      <c r="AC73">
        <v>7</v>
      </c>
      <c r="AD73">
        <f ca="1"/>
        <v>2.498497387507439</v>
      </c>
      <c r="AE73">
        <f ca="1"/>
        <v>0.46926366322922303</v>
      </c>
      <c r="AF73">
        <f ca="1"/>
        <v>1.0573286886755806</v>
      </c>
      <c r="AG73">
        <f ca="1"/>
        <v>1.4830743900540042</v>
      </c>
      <c r="AH73">
        <f ca="1"/>
        <v>1.4943289602828418</v>
      </c>
      <c r="AL73" s="1">
        <v>45077</v>
      </c>
      <c r="AM73">
        <f t="shared" si="7"/>
        <v>19</v>
      </c>
      <c r="AN73">
        <f t="shared" si="8"/>
        <v>0.1483689321703453</v>
      </c>
      <c r="AO73">
        <f t="shared" si="9"/>
        <v>0.1462049303565697</v>
      </c>
      <c r="AP73">
        <f t="shared" si="10"/>
        <v>0.12706213133722827</v>
      </c>
      <c r="AQ73">
        <f t="shared" si="12"/>
        <v>0.11536826638769933</v>
      </c>
      <c r="AR73">
        <f t="shared" si="11"/>
        <v>0.1108187900106784</v>
      </c>
      <c r="AT73" s="1">
        <v>45077</v>
      </c>
      <c r="AU73" s="43">
        <f t="shared" ca="1" si="2"/>
        <v>81.154273717039899</v>
      </c>
      <c r="AV73" s="43">
        <f t="shared" ca="1" si="3"/>
        <v>46.814458874898186</v>
      </c>
      <c r="AW73" s="43">
        <f t="shared" ca="1" si="4"/>
        <v>133.49590775180249</v>
      </c>
      <c r="AX73" s="43">
        <f t="shared" ca="1" si="5"/>
        <v>292.44887933103081</v>
      </c>
      <c r="AY73" s="43">
        <f t="shared" ca="1" si="13"/>
        <v>138.78177436650404</v>
      </c>
      <c r="AZ73" s="6"/>
      <c r="BA73" s="1"/>
      <c r="BB73" s="6"/>
      <c r="BC73" s="6"/>
      <c r="BD73" s="6"/>
      <c r="BE73" s="6"/>
      <c r="BF73" s="6"/>
      <c r="BG73" s="6"/>
      <c r="BH73" s="6"/>
      <c r="BI73" s="6"/>
      <c r="BJ73" s="6"/>
      <c r="BK73" s="6"/>
    </row>
    <row r="74" spans="1:63" x14ac:dyDescent="0.25">
      <c r="M74">
        <v>8</v>
      </c>
      <c r="N74" s="137">
        <f t="shared" ca="1" si="6"/>
        <v>1.6153880658279898</v>
      </c>
      <c r="O74" s="137">
        <f t="shared" ca="1" si="1"/>
        <v>1.1354577964813408</v>
      </c>
      <c r="P74" s="137">
        <f t="shared" ca="1" si="1"/>
        <v>-2.2521330182240291E-2</v>
      </c>
      <c r="Q74" s="137">
        <f t="shared" ca="1" si="1"/>
        <v>5.8176870615753495E-2</v>
      </c>
      <c r="R74" s="137">
        <f t="shared" ca="1" si="1"/>
        <v>-3.259625741335561E-2</v>
      </c>
      <c r="S74" s="26"/>
      <c r="T74" s="26"/>
      <c r="U74" s="26"/>
      <c r="V74" s="26"/>
      <c r="W74" s="26"/>
      <c r="X74" s="26"/>
      <c r="Y74" s="26"/>
      <c r="Z74" s="26"/>
      <c r="AA74" s="26"/>
      <c r="AC74">
        <v>8</v>
      </c>
      <c r="AD74">
        <f ca="1"/>
        <v>1.6153880658279895</v>
      </c>
      <c r="AE74">
        <f ca="1"/>
        <v>1.511341526107898</v>
      </c>
      <c r="AF74">
        <f ca="1"/>
        <v>0.77346529644785944</v>
      </c>
      <c r="AG74">
        <f ca="1"/>
        <v>1.2287589500241389</v>
      </c>
      <c r="AH74">
        <f ca="1"/>
        <v>1.0376752561948279</v>
      </c>
      <c r="AL74" s="1">
        <v>45107</v>
      </c>
      <c r="AM74">
        <f t="shared" si="7"/>
        <v>30</v>
      </c>
      <c r="AN74">
        <f t="shared" si="8"/>
        <v>0.18736457607830648</v>
      </c>
      <c r="AO74">
        <f t="shared" si="9"/>
        <v>0.18463181203842488</v>
      </c>
      <c r="AP74">
        <f t="shared" si="10"/>
        <v>0.16045773212327669</v>
      </c>
      <c r="AQ74">
        <f t="shared" si="12"/>
        <v>0.14569038145939303</v>
      </c>
      <c r="AR74">
        <f t="shared" si="11"/>
        <v>0.13994517119003472</v>
      </c>
      <c r="AT74" s="1">
        <v>45107</v>
      </c>
      <c r="AU74" s="43">
        <f t="shared" ca="1" si="2"/>
        <v>110.26851725020943</v>
      </c>
      <c r="AV74" s="43">
        <f t="shared" ca="1" si="3"/>
        <v>62.124089607291793</v>
      </c>
      <c r="AW74" s="43">
        <f t="shared" ca="1" si="4"/>
        <v>151.72646255231004</v>
      </c>
      <c r="AX74" s="43">
        <f t="shared" ca="1" si="5"/>
        <v>351.14815907474673</v>
      </c>
      <c r="AY74" s="43">
        <f t="shared" ca="1" si="13"/>
        <v>165.46531775519784</v>
      </c>
      <c r="AZ74" s="6"/>
      <c r="BA74" s="1"/>
      <c r="BB74" s="6"/>
      <c r="BC74" s="6"/>
      <c r="BD74" s="6"/>
      <c r="BE74" s="6"/>
      <c r="BF74" s="6"/>
      <c r="BG74" s="6"/>
      <c r="BH74" s="6"/>
      <c r="BI74" s="6"/>
      <c r="BJ74" s="6"/>
      <c r="BK74" s="6"/>
    </row>
    <row r="75" spans="1:63" x14ac:dyDescent="0.25">
      <c r="M75">
        <v>9</v>
      </c>
      <c r="N75" s="137">
        <f t="shared" ca="1" si="6"/>
        <v>-0.1158753696740764</v>
      </c>
      <c r="O75" s="137">
        <f t="shared" ca="1" si="1"/>
        <v>0.24803596305054024</v>
      </c>
      <c r="P75" s="137">
        <f t="shared" ca="1" si="1"/>
        <v>0.26319740485525484</v>
      </c>
      <c r="Q75" s="137">
        <f t="shared" ca="1" si="1"/>
        <v>1.2651678599754508</v>
      </c>
      <c r="R75" s="137">
        <f t="shared" ca="1" si="1"/>
        <v>0.61552261846374179</v>
      </c>
      <c r="S75" s="26"/>
      <c r="T75" s="26"/>
      <c r="U75" s="26"/>
      <c r="V75" s="26"/>
      <c r="W75" s="26"/>
      <c r="X75" s="26"/>
      <c r="Y75" s="26"/>
      <c r="Z75" s="26"/>
      <c r="AA75" s="26"/>
      <c r="AC75">
        <v>9</v>
      </c>
      <c r="AD75">
        <f ca="1"/>
        <v>-0.11587536967407638</v>
      </c>
      <c r="AE75">
        <f ca="1"/>
        <v>0.21008144301803602</v>
      </c>
      <c r="AF75">
        <f ca="1"/>
        <v>0.1346782087812905</v>
      </c>
      <c r="AG75">
        <f ca="1"/>
        <v>0.78968161062951725</v>
      </c>
      <c r="AH75">
        <f ca="1"/>
        <v>0.44471048125748025</v>
      </c>
      <c r="AL75" s="1">
        <v>45138</v>
      </c>
      <c r="AM75">
        <f t="shared" si="7"/>
        <v>31</v>
      </c>
      <c r="AN75">
        <f t="shared" si="8"/>
        <v>0.18736457607830648</v>
      </c>
      <c r="AO75">
        <f t="shared" si="9"/>
        <v>0.18463181203842488</v>
      </c>
      <c r="AP75">
        <f t="shared" si="10"/>
        <v>0.16045773212327669</v>
      </c>
      <c r="AQ75">
        <f t="shared" si="12"/>
        <v>0.14569038145939303</v>
      </c>
      <c r="AR75">
        <f t="shared" si="11"/>
        <v>0.13994517119003472</v>
      </c>
      <c r="AT75" s="1">
        <v>45138</v>
      </c>
      <c r="AU75" s="43">
        <f t="shared" ca="1" si="2"/>
        <v>108.3219181974694</v>
      </c>
      <c r="AV75" s="43">
        <f t="shared" ca="1" si="3"/>
        <v>64.833441813238935</v>
      </c>
      <c r="AW75" s="43">
        <f t="shared" ca="1" si="4"/>
        <v>155.6468207613469</v>
      </c>
      <c r="AX75" s="43">
        <f t="shared" ca="1" si="5"/>
        <v>395.50255806540423</v>
      </c>
      <c r="AY75" s="43">
        <f t="shared" ca="1" si="13"/>
        <v>185.52204958110988</v>
      </c>
      <c r="AZ75" s="6"/>
      <c r="BA75" s="1"/>
      <c r="BB75" s="6"/>
      <c r="BC75" s="6"/>
      <c r="BD75" s="6"/>
      <c r="BE75" s="6"/>
      <c r="BF75" s="6"/>
      <c r="BG75" s="6"/>
      <c r="BH75" s="6"/>
      <c r="BI75" s="6"/>
      <c r="BJ75" s="6"/>
      <c r="BK75" s="6"/>
    </row>
    <row r="76" spans="1:63" x14ac:dyDescent="0.25">
      <c r="M76">
        <v>10</v>
      </c>
      <c r="N76" s="137">
        <f t="shared" ca="1" si="6"/>
        <v>-0.42122979333750171</v>
      </c>
      <c r="O76" s="137">
        <f t="shared" ca="1" si="1"/>
        <v>0.25469579675207249</v>
      </c>
      <c r="P76" s="137">
        <f t="shared" ca="1" si="1"/>
        <v>-0.44930385045600285</v>
      </c>
      <c r="Q76" s="137">
        <f t="shared" ca="1" si="1"/>
        <v>0.54232839219159745</v>
      </c>
      <c r="R76" s="137">
        <f t="shared" ca="1" si="1"/>
        <v>1.1108405353657353</v>
      </c>
      <c r="S76" s="26"/>
      <c r="T76" s="26"/>
      <c r="U76" s="26"/>
      <c r="V76" s="26"/>
      <c r="W76" s="26"/>
      <c r="X76" s="26"/>
      <c r="Y76" s="26"/>
      <c r="Z76" s="26"/>
      <c r="AA76" s="26"/>
      <c r="AC76">
        <v>10</v>
      </c>
      <c r="AD76">
        <f ca="1"/>
        <v>-0.42122979333750166</v>
      </c>
      <c r="AE76">
        <f ca="1"/>
        <v>0.1383062166643145</v>
      </c>
      <c r="AF76">
        <f ca="1"/>
        <v>-0.62610221854085335</v>
      </c>
      <c r="AG76">
        <f ca="1"/>
        <v>-0.16357085319504922</v>
      </c>
      <c r="AH76">
        <f ca="1"/>
        <v>0.65605281509857893</v>
      </c>
      <c r="AL76" s="116">
        <v>45149</v>
      </c>
      <c r="AM76">
        <f t="shared" si="7"/>
        <v>11</v>
      </c>
      <c r="AN76">
        <f t="shared" si="8"/>
        <v>0.11289183000765164</v>
      </c>
      <c r="AO76">
        <f t="shared" si="9"/>
        <v>0.11124527151778854</v>
      </c>
      <c r="AP76">
        <f t="shared" si="10"/>
        <v>9.6679785461172771E-2</v>
      </c>
      <c r="AQ76">
        <f t="shared" si="12"/>
        <v>8.7782088384678505E-2</v>
      </c>
      <c r="AR76">
        <f t="shared" si="11"/>
        <v>8.4320455910375874E-2</v>
      </c>
      <c r="AT76" s="116">
        <v>45149</v>
      </c>
      <c r="AU76" s="43">
        <f t="shared" ca="1" si="2"/>
        <v>103.43774736218464</v>
      </c>
      <c r="AV76" s="43">
        <f t="shared" ca="1" si="3"/>
        <v>65.931960041354628</v>
      </c>
      <c r="AW76" s="43">
        <f t="shared" ca="1" si="4"/>
        <v>146.7123525701644</v>
      </c>
      <c r="AX76" s="43">
        <f t="shared" ca="1" si="5"/>
        <v>390.416651331803</v>
      </c>
      <c r="AY76" s="43">
        <f t="shared" ca="1" si="13"/>
        <v>183.2400814136322</v>
      </c>
      <c r="AZ76" s="6"/>
      <c r="BA76" s="1"/>
      <c r="BB76" s="6"/>
      <c r="BC76" s="6"/>
      <c r="BD76" s="6"/>
      <c r="BE76" s="6"/>
      <c r="BF76" s="6"/>
      <c r="BG76" s="6"/>
      <c r="BH76" s="6"/>
      <c r="BI76" s="6"/>
      <c r="BJ76" s="6"/>
      <c r="BK76" s="6"/>
    </row>
    <row r="77" spans="1:63" x14ac:dyDescent="0.25">
      <c r="M77">
        <v>11</v>
      </c>
      <c r="N77" s="137">
        <f t="shared" ca="1" si="6"/>
        <v>0.44531958813385814</v>
      </c>
      <c r="O77" s="137">
        <f t="shared" ca="1" si="1"/>
        <v>-0.74328928926746995</v>
      </c>
      <c r="P77" s="137">
        <f t="shared" ca="1" si="1"/>
        <v>0.43501451395049917</v>
      </c>
      <c r="Q77" s="137">
        <f t="shared" ca="1" si="1"/>
        <v>-0.91982735936977045</v>
      </c>
      <c r="R77" s="137">
        <f t="shared" ca="1" si="1"/>
        <v>-0.1077136154727287</v>
      </c>
      <c r="S77" s="26"/>
      <c r="T77" s="26"/>
      <c r="U77" s="26"/>
      <c r="V77" s="26"/>
      <c r="W77" s="26"/>
      <c r="X77" s="26"/>
      <c r="Y77" s="26"/>
      <c r="Z77" s="26"/>
      <c r="AA77" s="26"/>
      <c r="AC77">
        <v>11</v>
      </c>
      <c r="AD77">
        <f ca="1"/>
        <v>0.44531958813385808</v>
      </c>
      <c r="AE77">
        <f ca="1"/>
        <v>-0.60443001936937912</v>
      </c>
      <c r="AF77">
        <f ca="1"/>
        <v>0.66808604953651474</v>
      </c>
      <c r="AG77">
        <f ca="1"/>
        <v>-0.1015327841739172</v>
      </c>
      <c r="AH77">
        <f ca="1"/>
        <v>0.10733838764786033</v>
      </c>
      <c r="AL77" s="1">
        <v>45169</v>
      </c>
      <c r="AM77">
        <f t="shared" si="7"/>
        <v>20</v>
      </c>
      <c r="AN77">
        <f t="shared" si="8"/>
        <v>0.15222331252876489</v>
      </c>
      <c r="AO77">
        <f t="shared" si="9"/>
        <v>0.15000309351395813</v>
      </c>
      <c r="AP77">
        <f t="shared" si="10"/>
        <v>0.13036299612179689</v>
      </c>
      <c r="AQ77">
        <f t="shared" si="12"/>
        <v>0.11836534383137284</v>
      </c>
      <c r="AR77">
        <f t="shared" si="11"/>
        <v>0.11369767955522657</v>
      </c>
      <c r="AT77" s="1">
        <v>45169</v>
      </c>
      <c r="AU77" s="43">
        <f t="shared" ca="1" si="2"/>
        <v>110.97802816406252</v>
      </c>
      <c r="AV77" s="43">
        <f t="shared" ca="1" si="3"/>
        <v>60.372348058921517</v>
      </c>
      <c r="AW77" s="43">
        <f t="shared" ca="1" si="4"/>
        <v>160.47558956200075</v>
      </c>
      <c r="AX77" s="43">
        <f t="shared" ca="1" si="5"/>
        <v>386.7470261630508</v>
      </c>
      <c r="AY77" s="43">
        <f t="shared" ca="1" si="13"/>
        <v>181.60380685136269</v>
      </c>
      <c r="AZ77" s="6"/>
      <c r="BA77" s="1"/>
      <c r="BB77" s="6"/>
      <c r="BC77" s="6"/>
      <c r="BD77" s="6"/>
      <c r="BE77" s="6"/>
      <c r="BF77" s="6"/>
      <c r="BG77" s="6"/>
      <c r="BH77" s="6"/>
      <c r="BI77" s="6"/>
      <c r="BJ77" s="6"/>
      <c r="BK77" s="6"/>
    </row>
    <row r="78" spans="1:63" x14ac:dyDescent="0.25">
      <c r="M78">
        <v>12</v>
      </c>
      <c r="N78" s="137">
        <f t="shared" ca="1" si="6"/>
        <v>-0.79000717133824039</v>
      </c>
      <c r="O78" s="137">
        <f t="shared" ca="1" si="1"/>
        <v>-0.27066499241284708</v>
      </c>
      <c r="P78" s="137">
        <f t="shared" ca="1" si="1"/>
        <v>1.5069578580435692</v>
      </c>
      <c r="Q78" s="137">
        <f t="shared" ca="1" si="1"/>
        <v>0.21803703595687668</v>
      </c>
      <c r="R78" s="137">
        <f t="shared" ca="1" si="1"/>
        <v>0.46899234439219367</v>
      </c>
      <c r="S78" s="26"/>
      <c r="T78" s="26"/>
      <c r="U78" s="26"/>
      <c r="V78" s="26"/>
      <c r="W78" s="26"/>
      <c r="X78" s="26"/>
      <c r="Y78" s="26"/>
      <c r="Z78" s="26"/>
      <c r="AA78" s="26"/>
      <c r="AC78">
        <v>12</v>
      </c>
      <c r="AD78">
        <f ca="1"/>
        <v>-0.79000717133824028</v>
      </c>
      <c r="AE78">
        <f ca="1"/>
        <v>-0.46398656848186676</v>
      </c>
      <c r="AF78">
        <f ca="1"/>
        <v>0.84230841622540609</v>
      </c>
      <c r="AG78">
        <f ca="1"/>
        <v>0.31328903960716359</v>
      </c>
      <c r="AH78">
        <f ca="1"/>
        <v>-0.20057662596208303</v>
      </c>
      <c r="AL78" s="1">
        <v>45199</v>
      </c>
      <c r="AM78">
        <f t="shared" si="7"/>
        <v>30</v>
      </c>
      <c r="AN78">
        <f t="shared" si="8"/>
        <v>0.18736457607830648</v>
      </c>
      <c r="AO78">
        <f t="shared" si="9"/>
        <v>0.18463181203842488</v>
      </c>
      <c r="AP78">
        <f t="shared" si="10"/>
        <v>0.16045773212327669</v>
      </c>
      <c r="AQ78">
        <f t="shared" si="12"/>
        <v>0.14569038145939303</v>
      </c>
      <c r="AR78">
        <f t="shared" si="11"/>
        <v>0.13994517119003472</v>
      </c>
      <c r="AT78" s="1">
        <v>45199</v>
      </c>
      <c r="AU78" s="43">
        <f t="shared" ca="1" si="2"/>
        <v>96.083045853695182</v>
      </c>
      <c r="AV78" s="43">
        <f t="shared" ca="1" si="3"/>
        <v>55.632329918338087</v>
      </c>
      <c r="AW78" s="43">
        <f t="shared" ca="1" si="4"/>
        <v>184.41649128643866</v>
      </c>
      <c r="AX78" s="43">
        <f t="shared" ca="1" si="5"/>
        <v>406.39028859725272</v>
      </c>
      <c r="AY78" s="43">
        <f t="shared" ca="1" si="13"/>
        <v>190.4844791682543</v>
      </c>
      <c r="AZ78" s="6"/>
      <c r="BA78" s="1"/>
      <c r="BB78" s="6"/>
      <c r="BC78" s="6"/>
      <c r="BD78" s="6"/>
      <c r="BE78" s="6"/>
      <c r="BF78" s="6"/>
      <c r="BG78" s="6"/>
      <c r="BH78" s="6"/>
      <c r="BI78" s="6"/>
      <c r="BJ78" s="6"/>
      <c r="BK78" s="6"/>
    </row>
    <row r="79" spans="1:63" x14ac:dyDescent="0.25">
      <c r="M79">
        <v>13</v>
      </c>
      <c r="N79" s="137">
        <f t="shared" ca="1" si="6"/>
        <v>0.66239264606757042</v>
      </c>
      <c r="O79" s="137">
        <f t="shared" ca="1" si="1"/>
        <v>-1.9774799329229122</v>
      </c>
      <c r="P79" s="137">
        <f t="shared" ca="1" si="1"/>
        <v>-0.56536670822469393</v>
      </c>
      <c r="Q79" s="137">
        <f t="shared" ca="1" si="1"/>
        <v>-2.558499311728986</v>
      </c>
      <c r="R79" s="137">
        <f t="shared" ca="1" si="1"/>
        <v>0.98390476195754173</v>
      </c>
      <c r="S79" s="26"/>
      <c r="T79" s="26"/>
      <c r="U79" s="26"/>
      <c r="V79" s="26"/>
      <c r="W79" s="26"/>
      <c r="X79" s="26"/>
      <c r="Y79" s="26"/>
      <c r="Z79" s="26"/>
      <c r="AA79" s="26"/>
      <c r="AC79">
        <v>13</v>
      </c>
      <c r="AD79">
        <f ca="1"/>
        <v>0.66239264606757031</v>
      </c>
      <c r="AE79">
        <f ca="1"/>
        <v>-1.7418476500395315</v>
      </c>
      <c r="AF79">
        <f ca="1"/>
        <v>5.7839903510318313E-2</v>
      </c>
      <c r="AG79">
        <f ca="1"/>
        <v>-1.5263991435611863</v>
      </c>
      <c r="AH79">
        <f ca="1"/>
        <v>1.031075179812047</v>
      </c>
      <c r="AL79" s="1">
        <v>45230</v>
      </c>
      <c r="AM79">
        <f t="shared" si="7"/>
        <v>31</v>
      </c>
      <c r="AN79">
        <f t="shared" si="8"/>
        <v>0.18736457607830648</v>
      </c>
      <c r="AO79">
        <f t="shared" si="9"/>
        <v>0.18463181203842488</v>
      </c>
      <c r="AP79">
        <f t="shared" si="10"/>
        <v>0.16045773212327669</v>
      </c>
      <c r="AQ79">
        <f t="shared" si="12"/>
        <v>0.14569038145939303</v>
      </c>
      <c r="AR79">
        <f t="shared" si="11"/>
        <v>0.13994517119003472</v>
      </c>
      <c r="AT79" s="1">
        <v>45230</v>
      </c>
      <c r="AU79" s="43">
        <f t="shared" ca="1" si="2"/>
        <v>109.20444808081962</v>
      </c>
      <c r="AV79" s="43">
        <f t="shared" ca="1" si="3"/>
        <v>40.490363911667956</v>
      </c>
      <c r="AW79" s="43">
        <f t="shared" ca="1" si="4"/>
        <v>186.86334961537423</v>
      </c>
      <c r="AX79" s="43">
        <f t="shared" ca="1" si="5"/>
        <v>326.63140272444377</v>
      </c>
      <c r="AY79" s="43">
        <f t="shared" ca="1" si="13"/>
        <v>154.44816333022249</v>
      </c>
      <c r="AZ79" s="6"/>
      <c r="BA79" s="1"/>
      <c r="BB79" s="6"/>
      <c r="BC79" s="6"/>
      <c r="BD79" s="6"/>
      <c r="BE79" s="6"/>
      <c r="BF79" s="6"/>
      <c r="BG79" s="6"/>
      <c r="BH79" s="6"/>
      <c r="BI79" s="6"/>
      <c r="BJ79" s="6"/>
      <c r="BK79" s="6"/>
    </row>
    <row r="80" spans="1:63" x14ac:dyDescent="0.25">
      <c r="M80">
        <v>14</v>
      </c>
      <c r="N80" s="137">
        <f t="shared" ca="1" si="6"/>
        <v>-0.86082787323819665</v>
      </c>
      <c r="O80" s="137">
        <f t="shared" ca="1" si="1"/>
        <v>-9.8732606968943218E-2</v>
      </c>
      <c r="P80" s="137">
        <f t="shared" ca="1" si="1"/>
        <v>0.88106274985531896</v>
      </c>
      <c r="Q80" s="137">
        <f t="shared" ca="1" si="1"/>
        <v>-1.0379025715211332</v>
      </c>
      <c r="R80" s="137">
        <f t="shared" ca="1" si="1"/>
        <v>-0.22600110546192589</v>
      </c>
      <c r="S80" s="26"/>
      <c r="T80" s="26"/>
      <c r="U80" s="26"/>
      <c r="V80" s="26"/>
      <c r="W80" s="26"/>
      <c r="X80" s="26"/>
      <c r="Y80" s="26"/>
      <c r="Z80" s="26"/>
      <c r="AA80" s="26"/>
      <c r="AC80">
        <v>14</v>
      </c>
      <c r="AD80">
        <f ca="1"/>
        <v>-0.86082787323819654</v>
      </c>
      <c r="AE80">
        <f ca="1"/>
        <v>-0.31592968851391545</v>
      </c>
      <c r="AF80">
        <f ca="1"/>
        <v>0.2685447759979247</v>
      </c>
      <c r="AG80">
        <f ca="1"/>
        <v>-0.71792409212206709</v>
      </c>
      <c r="AH80">
        <f ca="1"/>
        <v>-0.78393290529375559</v>
      </c>
      <c r="AL80" s="116">
        <v>45243</v>
      </c>
      <c r="AM80">
        <f t="shared" si="7"/>
        <v>13</v>
      </c>
      <c r="AN80">
        <f t="shared" si="8"/>
        <v>0.12272635809067065</v>
      </c>
      <c r="AO80">
        <f t="shared" si="9"/>
        <v>0.12093636029516608</v>
      </c>
      <c r="AP80">
        <f t="shared" si="10"/>
        <v>0.10510200755743707</v>
      </c>
      <c r="AQ80">
        <f t="shared" si="12"/>
        <v>9.5429191043450753E-2</v>
      </c>
      <c r="AR80">
        <f t="shared" si="11"/>
        <v>9.1665999795769101E-2</v>
      </c>
      <c r="AT80" s="116">
        <v>45243</v>
      </c>
      <c r="AU80" s="43">
        <f t="shared" ca="1" si="2"/>
        <v>98.420468272205184</v>
      </c>
      <c r="AV80" s="43">
        <f t="shared" ca="1" si="3"/>
        <v>39.037780125345982</v>
      </c>
      <c r="AW80" s="43">
        <f t="shared" ca="1" si="4"/>
        <v>192.53451982344049</v>
      </c>
      <c r="AX80" s="43">
        <f t="shared" ca="1" si="5"/>
        <v>305.51371716602921</v>
      </c>
      <c r="AY80" s="43">
        <f t="shared" ca="1" si="13"/>
        <v>144.85345341649165</v>
      </c>
      <c r="AZ80" s="6"/>
      <c r="BA80" s="1"/>
      <c r="BB80" s="6"/>
      <c r="BC80" s="6"/>
      <c r="BD80" s="6"/>
      <c r="BE80" s="6"/>
      <c r="BF80" s="6"/>
      <c r="BG80" s="6"/>
      <c r="BH80" s="6"/>
      <c r="BI80" s="6"/>
      <c r="BJ80" s="6"/>
      <c r="BK80" s="6"/>
    </row>
    <row r="81" spans="13:63" x14ac:dyDescent="0.25">
      <c r="M81">
        <v>15</v>
      </c>
      <c r="N81" s="137">
        <f t="shared" ca="1" si="6"/>
        <v>-2.3938135695743541</v>
      </c>
      <c r="O81" s="137">
        <f t="shared" ca="1" si="1"/>
        <v>0.68007011184786992</v>
      </c>
      <c r="P81" s="137">
        <f t="shared" ca="1" si="1"/>
        <v>0.51867636115297544</v>
      </c>
      <c r="Q81" s="137">
        <f t="shared" ca="1" si="1"/>
        <v>-0.60931666549049224</v>
      </c>
      <c r="R81" s="137">
        <f t="shared" ca="1" si="1"/>
        <v>-2.4335073854200834E-2</v>
      </c>
      <c r="S81" s="26"/>
      <c r="T81" s="26"/>
      <c r="U81" s="26"/>
      <c r="V81" s="26"/>
      <c r="W81" s="26"/>
      <c r="X81" s="26"/>
      <c r="Y81" s="26"/>
      <c r="Z81" s="26"/>
      <c r="AA81" s="26"/>
      <c r="AC81">
        <v>15</v>
      </c>
      <c r="AD81">
        <f ca="1"/>
        <v>-2.3938135695743537</v>
      </c>
      <c r="AE81">
        <f ca="1"/>
        <v>4.4236353990764421E-2</v>
      </c>
      <c r="AF81">
        <f ca="1"/>
        <v>-0.9390874027051741</v>
      </c>
      <c r="AG81">
        <f ca="1"/>
        <v>-1.5615226388860055</v>
      </c>
      <c r="AH81">
        <f ca="1"/>
        <v>-1.5064706747858485</v>
      </c>
      <c r="AL81" s="1">
        <v>45260</v>
      </c>
      <c r="AM81">
        <f t="shared" si="7"/>
        <v>17</v>
      </c>
      <c r="AN81">
        <f t="shared" si="8"/>
        <v>0.14034295972953373</v>
      </c>
      <c r="AO81">
        <f t="shared" si="9"/>
        <v>0.13829601893833993</v>
      </c>
      <c r="AP81">
        <f t="shared" si="10"/>
        <v>0.12018874383308067</v>
      </c>
      <c r="AQ81">
        <f t="shared" si="12"/>
        <v>0.10912745496561004</v>
      </c>
      <c r="AR81">
        <f t="shared" si="11"/>
        <v>0.1048240811350452</v>
      </c>
      <c r="AT81" s="1">
        <v>45260</v>
      </c>
      <c r="AU81" s="43">
        <f t="shared" ca="1" si="2"/>
        <v>70.490787726954466</v>
      </c>
      <c r="AV81" s="43">
        <f t="shared" ca="1" si="3"/>
        <v>39.36337159061069</v>
      </c>
      <c r="AW81" s="43">
        <f t="shared" ca="1" si="4"/>
        <v>172.36181533834986</v>
      </c>
      <c r="AX81" s="43">
        <f t="shared" ca="1" si="5"/>
        <v>258.21118734019217</v>
      </c>
      <c r="AY81" s="43">
        <f t="shared" ca="1" si="13"/>
        <v>123.25131820971923</v>
      </c>
      <c r="AZ81" s="6"/>
      <c r="BA81" s="1"/>
      <c r="BB81" s="6"/>
      <c r="BC81" s="6"/>
      <c r="BD81" s="6"/>
      <c r="BE81" s="6"/>
      <c r="BF81" s="6"/>
      <c r="BG81" s="6"/>
      <c r="BH81" s="6"/>
      <c r="BI81" s="6"/>
      <c r="BJ81" s="6"/>
      <c r="BK81" s="6"/>
    </row>
    <row r="82" spans="13:63" x14ac:dyDescent="0.25">
      <c r="M82">
        <v>16</v>
      </c>
      <c r="N82" s="137">
        <f t="shared" ca="1" si="6"/>
        <v>0.35430005877927784</v>
      </c>
      <c r="O82" s="137">
        <f t="shared" ca="1" si="1"/>
        <v>-2.0772496194792045</v>
      </c>
      <c r="P82" s="137">
        <f t="shared" ca="1" si="1"/>
        <v>6.7184025053199342E-2</v>
      </c>
      <c r="Q82" s="137">
        <f t="shared" ca="1" si="1"/>
        <v>-2.4751678844972513</v>
      </c>
      <c r="R82" s="137">
        <f t="shared" ca="1" si="1"/>
        <v>0.93276574518419808</v>
      </c>
      <c r="S82" s="26"/>
      <c r="T82" s="26"/>
      <c r="U82" s="26"/>
      <c r="V82" s="26"/>
      <c r="W82" s="26"/>
      <c r="X82" s="26"/>
      <c r="Y82" s="26"/>
      <c r="Z82" s="26"/>
      <c r="AA82" s="26"/>
      <c r="AC82">
        <v>16</v>
      </c>
      <c r="AD82">
        <f ca="1"/>
        <v>0.35430005877927778</v>
      </c>
      <c r="AE82">
        <f ca="1"/>
        <v>-1.917203278073196</v>
      </c>
      <c r="AF82">
        <f ca="1"/>
        <v>0.42315745585858294</v>
      </c>
      <c r="AG82">
        <f ca="1"/>
        <v>-1.3822187370504668</v>
      </c>
      <c r="AH82">
        <f ca="1"/>
        <v>0.76815789295132886</v>
      </c>
      <c r="AL82" s="1">
        <v>45291</v>
      </c>
      <c r="AM82">
        <f t="shared" si="7"/>
        <v>31</v>
      </c>
      <c r="AN82">
        <f t="shared" si="8"/>
        <v>0.18736457607830648</v>
      </c>
      <c r="AO82">
        <f t="shared" si="9"/>
        <v>0.18463181203842488</v>
      </c>
      <c r="AP82">
        <f t="shared" si="10"/>
        <v>0.16045773212327669</v>
      </c>
      <c r="AQ82">
        <f t="shared" si="12"/>
        <v>0.14569038145939303</v>
      </c>
      <c r="AR82">
        <f t="shared" si="11"/>
        <v>0.13994517119003472</v>
      </c>
      <c r="AT82" s="1">
        <v>45291</v>
      </c>
      <c r="AU82" s="43">
        <f t="shared" ca="1" si="2"/>
        <v>75.623366117376591</v>
      </c>
      <c r="AV82" s="43">
        <f t="shared" ca="1" si="3"/>
        <v>27.73677121537704</v>
      </c>
      <c r="AW82" s="43">
        <f t="shared" ca="1" si="4"/>
        <v>185.19229740080925</v>
      </c>
      <c r="AX82" s="43">
        <f t="shared" ca="1" si="5"/>
        <v>211.93970643404535</v>
      </c>
      <c r="AY82" s="43">
        <f t="shared" ca="1" si="13"/>
        <v>101.97122549551034</v>
      </c>
      <c r="AZ82" s="6"/>
      <c r="BA82" s="1"/>
      <c r="BB82" s="6"/>
      <c r="BC82" s="6"/>
      <c r="BD82" s="6"/>
      <c r="BE82" s="6"/>
      <c r="BF82" s="6"/>
      <c r="BG82" s="6"/>
      <c r="BH82" s="6"/>
      <c r="BI82" s="6"/>
      <c r="BJ82" s="6"/>
      <c r="BK82" s="6"/>
    </row>
    <row r="83" spans="13:63" x14ac:dyDescent="0.25">
      <c r="M83">
        <v>17</v>
      </c>
      <c r="N83" s="137">
        <f t="shared" ca="1" si="6"/>
        <v>-2.0012975325872588</v>
      </c>
      <c r="O83" s="137">
        <f t="shared" ca="1" si="6"/>
        <v>-1.4053658215716522</v>
      </c>
      <c r="P83" s="137">
        <f t="shared" ca="1" si="6"/>
        <v>-0.57348659714184991</v>
      </c>
      <c r="Q83" s="137">
        <f t="shared" ca="1" si="6"/>
        <v>-1.256623199503788</v>
      </c>
      <c r="R83" s="137">
        <f t="shared" ca="1" si="6"/>
        <v>-0.38811089267568855</v>
      </c>
      <c r="S83" s="26"/>
      <c r="T83" s="26"/>
      <c r="U83" s="26"/>
      <c r="V83" s="26"/>
      <c r="W83" s="26"/>
      <c r="X83" s="26"/>
      <c r="Y83" s="26"/>
      <c r="Z83" s="26"/>
      <c r="AA83" s="26"/>
      <c r="AC83">
        <v>17</v>
      </c>
      <c r="AD83">
        <f ca="1"/>
        <v>-2.0012975325872584</v>
      </c>
      <c r="AE83">
        <f ca="1"/>
        <v>-1.8710915778223705</v>
      </c>
      <c r="AF83">
        <f ca="1"/>
        <v>-1.4585596723307526</v>
      </c>
      <c r="AG83">
        <f ca="1"/>
        <v>-2.4776976124423951</v>
      </c>
      <c r="AH83">
        <f ca="1"/>
        <v>-1.6249830012324267</v>
      </c>
      <c r="AL83" s="1">
        <v>45322</v>
      </c>
      <c r="AM83">
        <f t="shared" si="7"/>
        <v>31</v>
      </c>
      <c r="AN83">
        <f t="shared" si="8"/>
        <v>0.18736457607830648</v>
      </c>
      <c r="AO83">
        <f t="shared" si="9"/>
        <v>0.18463181203842488</v>
      </c>
      <c r="AP83">
        <f t="shared" si="10"/>
        <v>0.16045773212327669</v>
      </c>
      <c r="AQ83">
        <f t="shared" si="12"/>
        <v>0.14569038145939303</v>
      </c>
      <c r="AR83">
        <f t="shared" si="11"/>
        <v>0.13994517119003472</v>
      </c>
      <c r="AT83" s="1">
        <v>45322</v>
      </c>
      <c r="AU83" s="43">
        <f t="shared" ca="1" si="2"/>
        <v>52.179674791760682</v>
      </c>
      <c r="AV83" s="43">
        <f t="shared" ca="1" si="3"/>
        <v>19.711377065601621</v>
      </c>
      <c r="AW83" s="43">
        <f t="shared" ca="1" si="4"/>
        <v>147.12132013634826</v>
      </c>
      <c r="AX83" s="43">
        <f t="shared" ca="1" si="5"/>
        <v>148.29820130497347</v>
      </c>
      <c r="AY83" s="43">
        <f t="shared" ca="1" si="13"/>
        <v>72.374125576104944</v>
      </c>
      <c r="AZ83" s="6"/>
      <c r="BA83" s="1"/>
      <c r="BB83" s="6"/>
      <c r="BC83" s="6"/>
      <c r="BD83" s="6"/>
      <c r="BE83" s="6"/>
      <c r="BF83" s="6"/>
      <c r="BG83" s="6"/>
      <c r="BH83" s="6"/>
      <c r="BI83" s="6"/>
      <c r="BJ83" s="6"/>
      <c r="BK83" s="6"/>
    </row>
    <row r="84" spans="13:63" x14ac:dyDescent="0.25">
      <c r="M84">
        <v>18</v>
      </c>
      <c r="N84" s="137">
        <f t="shared" ca="1" si="6"/>
        <v>7.3241826276171818E-4</v>
      </c>
      <c r="O84" s="137">
        <f t="shared" ca="1" si="6"/>
        <v>0.36611696296609775</v>
      </c>
      <c r="P84" s="137">
        <f t="shared" ca="1" si="6"/>
        <v>-0.16753251457940752</v>
      </c>
      <c r="Q84" s="137">
        <f t="shared" ca="1" si="6"/>
        <v>-1.1204881433002045</v>
      </c>
      <c r="R84" s="137">
        <f t="shared" ca="1" si="6"/>
        <v>-2.0760778163075151</v>
      </c>
      <c r="S84" s="26"/>
      <c r="T84" s="26"/>
      <c r="U84" s="26"/>
      <c r="V84" s="26"/>
      <c r="W84" s="26"/>
      <c r="X84" s="26"/>
      <c r="Y84" s="26"/>
      <c r="Z84" s="26"/>
      <c r="AA84" s="26"/>
      <c r="AC84">
        <v>18</v>
      </c>
      <c r="AD84">
        <f ca="1"/>
        <v>7.3241826276171807E-4</v>
      </c>
      <c r="AE84">
        <f ca="1"/>
        <v>0.35409097799148581</v>
      </c>
      <c r="AF84">
        <f ca="1"/>
        <v>-0.16940075323040149</v>
      </c>
      <c r="AG84">
        <f ca="1"/>
        <v>-0.65687647119679493</v>
      </c>
      <c r="AH84">
        <f ca="1"/>
        <v>-1.6254344665647167</v>
      </c>
      <c r="AL84" s="116">
        <v>45334</v>
      </c>
      <c r="AM84">
        <f t="shared" si="7"/>
        <v>12</v>
      </c>
      <c r="AN84">
        <f t="shared" si="8"/>
        <v>0.11791167086568664</v>
      </c>
      <c r="AO84">
        <f t="shared" si="9"/>
        <v>0.11619189661183071</v>
      </c>
      <c r="AP84">
        <f t="shared" si="10"/>
        <v>0.10097874258828428</v>
      </c>
      <c r="AQ84">
        <f t="shared" si="12"/>
        <v>9.168540108540435E-2</v>
      </c>
      <c r="AR84">
        <f t="shared" si="11"/>
        <v>8.8069843883963994E-2</v>
      </c>
      <c r="AT84" s="116">
        <v>45334</v>
      </c>
      <c r="AU84" s="43">
        <f t="shared" ca="1" si="2"/>
        <v>52.264844845842617</v>
      </c>
      <c r="AV84" s="43">
        <f t="shared" ca="1" si="3"/>
        <v>20.571014911043019</v>
      </c>
      <c r="AW84" s="43">
        <f t="shared" ca="1" si="4"/>
        <v>144.84963912630144</v>
      </c>
      <c r="AX84" s="43">
        <f t="shared" ca="1" si="5"/>
        <v>139.84626219412871</v>
      </c>
      <c r="AY84" s="43">
        <f t="shared" ca="1" si="13"/>
        <v>68.41159994960374</v>
      </c>
      <c r="AZ84" s="6"/>
      <c r="BA84" s="1"/>
      <c r="BB84" s="6"/>
      <c r="BC84" s="6"/>
      <c r="BD84" s="6"/>
      <c r="BE84" s="6"/>
      <c r="BF84" s="6"/>
      <c r="BG84" s="6"/>
      <c r="BH84" s="6"/>
      <c r="BI84" s="6"/>
      <c r="BJ84" s="6"/>
      <c r="BK84" s="6"/>
    </row>
    <row r="85" spans="13:63" x14ac:dyDescent="0.25">
      <c r="M85">
        <v>19</v>
      </c>
      <c r="N85" s="137">
        <f t="shared" ca="1" si="6"/>
        <v>0.14583391125948464</v>
      </c>
      <c r="O85" s="137">
        <f t="shared" ca="1" si="6"/>
        <v>0.25279467833915187</v>
      </c>
      <c r="P85" s="137">
        <f t="shared" ca="1" si="6"/>
        <v>0.93712980850369576</v>
      </c>
      <c r="Q85" s="137">
        <f t="shared" ca="1" si="6"/>
        <v>-0.45514350254676372</v>
      </c>
      <c r="R85" s="137">
        <f t="shared" ca="1" si="6"/>
        <v>-1.107458671487161</v>
      </c>
      <c r="S85" s="26"/>
      <c r="T85" s="26"/>
      <c r="U85" s="26"/>
      <c r="V85" s="26"/>
      <c r="W85" s="26"/>
      <c r="X85" s="26"/>
      <c r="Y85" s="26"/>
      <c r="Z85" s="26"/>
      <c r="AA85" s="26"/>
      <c r="AC85">
        <v>19</v>
      </c>
      <c r="AD85">
        <f ca="1"/>
        <v>0.14583391125948461</v>
      </c>
      <c r="AE85">
        <f ca="1"/>
        <v>0.28171511581463399</v>
      </c>
      <c r="AF85">
        <f ca="1"/>
        <v>0.83847304951889634</v>
      </c>
      <c r="AG85">
        <f ca="1"/>
        <v>0.33939452955069976</v>
      </c>
      <c r="AH85">
        <f ca="1"/>
        <v>-0.81731240764629753</v>
      </c>
      <c r="AL85" s="1">
        <v>45350</v>
      </c>
      <c r="AM85">
        <f t="shared" si="7"/>
        <v>16</v>
      </c>
      <c r="AN85">
        <f t="shared" si="8"/>
        <v>0.13615266982980548</v>
      </c>
      <c r="AO85">
        <f t="shared" si="9"/>
        <v>0.13416684557298725</v>
      </c>
      <c r="AP85">
        <f t="shared" si="10"/>
        <v>0.11660020843155171</v>
      </c>
      <c r="AQ85">
        <f t="shared" si="12"/>
        <v>0.10586918199483401</v>
      </c>
      <c r="AR85">
        <f t="shared" si="11"/>
        <v>0.10169429614778985</v>
      </c>
      <c r="AT85" s="1">
        <v>45350</v>
      </c>
      <c r="AU85" s="43">
        <f t="shared" ca="1" si="2"/>
        <v>53.4228760501409</v>
      </c>
      <c r="AV85" s="43">
        <f t="shared" ca="1" si="3"/>
        <v>21.407456078041967</v>
      </c>
      <c r="AW85" s="43">
        <f t="shared" ca="1" si="4"/>
        <v>160.05568263031063</v>
      </c>
      <c r="AX85" s="43">
        <f t="shared" ca="1" si="5"/>
        <v>145.26134787680184</v>
      </c>
      <c r="AY85" s="43">
        <f t="shared" ca="1" si="13"/>
        <v>70.959996870280065</v>
      </c>
      <c r="AZ85" s="6"/>
      <c r="BA85" s="1"/>
      <c r="BB85" s="6"/>
      <c r="BC85" s="6"/>
      <c r="BD85" s="6"/>
      <c r="BE85" s="6"/>
      <c r="BF85" s="6"/>
      <c r="BG85" s="6"/>
      <c r="BH85" s="6"/>
      <c r="BI85" s="6"/>
      <c r="BJ85" s="6"/>
      <c r="BK85" s="6"/>
    </row>
    <row r="86" spans="13:63" x14ac:dyDescent="0.25">
      <c r="M86">
        <v>20</v>
      </c>
      <c r="N86" s="137">
        <f t="shared" ca="1" si="6"/>
        <v>0.25959098622301735</v>
      </c>
      <c r="O86" s="137">
        <f t="shared" ca="1" si="6"/>
        <v>-0.3072855660657956</v>
      </c>
      <c r="P86" s="137">
        <f t="shared" ca="1" si="6"/>
        <v>0.39871999704455319</v>
      </c>
      <c r="Q86" s="137">
        <f t="shared" ca="1" si="6"/>
        <v>0.62062069148761068</v>
      </c>
      <c r="R86" s="137">
        <f t="shared" ca="1" si="6"/>
        <v>-2.8171480559463918E-2</v>
      </c>
      <c r="S86" s="26"/>
      <c r="T86" s="26"/>
      <c r="U86" s="26"/>
      <c r="V86" s="26"/>
      <c r="W86" s="26"/>
      <c r="X86" s="26"/>
      <c r="Y86" s="26"/>
      <c r="Z86" s="26"/>
      <c r="AA86" s="26"/>
      <c r="AC86">
        <v>20</v>
      </c>
      <c r="AD86">
        <f ca="1"/>
        <v>0.25959098622301729</v>
      </c>
      <c r="AE86">
        <f ca="1"/>
        <v>-0.23054345261455761</v>
      </c>
      <c r="AF86">
        <f ca="1"/>
        <v>0.49968348502943349</v>
      </c>
      <c r="AG86">
        <f ca="1"/>
        <v>0.6718311129668908</v>
      </c>
      <c r="AH86">
        <f ca="1"/>
        <v>0.12115774182526014</v>
      </c>
      <c r="AL86" s="1">
        <v>45382</v>
      </c>
      <c r="AM86">
        <f t="shared" si="7"/>
        <v>32</v>
      </c>
      <c r="AN86">
        <f t="shared" si="8"/>
        <v>0.18736457607830648</v>
      </c>
      <c r="AO86">
        <f t="shared" si="9"/>
        <v>0.18463181203842488</v>
      </c>
      <c r="AP86">
        <f t="shared" si="10"/>
        <v>0.16045773212327669</v>
      </c>
      <c r="AQ86">
        <f t="shared" si="12"/>
        <v>0.14569038145939303</v>
      </c>
      <c r="AR86">
        <f t="shared" si="11"/>
        <v>0.13994517119003472</v>
      </c>
      <c r="AT86" s="1">
        <v>45382</v>
      </c>
      <c r="AU86" s="43">
        <f t="shared" ca="1" si="2"/>
        <v>56.30465421086754</v>
      </c>
      <c r="AV86" s="43">
        <f t="shared" ca="1" si="3"/>
        <v>20.595520914055793</v>
      </c>
      <c r="AW86" s="43">
        <f t="shared" ca="1" si="4"/>
        <v>174.09477762547684</v>
      </c>
      <c r="AX86" s="43">
        <f t="shared" ca="1" si="5"/>
        <v>160.8245228371309</v>
      </c>
      <c r="AY86" s="43">
        <f t="shared" ca="1" si="13"/>
        <v>78.25993717513461</v>
      </c>
      <c r="AZ86" s="6"/>
      <c r="BA86" s="1"/>
      <c r="BB86" s="6"/>
      <c r="BC86" s="6"/>
      <c r="BD86" s="6"/>
      <c r="BE86" s="6"/>
      <c r="BF86" s="6"/>
      <c r="BG86" s="6"/>
      <c r="BH86" s="6"/>
      <c r="BI86" s="6"/>
      <c r="BJ86" s="6"/>
      <c r="BK86" s="6"/>
    </row>
    <row r="87" spans="13:63" x14ac:dyDescent="0.25">
      <c r="M87">
        <v>21</v>
      </c>
      <c r="N87" s="137">
        <f t="shared" ca="1" si="6"/>
        <v>1.1423510689938901</v>
      </c>
      <c r="O87" s="137">
        <f t="shared" ca="1" si="6"/>
        <v>-0.74589227182582585</v>
      </c>
      <c r="P87" s="137">
        <f t="shared" ca="1" si="6"/>
        <v>-0.6688280893303935</v>
      </c>
      <c r="Q87" s="137">
        <f t="shared" ca="1" si="6"/>
        <v>-1.1889919868224339</v>
      </c>
      <c r="R87" s="137">
        <f t="shared" ca="1" si="6"/>
        <v>-0.19294429351391015</v>
      </c>
      <c r="S87" s="26"/>
      <c r="T87" s="26"/>
      <c r="U87" s="26"/>
      <c r="V87" s="26"/>
      <c r="W87" s="26"/>
      <c r="X87" s="26"/>
      <c r="Y87" s="26"/>
      <c r="Z87" s="26"/>
      <c r="AA87" s="26"/>
      <c r="AC87">
        <v>21</v>
      </c>
      <c r="AD87">
        <f ca="1"/>
        <v>1.1423510689938898</v>
      </c>
      <c r="AE87">
        <f ca="1"/>
        <v>-0.42840987637303102</v>
      </c>
      <c r="AF87">
        <f ca="1"/>
        <v>0.13276947320336208</v>
      </c>
      <c r="AG87">
        <f ca="1"/>
        <v>-0.34061319142318208</v>
      </c>
      <c r="AH87">
        <f ca="1"/>
        <v>0.51584093492794969</v>
      </c>
      <c r="AL87" s="1">
        <v>45412</v>
      </c>
      <c r="AM87">
        <f t="shared" si="7"/>
        <v>30</v>
      </c>
      <c r="AN87">
        <f t="shared" si="8"/>
        <v>0.18736457607830648</v>
      </c>
      <c r="AO87">
        <f t="shared" si="9"/>
        <v>0.18463181203842488</v>
      </c>
      <c r="AP87">
        <f t="shared" si="10"/>
        <v>0.16045773212327669</v>
      </c>
      <c r="AQ87">
        <f t="shared" si="12"/>
        <v>0.14569038145939303</v>
      </c>
      <c r="AR87">
        <f t="shared" si="11"/>
        <v>0.13994517119003472</v>
      </c>
      <c r="AT87" s="1">
        <v>45412</v>
      </c>
      <c r="AU87" s="43">
        <f t="shared" ca="1" si="2"/>
        <v>70.015267369560718</v>
      </c>
      <c r="AV87" s="43">
        <f t="shared" ca="1" si="3"/>
        <v>19.103575739588631</v>
      </c>
      <c r="AW87" s="43">
        <f t="shared" ca="1" si="4"/>
        <v>178.53840613251958</v>
      </c>
      <c r="AX87" s="43">
        <f t="shared" ca="1" si="5"/>
        <v>153.63655559219509</v>
      </c>
      <c r="AY87" s="43">
        <f t="shared" ca="1" si="13"/>
        <v>74.908595425780277</v>
      </c>
      <c r="AZ87" s="6"/>
      <c r="BA87" s="1"/>
      <c r="BB87" s="6"/>
      <c r="BC87" s="6"/>
      <c r="BD87" s="6"/>
      <c r="BE87" s="6"/>
      <c r="BF87" s="6"/>
      <c r="BG87" s="6"/>
      <c r="BH87" s="6"/>
      <c r="BI87" s="6"/>
      <c r="BJ87" s="6"/>
      <c r="BK87" s="6"/>
    </row>
    <row r="88" spans="13:63" x14ac:dyDescent="0.25">
      <c r="M88">
        <v>22</v>
      </c>
      <c r="N88" s="137">
        <f t="shared" ca="1" si="6"/>
        <v>4.8484776364776896E-2</v>
      </c>
      <c r="O88" s="137">
        <f t="shared" ca="1" si="6"/>
        <v>-1.6983629183824482</v>
      </c>
      <c r="P88" s="137">
        <f t="shared" ca="1" si="6"/>
        <v>-0.52928261824846023</v>
      </c>
      <c r="Q88" s="137">
        <f t="shared" ca="1" si="6"/>
        <v>-2.0214678562441888</v>
      </c>
      <c r="R88" s="137">
        <f t="shared" ca="1" si="6"/>
        <v>-0.35401686983329861</v>
      </c>
      <c r="S88" s="26"/>
      <c r="T88" s="26"/>
      <c r="U88" s="26"/>
      <c r="V88" s="26"/>
      <c r="W88" s="26"/>
      <c r="X88" s="26"/>
      <c r="Y88" s="26"/>
      <c r="Z88" s="26"/>
      <c r="AA88" s="26"/>
      <c r="AC88">
        <v>22</v>
      </c>
      <c r="AD88">
        <f ca="1"/>
        <v>4.848477636477689E-2</v>
      </c>
      <c r="AE88">
        <f ca="1"/>
        <v>-1.6292870907959953</v>
      </c>
      <c r="AF88">
        <f ca="1"/>
        <v>-0.27233003462776884</v>
      </c>
      <c r="AG88">
        <f ca="1"/>
        <v>-1.5758931192368701</v>
      </c>
      <c r="AH88">
        <f ca="1"/>
        <v>-0.36699253431215179</v>
      </c>
      <c r="AL88" s="116">
        <v>45422</v>
      </c>
      <c r="AM88">
        <f t="shared" si="7"/>
        <v>10</v>
      </c>
      <c r="AN88">
        <f t="shared" si="8"/>
        <v>0.1076381365437688</v>
      </c>
      <c r="AO88">
        <f t="shared" si="9"/>
        <v>0.10606820462267962</v>
      </c>
      <c r="AP88">
        <f t="shared" si="10"/>
        <v>9.2180558573518187E-2</v>
      </c>
      <c r="AQ88">
        <f t="shared" si="12"/>
        <v>8.3696937280641023E-2</v>
      </c>
      <c r="AR88">
        <f t="shared" si="11"/>
        <v>8.0396400218675793E-2</v>
      </c>
      <c r="AT88" s="116">
        <v>45422</v>
      </c>
      <c r="AU88" s="43">
        <f t="shared" ca="1" si="2"/>
        <v>70.472267472143699</v>
      </c>
      <c r="AV88" s="43">
        <f t="shared" ca="1" si="3"/>
        <v>16.092399844777059</v>
      </c>
      <c r="AW88" s="43">
        <f t="shared" ca="1" si="4"/>
        <v>174.33649874809572</v>
      </c>
      <c r="AX88" s="43">
        <f t="shared" ca="1" si="5"/>
        <v>134.82524867987794</v>
      </c>
      <c r="AY88" s="43">
        <f t="shared" ca="1" si="13"/>
        <v>66.079571024020112</v>
      </c>
      <c r="AZ88" s="6"/>
      <c r="BA88" s="1"/>
      <c r="BB88" s="6"/>
      <c r="BC88" s="6"/>
      <c r="BD88" s="6"/>
      <c r="BE88" s="6"/>
      <c r="BF88" s="6"/>
      <c r="BG88" s="6"/>
      <c r="BH88" s="6"/>
      <c r="BI88" s="6"/>
      <c r="BJ88" s="6"/>
      <c r="BK88" s="6"/>
    </row>
    <row r="89" spans="13:63" x14ac:dyDescent="0.25">
      <c r="M89">
        <v>23</v>
      </c>
      <c r="N89" s="137">
        <f t="shared" ca="1" si="6"/>
        <v>-0.93919205123689153</v>
      </c>
      <c r="O89" s="137">
        <f t="shared" ca="1" si="6"/>
        <v>-1.4676468503539437</v>
      </c>
      <c r="P89" s="137">
        <f t="shared" ca="1" si="6"/>
        <v>-1.7057219144819216</v>
      </c>
      <c r="Q89" s="137">
        <f t="shared" ca="1" si="6"/>
        <v>-0.92841696173689281</v>
      </c>
      <c r="R89" s="137">
        <f t="shared" ca="1" si="6"/>
        <v>-0.14132845790987</v>
      </c>
      <c r="S89" s="26"/>
      <c r="T89" s="26"/>
      <c r="U89" s="26"/>
      <c r="V89" s="26"/>
      <c r="W89" s="26"/>
      <c r="X89" s="26"/>
      <c r="Y89" s="26"/>
      <c r="Z89" s="26"/>
      <c r="AA89" s="26"/>
      <c r="AC89">
        <v>23</v>
      </c>
      <c r="AD89">
        <f ca="1"/>
        <v>-0.93919205123689142</v>
      </c>
      <c r="AE89">
        <f ca="1"/>
        <v>-1.6592492880390781</v>
      </c>
      <c r="AF89">
        <f ca="1"/>
        <v>-1.8121447275118872</v>
      </c>
      <c r="AG89">
        <f ca="1"/>
        <v>-2.1675172435254311</v>
      </c>
      <c r="AH89">
        <f ca="1"/>
        <v>-0.71642902191752411</v>
      </c>
      <c r="AL89" s="1">
        <v>45443</v>
      </c>
      <c r="AM89">
        <f t="shared" si="7"/>
        <v>21</v>
      </c>
      <c r="AN89">
        <f t="shared" si="8"/>
        <v>0.15598247889135347</v>
      </c>
      <c r="AO89">
        <f t="shared" si="9"/>
        <v>0.15370743139791623</v>
      </c>
      <c r="AP89">
        <f t="shared" si="10"/>
        <v>0.13358232029630349</v>
      </c>
      <c r="AQ89">
        <f t="shared" si="12"/>
        <v>0.12128838506359571</v>
      </c>
      <c r="AR89">
        <f t="shared" si="11"/>
        <v>0.11650545246062578</v>
      </c>
      <c r="AT89" s="1">
        <v>45443</v>
      </c>
      <c r="AU89" s="43">
        <f t="shared" ca="1" si="2"/>
        <v>61.033612025383661</v>
      </c>
      <c r="AV89" s="43">
        <f t="shared" ca="1" si="3"/>
        <v>12.503531512271509</v>
      </c>
      <c r="AW89" s="43">
        <f t="shared" ca="1" si="4"/>
        <v>137.2247105837439</v>
      </c>
      <c r="AX89" s="43">
        <f t="shared" ca="1" si="5"/>
        <v>103.93729555149233</v>
      </c>
      <c r="AY89" s="43">
        <f t="shared" ca="1" si="13"/>
        <v>51.471848675199496</v>
      </c>
      <c r="AZ89" s="6"/>
      <c r="BA89" s="1"/>
      <c r="BB89" s="6"/>
      <c r="BC89" s="6"/>
      <c r="BD89" s="6"/>
      <c r="BE89" s="6"/>
      <c r="BF89" s="6"/>
      <c r="BG89" s="6"/>
      <c r="BH89" s="6"/>
      <c r="BI89" s="6"/>
      <c r="BJ89" s="6"/>
      <c r="BK89" s="6"/>
    </row>
    <row r="90" spans="13:63" x14ac:dyDescent="0.25">
      <c r="M90">
        <v>24</v>
      </c>
      <c r="N90" s="137">
        <f t="shared" ca="1" si="6"/>
        <v>-0.24853654488910476</v>
      </c>
      <c r="O90" s="137">
        <f t="shared" ca="1" si="6"/>
        <v>0.55550710975651196</v>
      </c>
      <c r="P90" s="137">
        <f t="shared" ca="1" si="6"/>
        <v>-1.4568495718222472</v>
      </c>
      <c r="Q90" s="137">
        <f t="shared" ca="1" si="6"/>
        <v>0.59933117294620053</v>
      </c>
      <c r="R90" s="137">
        <f t="shared" ca="1" si="6"/>
        <v>-1.4163757982344529</v>
      </c>
      <c r="S90" s="26"/>
      <c r="T90" s="26"/>
      <c r="U90" s="26"/>
      <c r="V90" s="26"/>
      <c r="W90" s="26"/>
      <c r="X90" s="26"/>
      <c r="Y90" s="26"/>
      <c r="Z90" s="26"/>
      <c r="AA90" s="26"/>
      <c r="AC90">
        <v>24</v>
      </c>
      <c r="AD90">
        <f ca="1"/>
        <v>-0.24853654488910473</v>
      </c>
      <c r="AE90">
        <f ca="1"/>
        <v>0.47331584076826283</v>
      </c>
      <c r="AF90">
        <f ca="1"/>
        <v>-1.3943649110911045</v>
      </c>
      <c r="AG90">
        <f ca="1"/>
        <v>-0.4776276564961629</v>
      </c>
      <c r="AH90">
        <f ca="1"/>
        <v>-1.1480365070041394</v>
      </c>
      <c r="AL90" s="1">
        <v>45473</v>
      </c>
      <c r="AM90">
        <f t="shared" si="7"/>
        <v>30</v>
      </c>
      <c r="AN90">
        <f t="shared" si="8"/>
        <v>0.18736457607830648</v>
      </c>
      <c r="AO90">
        <f t="shared" si="9"/>
        <v>0.18463181203842488</v>
      </c>
      <c r="AP90">
        <f t="shared" si="10"/>
        <v>0.16045773212327669</v>
      </c>
      <c r="AQ90">
        <f t="shared" si="12"/>
        <v>0.14569038145939303</v>
      </c>
      <c r="AR90">
        <f t="shared" si="11"/>
        <v>0.13994517119003472</v>
      </c>
      <c r="AT90" s="1">
        <v>45473</v>
      </c>
      <c r="AU90" s="43">
        <f t="shared" ca="1" si="2"/>
        <v>58.484267407036995</v>
      </c>
      <c r="AV90" s="43">
        <f t="shared" ca="1" si="3"/>
        <v>13.698691080988002</v>
      </c>
      <c r="AW90" s="43">
        <f t="shared" ca="1" si="4"/>
        <v>110.14340229364893</v>
      </c>
      <c r="AX90" s="43">
        <f t="shared" ca="1" si="5"/>
        <v>97.329490771665732</v>
      </c>
      <c r="AY90" s="43">
        <f t="shared" ca="1" si="13"/>
        <v>48.331974830140254</v>
      </c>
      <c r="AZ90" s="6"/>
      <c r="BA90" s="1"/>
      <c r="BB90" s="6"/>
      <c r="BC90" s="6"/>
      <c r="BD90" s="6"/>
      <c r="BE90" s="6"/>
      <c r="BF90" s="6"/>
      <c r="BG90" s="6"/>
      <c r="BH90" s="6"/>
      <c r="BI90" s="6"/>
      <c r="BJ90" s="6"/>
      <c r="BK90" s="6"/>
    </row>
    <row r="91" spans="13:63" x14ac:dyDescent="0.25">
      <c r="M91">
        <v>25</v>
      </c>
      <c r="N91" s="137">
        <f t="shared" ca="1" si="6"/>
        <v>-0.7612371427304937</v>
      </c>
      <c r="O91" s="137">
        <f t="shared" ca="1" si="6"/>
        <v>-1.1811143068457304</v>
      </c>
      <c r="P91" s="137">
        <f t="shared" ca="1" si="6"/>
        <v>1.2068352551966412E-3</v>
      </c>
      <c r="Q91" s="137">
        <f t="shared" ca="1" si="6"/>
        <v>1.3016985541653072</v>
      </c>
      <c r="R91" s="137">
        <f t="shared" ca="1" si="6"/>
        <v>-2.0338662203388935</v>
      </c>
      <c r="S91" s="26"/>
      <c r="T91" s="26"/>
      <c r="U91" s="26"/>
      <c r="V91" s="26"/>
      <c r="W91" s="26"/>
      <c r="X91" s="26"/>
      <c r="Y91" s="26"/>
      <c r="Z91" s="26"/>
      <c r="AA91" s="26"/>
      <c r="AC91">
        <v>25</v>
      </c>
      <c r="AD91">
        <f ca="1"/>
        <v>-0.76123714273049359</v>
      </c>
      <c r="AE91">
        <f ca="1"/>
        <v>-1.3366943852783753</v>
      </c>
      <c r="AF91">
        <f ca="1"/>
        <v>-0.31856748971002896</v>
      </c>
      <c r="AG91">
        <f ca="1"/>
        <v>6.9983853592703094E-2</v>
      </c>
      <c r="AH91">
        <f ca="1"/>
        <v>-2.0877170233755433</v>
      </c>
      <c r="AL91" s="1">
        <v>45504</v>
      </c>
      <c r="AM91">
        <f t="shared" si="7"/>
        <v>31</v>
      </c>
      <c r="AN91">
        <f t="shared" si="8"/>
        <v>0.18736457607830648</v>
      </c>
      <c r="AO91">
        <f t="shared" si="9"/>
        <v>0.18463181203842488</v>
      </c>
      <c r="AP91">
        <f t="shared" si="10"/>
        <v>0.16045773212327669</v>
      </c>
      <c r="AQ91">
        <f t="shared" si="12"/>
        <v>0.14569038145939303</v>
      </c>
      <c r="AR91">
        <f t="shared" si="11"/>
        <v>0.13994517119003472</v>
      </c>
      <c r="AT91" s="1">
        <v>45504</v>
      </c>
      <c r="AU91" s="43">
        <f t="shared" ca="1" si="2"/>
        <v>50.908449427133426</v>
      </c>
      <c r="AV91" s="43">
        <f t="shared" ca="1" si="3"/>
        <v>10.744607278995387</v>
      </c>
      <c r="AW91" s="43">
        <f t="shared" ca="1" si="4"/>
        <v>105.06367102140909</v>
      </c>
      <c r="AX91" s="43">
        <f t="shared" ca="1" si="5"/>
        <v>98.711159883241706</v>
      </c>
      <c r="AY91" s="43">
        <f t="shared" ca="1" si="13"/>
        <v>48.998380608893463</v>
      </c>
      <c r="AZ91" s="6"/>
      <c r="BA91" s="1"/>
      <c r="BB91" s="6"/>
      <c r="BC91" s="6"/>
      <c r="BD91" s="6"/>
      <c r="BE91" s="6"/>
      <c r="BF91" s="6"/>
      <c r="BG91" s="6"/>
      <c r="BH91" s="6"/>
      <c r="BI91" s="6"/>
      <c r="BJ91" s="6"/>
      <c r="BK91" s="6"/>
    </row>
    <row r="92" spans="13:63" x14ac:dyDescent="0.25">
      <c r="M92">
        <v>26</v>
      </c>
      <c r="N92" s="137">
        <f t="shared" ca="1" si="6"/>
        <v>0.44098436297964727</v>
      </c>
      <c r="O92" s="137">
        <f t="shared" ca="1" si="6"/>
        <v>-0.9804782099078716</v>
      </c>
      <c r="P92" s="137">
        <f t="shared" ca="1" si="6"/>
        <v>-1.3638306004577052</v>
      </c>
      <c r="Q92" s="137">
        <f t="shared" ca="1" si="6"/>
        <v>-7.2972266612803607E-2</v>
      </c>
      <c r="R92" s="137">
        <f t="shared" ca="1" si="6"/>
        <v>-1.0901093697966406</v>
      </c>
      <c r="S92" s="26"/>
      <c r="T92" s="26"/>
      <c r="U92" s="26"/>
      <c r="V92" s="26"/>
      <c r="W92" s="26"/>
      <c r="X92" s="26"/>
      <c r="Y92" s="26"/>
      <c r="Z92" s="26"/>
      <c r="AA92" s="26"/>
      <c r="AC92">
        <v>26</v>
      </c>
      <c r="AD92">
        <f ca="1"/>
        <v>0.44098436297964722</v>
      </c>
      <c r="AE92">
        <f ca="1"/>
        <v>-0.83481678347532084</v>
      </c>
      <c r="AF92">
        <f ca="1"/>
        <v>-0.81075087040124294</v>
      </c>
      <c r="AG92">
        <f ca="1"/>
        <v>-0.5547520262646447</v>
      </c>
      <c r="AH92">
        <f ca="1"/>
        <v>-0.56961197678043407</v>
      </c>
      <c r="AL92" s="116">
        <v>45516</v>
      </c>
      <c r="AM92">
        <f t="shared" si="7"/>
        <v>12</v>
      </c>
      <c r="AN92">
        <f t="shared" si="8"/>
        <v>0.11791167086568664</v>
      </c>
      <c r="AO92">
        <f t="shared" si="9"/>
        <v>0.11619189661183071</v>
      </c>
      <c r="AP92">
        <f t="shared" si="10"/>
        <v>0.10097874258828428</v>
      </c>
      <c r="AQ92">
        <f t="shared" si="12"/>
        <v>9.168540108540435E-2</v>
      </c>
      <c r="AR92">
        <f t="shared" si="11"/>
        <v>8.8069843883963994E-2</v>
      </c>
      <c r="AT92" s="116">
        <v>45516</v>
      </c>
      <c r="AU92" s="43">
        <f t="shared" ca="1" si="2"/>
        <v>53.708467348776772</v>
      </c>
      <c r="AV92" s="43">
        <f t="shared" ca="1" si="3"/>
        <v>9.7664162715450686</v>
      </c>
      <c r="AW92" s="43">
        <f t="shared" ca="1" si="4"/>
        <v>96.954569010043855</v>
      </c>
      <c r="AX92" s="43">
        <f t="shared" ca="1" si="5"/>
        <v>93.961009268042972</v>
      </c>
      <c r="AY92" s="43">
        <f t="shared" ca="1" si="13"/>
        <v>46.734136823731646</v>
      </c>
      <c r="AZ92" s="6"/>
      <c r="BA92" s="1"/>
      <c r="BB92" s="6"/>
      <c r="BC92" s="6"/>
      <c r="BD92" s="6"/>
      <c r="BE92" s="6"/>
      <c r="BF92" s="6"/>
      <c r="BG92" s="6"/>
      <c r="BH92" s="6"/>
      <c r="BI92" s="6"/>
      <c r="BJ92" s="6"/>
      <c r="BK92" s="6"/>
    </row>
    <row r="93" spans="13:63" x14ac:dyDescent="0.25"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L93" s="1"/>
      <c r="AT93" s="1"/>
      <c r="AU93" s="43"/>
      <c r="AV93" s="43"/>
      <c r="AW93" s="43"/>
      <c r="AX93" s="43"/>
      <c r="AY93" s="43"/>
      <c r="AZ93" s="6"/>
      <c r="BA93" s="1"/>
      <c r="BB93" s="6"/>
      <c r="BC93" s="6"/>
      <c r="BD93" s="6"/>
      <c r="BE93" s="6"/>
      <c r="BF93" s="6"/>
      <c r="BG93" s="6"/>
      <c r="BH93" s="6"/>
      <c r="BI93" s="6"/>
      <c r="BJ93" s="6"/>
      <c r="BK93" s="6"/>
    </row>
    <row r="94" spans="13:63" x14ac:dyDescent="0.25"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L94" s="1"/>
      <c r="AT94" s="1"/>
      <c r="AU94" s="43"/>
      <c r="AV94" s="43"/>
      <c r="AW94" s="43"/>
      <c r="AX94" s="43"/>
      <c r="AY94" s="43"/>
      <c r="AZ94" s="6"/>
      <c r="BA94" s="1"/>
      <c r="BB94" s="6"/>
      <c r="BC94" s="6"/>
      <c r="BD94" s="6"/>
      <c r="BE94" s="6"/>
      <c r="BF94" s="6"/>
      <c r="BG94" s="6"/>
      <c r="BH94" s="6"/>
      <c r="BI94" s="6"/>
      <c r="BJ94" s="6"/>
      <c r="BK94" s="6"/>
    </row>
    <row r="95" spans="13:63" x14ac:dyDescent="0.25"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L95" s="1"/>
      <c r="AT95" s="1"/>
      <c r="AU95" s="43"/>
      <c r="AV95" s="43"/>
      <c r="AW95" s="43"/>
      <c r="AX95" s="43"/>
      <c r="AY95" s="6"/>
      <c r="AZ95" s="6"/>
      <c r="BA95" s="1"/>
      <c r="BB95" s="6"/>
      <c r="BC95" s="6"/>
      <c r="BD95" s="6"/>
      <c r="BE95" s="6"/>
      <c r="BF95" s="6"/>
      <c r="BG95" s="6"/>
      <c r="BH95" s="6"/>
      <c r="BI95" s="6"/>
      <c r="BJ95" s="6"/>
      <c r="BK95" s="6"/>
    </row>
    <row r="96" spans="13:63" x14ac:dyDescent="0.25"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L96" s="1"/>
      <c r="AT96" s="1"/>
      <c r="AU96" s="43"/>
      <c r="AV96" s="43"/>
      <c r="AW96" s="43"/>
      <c r="AX96" s="43"/>
      <c r="AY96" s="6"/>
      <c r="AZ96" s="6"/>
      <c r="BA96" s="1"/>
      <c r="BB96" s="6"/>
      <c r="BC96" s="6"/>
      <c r="BD96" s="6"/>
      <c r="BE96" s="6"/>
      <c r="BF96" s="6"/>
      <c r="BG96" s="6"/>
      <c r="BH96" s="6"/>
      <c r="BI96" s="6"/>
      <c r="BJ96" s="6"/>
      <c r="BK96" s="6"/>
    </row>
    <row r="97" spans="14:63" x14ac:dyDescent="0.25"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L97" s="1"/>
      <c r="AT97" s="1"/>
      <c r="AU97" s="43"/>
      <c r="AV97" s="43"/>
      <c r="AW97" s="43"/>
      <c r="AX97" s="43"/>
      <c r="AY97" s="6"/>
      <c r="AZ97" s="6"/>
      <c r="BA97" s="1"/>
      <c r="BB97" s="6"/>
      <c r="BC97" s="6"/>
      <c r="BD97" s="6"/>
      <c r="BE97" s="6"/>
      <c r="BF97" s="6"/>
      <c r="BG97" s="6"/>
      <c r="BH97" s="6"/>
      <c r="BI97" s="6"/>
      <c r="BJ97" s="6"/>
      <c r="BK97" s="6"/>
    </row>
    <row r="98" spans="14:63" x14ac:dyDescent="0.25"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L98" s="1"/>
      <c r="AT98" s="1"/>
      <c r="AU98" s="6"/>
      <c r="AV98" s="6"/>
      <c r="AW98" s="6"/>
      <c r="AX98" s="6"/>
      <c r="AY98" s="6"/>
      <c r="AZ98" s="6"/>
      <c r="BA98" s="1"/>
      <c r="BB98" s="6"/>
      <c r="BC98" s="6"/>
      <c r="BD98" s="6"/>
      <c r="BE98" s="6"/>
      <c r="BF98" s="6"/>
      <c r="BG98" s="6"/>
      <c r="BH98" s="6"/>
      <c r="BI98" s="6"/>
      <c r="BJ98" s="6"/>
      <c r="BK98" s="6"/>
    </row>
    <row r="99" spans="14:63" x14ac:dyDescent="0.25"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L99" s="1"/>
      <c r="AT99" s="1"/>
      <c r="AU99" s="6"/>
      <c r="AV99" s="6"/>
      <c r="AW99" s="6"/>
      <c r="AX99" s="6"/>
      <c r="AY99" s="6"/>
      <c r="AZ99" s="6"/>
      <c r="BA99" s="1"/>
      <c r="BB99" s="6"/>
      <c r="BC99" s="6"/>
      <c r="BD99" s="6"/>
      <c r="BE99" s="6"/>
      <c r="BF99" s="6"/>
      <c r="BG99" s="6"/>
      <c r="BH99" s="6"/>
      <c r="BI99" s="6"/>
      <c r="BJ99" s="6"/>
      <c r="BK99" s="6"/>
    </row>
    <row r="100" spans="14:63" x14ac:dyDescent="0.25"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L100" s="1"/>
      <c r="AT100" s="1"/>
      <c r="AU100" s="6"/>
      <c r="AV100" s="6"/>
      <c r="AW100" s="6"/>
      <c r="AX100" s="6"/>
      <c r="AY100" s="6"/>
      <c r="AZ100" s="6"/>
      <c r="BA100" s="1"/>
      <c r="BB100" s="6"/>
      <c r="BC100" s="6"/>
      <c r="BD100" s="6"/>
      <c r="BE100" s="6"/>
      <c r="BF100" s="6"/>
      <c r="BG100" s="6"/>
      <c r="BH100" s="6"/>
      <c r="BI100" s="6"/>
      <c r="BJ100" s="6"/>
      <c r="BK100" s="6"/>
    </row>
    <row r="101" spans="14:63" x14ac:dyDescent="0.25"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L101" s="1"/>
      <c r="AT101" s="1"/>
      <c r="AU101" s="6"/>
      <c r="AV101" s="6"/>
      <c r="AW101" s="6"/>
      <c r="AX101" s="6"/>
      <c r="AY101" s="6"/>
      <c r="AZ101" s="6"/>
      <c r="BA101" s="1"/>
      <c r="BB101" s="6"/>
      <c r="BC101" s="6"/>
      <c r="BD101" s="6"/>
      <c r="BE101" s="6"/>
      <c r="BF101" s="6"/>
      <c r="BG101" s="6"/>
      <c r="BH101" s="6"/>
      <c r="BI101" s="6"/>
      <c r="BJ101" s="6"/>
      <c r="BK101" s="6"/>
    </row>
    <row r="102" spans="14:63" x14ac:dyDescent="0.25"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L102" s="1"/>
      <c r="AT102" s="1"/>
      <c r="AU102" s="6"/>
      <c r="AV102" s="6"/>
      <c r="AW102" s="6"/>
      <c r="AX102" s="6"/>
      <c r="AY102" s="6"/>
      <c r="AZ102" s="6"/>
      <c r="BA102" s="1"/>
      <c r="BB102" s="6"/>
      <c r="BC102" s="6"/>
      <c r="BD102" s="6"/>
      <c r="BE102" s="6"/>
      <c r="BF102" s="6"/>
      <c r="BG102" s="6"/>
      <c r="BH102" s="6"/>
      <c r="BI102" s="6"/>
      <c r="BJ102" s="6"/>
      <c r="BK102" s="6"/>
    </row>
    <row r="103" spans="14:63" x14ac:dyDescent="0.25">
      <c r="N103" s="26"/>
      <c r="O103" s="26"/>
      <c r="P103" s="26"/>
      <c r="Q103" s="26"/>
      <c r="R103" s="26"/>
      <c r="AL103" s="1"/>
      <c r="AT103" s="1"/>
      <c r="AU103" s="6"/>
      <c r="AV103" s="6"/>
      <c r="AW103" s="6"/>
      <c r="AX103" s="6"/>
      <c r="AY103" s="6"/>
      <c r="BA103" s="1"/>
      <c r="BB103" s="6"/>
      <c r="BC103" s="6"/>
      <c r="BD103" s="6"/>
      <c r="BE103" s="6"/>
      <c r="BF103" s="6"/>
      <c r="BG103" s="6"/>
      <c r="BH103" s="6"/>
      <c r="BI103" s="6"/>
      <c r="BJ103" s="6"/>
      <c r="BK103" s="6"/>
    </row>
    <row r="104" spans="14:63" x14ac:dyDescent="0.25">
      <c r="N104" s="26"/>
      <c r="O104" s="26"/>
      <c r="P104" s="26"/>
      <c r="Q104" s="26"/>
      <c r="R104" s="26"/>
      <c r="AL104" s="1"/>
      <c r="AT104" s="1"/>
      <c r="AU104" s="6"/>
      <c r="AV104" s="6"/>
      <c r="AW104" s="6"/>
      <c r="AX104" s="6"/>
      <c r="AY104" s="6"/>
      <c r="BA104" s="1"/>
      <c r="BB104" s="6"/>
      <c r="BC104" s="6"/>
      <c r="BD104" s="6"/>
      <c r="BE104" s="6"/>
      <c r="BF104" s="6"/>
      <c r="BG104" s="6"/>
      <c r="BH104" s="6"/>
      <c r="BI104" s="6"/>
      <c r="BJ104" s="6"/>
      <c r="BK104" s="6"/>
    </row>
    <row r="105" spans="14:63" x14ac:dyDescent="0.25">
      <c r="N105" s="26"/>
      <c r="O105" s="26"/>
      <c r="P105" s="26"/>
      <c r="Q105" s="26"/>
      <c r="R105" s="26"/>
      <c r="AL105" s="1"/>
      <c r="AT105" s="1"/>
      <c r="AU105" s="6"/>
      <c r="AV105" s="6"/>
      <c r="AW105" s="6"/>
      <c r="AX105" s="6"/>
      <c r="AY105" s="6"/>
      <c r="BA105" s="1"/>
      <c r="BB105" s="6"/>
      <c r="BC105" s="6"/>
      <c r="BD105" s="6"/>
      <c r="BE105" s="6"/>
      <c r="BF105" s="6"/>
      <c r="BG105" s="6"/>
      <c r="BH105" s="6"/>
      <c r="BI105" s="6"/>
      <c r="BJ105" s="6"/>
      <c r="BK105" s="6"/>
    </row>
    <row r="106" spans="14:63" x14ac:dyDescent="0.25">
      <c r="N106" s="26"/>
      <c r="O106" s="26"/>
      <c r="P106" s="26"/>
      <c r="Q106" s="26"/>
      <c r="R106" s="26"/>
      <c r="AL106" s="1"/>
      <c r="AT106" s="1"/>
      <c r="AU106" s="6"/>
      <c r="AV106" s="6"/>
      <c r="AW106" s="6"/>
      <c r="AX106" s="6"/>
      <c r="AY106" s="6"/>
      <c r="BA106" s="1"/>
      <c r="BB106" s="6"/>
      <c r="BC106" s="6"/>
      <c r="BD106" s="6"/>
      <c r="BE106" s="6"/>
      <c r="BF106" s="6"/>
      <c r="BG106" s="6"/>
      <c r="BH106" s="6"/>
      <c r="BI106" s="6"/>
      <c r="BJ106" s="6"/>
      <c r="BK106" s="6"/>
    </row>
    <row r="107" spans="14:63" x14ac:dyDescent="0.25">
      <c r="N107" s="26"/>
      <c r="O107" s="26"/>
      <c r="P107" s="26"/>
      <c r="Q107" s="26"/>
      <c r="R107" s="26"/>
      <c r="AL107" s="1"/>
      <c r="AT107" s="1"/>
      <c r="AU107" s="6"/>
      <c r="AV107" s="6"/>
      <c r="AW107" s="6"/>
      <c r="AX107" s="6"/>
      <c r="AY107" s="6"/>
      <c r="BA107" s="1"/>
      <c r="BB107" s="6"/>
      <c r="BC107" s="6"/>
      <c r="BD107" s="6"/>
      <c r="BE107" s="6"/>
      <c r="BF107" s="6"/>
      <c r="BG107" s="6"/>
      <c r="BH107" s="6"/>
      <c r="BI107" s="6"/>
      <c r="BJ107" s="6"/>
      <c r="BK107" s="6"/>
    </row>
    <row r="108" spans="14:63" x14ac:dyDescent="0.25">
      <c r="N108" s="26"/>
      <c r="O108" s="26"/>
      <c r="P108" s="26"/>
      <c r="Q108" s="26"/>
      <c r="R108" s="26"/>
      <c r="AL108" s="1"/>
      <c r="AT108" s="1"/>
      <c r="AU108" s="6"/>
      <c r="AV108" s="6"/>
      <c r="AW108" s="6"/>
      <c r="AX108" s="6"/>
      <c r="AY108" s="6"/>
      <c r="BA108" s="1"/>
      <c r="BB108" s="6"/>
      <c r="BC108" s="6"/>
      <c r="BD108" s="6"/>
      <c r="BE108" s="6"/>
      <c r="BF108" s="6"/>
      <c r="BG108" s="6"/>
      <c r="BH108" s="6"/>
      <c r="BI108" s="6"/>
      <c r="BJ108" s="6"/>
      <c r="BK108" s="6"/>
    </row>
    <row r="109" spans="14:63" x14ac:dyDescent="0.25">
      <c r="N109" s="26"/>
      <c r="O109" s="26"/>
      <c r="P109" s="26"/>
      <c r="Q109" s="26"/>
      <c r="R109" s="26"/>
      <c r="AL109" s="1"/>
      <c r="AT109" s="1"/>
      <c r="AU109" s="6"/>
      <c r="AV109" s="6"/>
      <c r="AW109" s="6"/>
      <c r="AX109" s="6"/>
      <c r="AY109" s="6"/>
      <c r="BA109" s="1"/>
      <c r="BB109" s="6"/>
      <c r="BC109" s="6"/>
      <c r="BD109" s="6"/>
      <c r="BE109" s="6"/>
      <c r="BF109" s="6"/>
      <c r="BG109" s="6"/>
      <c r="BH109" s="6"/>
      <c r="BI109" s="6"/>
      <c r="BJ109" s="6"/>
      <c r="BK109" s="6"/>
    </row>
    <row r="110" spans="14:63" x14ac:dyDescent="0.25">
      <c r="N110" s="26"/>
      <c r="O110" s="26"/>
      <c r="P110" s="26"/>
      <c r="Q110" s="26"/>
      <c r="R110" s="26"/>
      <c r="AL110" s="1"/>
      <c r="AT110" s="1"/>
      <c r="AU110" s="6"/>
      <c r="AV110" s="6"/>
      <c r="AW110" s="6"/>
      <c r="AX110" s="6"/>
      <c r="AY110" s="6"/>
      <c r="BA110" s="1"/>
      <c r="BB110" s="6"/>
      <c r="BC110" s="6"/>
      <c r="BD110" s="6"/>
      <c r="BE110" s="6"/>
      <c r="BF110" s="6"/>
      <c r="BG110" s="6"/>
      <c r="BH110" s="6"/>
      <c r="BI110" s="6"/>
      <c r="BJ110" s="6"/>
      <c r="BK110" s="6"/>
    </row>
    <row r="111" spans="14:63" x14ac:dyDescent="0.25">
      <c r="N111" s="26"/>
      <c r="O111" s="26"/>
      <c r="P111" s="26"/>
      <c r="Q111" s="26"/>
      <c r="R111" s="26"/>
      <c r="AL111" s="1"/>
      <c r="AT111" s="1"/>
      <c r="AU111" s="6"/>
      <c r="AV111" s="6"/>
      <c r="AW111" s="6"/>
      <c r="AX111" s="6"/>
      <c r="AY111" s="6"/>
      <c r="BA111" s="1"/>
      <c r="BB111" s="6"/>
      <c r="BC111" s="6"/>
      <c r="BD111" s="6"/>
      <c r="BE111" s="6"/>
      <c r="BF111" s="6"/>
      <c r="BG111" s="6"/>
      <c r="BH111" s="6"/>
      <c r="BI111" s="6"/>
      <c r="BJ111" s="6"/>
      <c r="BK111" s="6"/>
    </row>
    <row r="112" spans="14:63" x14ac:dyDescent="0.25">
      <c r="N112" s="26"/>
      <c r="O112" s="26"/>
      <c r="P112" s="26"/>
      <c r="Q112" s="26"/>
      <c r="R112" s="26"/>
      <c r="AL112" s="1"/>
      <c r="AT112" s="1"/>
      <c r="AU112" s="6"/>
      <c r="AV112" s="6"/>
      <c r="AW112" s="6"/>
      <c r="AX112" s="6"/>
      <c r="AY112" s="6"/>
      <c r="BA112" s="1"/>
      <c r="BB112" s="6"/>
      <c r="BC112" s="6"/>
      <c r="BD112" s="6"/>
      <c r="BE112" s="6"/>
      <c r="BF112" s="6"/>
      <c r="BG112" s="6"/>
      <c r="BH112" s="6"/>
      <c r="BI112" s="6"/>
      <c r="BJ112" s="6"/>
      <c r="BK112" s="6"/>
    </row>
    <row r="113" spans="14:63" x14ac:dyDescent="0.25">
      <c r="N113" s="26"/>
      <c r="O113" s="26"/>
      <c r="P113" s="26"/>
      <c r="Q113" s="26"/>
      <c r="R113" s="26"/>
      <c r="AL113" s="1"/>
      <c r="AT113" s="1"/>
      <c r="AU113" s="6"/>
      <c r="AV113" s="6"/>
      <c r="AW113" s="6"/>
      <c r="AX113" s="6"/>
      <c r="AY113" s="6"/>
      <c r="BA113" s="1"/>
      <c r="BB113" s="6"/>
      <c r="BC113" s="6"/>
      <c r="BD113" s="6"/>
      <c r="BE113" s="6"/>
      <c r="BF113" s="6"/>
      <c r="BG113" s="6"/>
      <c r="BH113" s="6"/>
      <c r="BI113" s="6"/>
      <c r="BJ113" s="6"/>
      <c r="BK113" s="6"/>
    </row>
    <row r="114" spans="14:63" x14ac:dyDescent="0.25">
      <c r="N114" s="26"/>
      <c r="O114" s="26"/>
      <c r="P114" s="26"/>
      <c r="Q114" s="26"/>
      <c r="R114" s="26"/>
      <c r="AL114" s="1"/>
      <c r="AT114" s="1"/>
      <c r="AU114" s="6"/>
      <c r="AV114" s="6"/>
      <c r="AW114" s="6"/>
      <c r="AX114" s="6"/>
      <c r="AY114" s="6"/>
      <c r="BA114" s="1"/>
      <c r="BB114" s="6"/>
      <c r="BC114" s="6"/>
      <c r="BD114" s="6"/>
      <c r="BE114" s="6"/>
      <c r="BF114" s="6"/>
      <c r="BG114" s="6"/>
      <c r="BH114" s="6"/>
      <c r="BI114" s="6"/>
      <c r="BJ114" s="6"/>
      <c r="BK114" s="6"/>
    </row>
    <row r="115" spans="14:63" x14ac:dyDescent="0.25">
      <c r="N115" s="26"/>
      <c r="O115" s="26"/>
      <c r="P115" s="26"/>
      <c r="Q115" s="26"/>
      <c r="R115" s="26"/>
      <c r="AL115" s="1"/>
      <c r="AT115" s="1"/>
      <c r="AU115" s="6"/>
      <c r="AV115" s="6"/>
      <c r="AW115" s="6"/>
      <c r="AX115" s="6"/>
      <c r="AY115" s="6"/>
      <c r="BA115" s="1"/>
      <c r="BB115" s="6"/>
      <c r="BC115" s="6"/>
      <c r="BD115" s="6"/>
      <c r="BE115" s="6"/>
      <c r="BF115" s="6"/>
      <c r="BG115" s="6"/>
      <c r="BH115" s="6"/>
      <c r="BI115" s="6"/>
      <c r="BJ115" s="6"/>
      <c r="BK115" s="6"/>
    </row>
    <row r="116" spans="14:63" x14ac:dyDescent="0.25">
      <c r="N116" s="26"/>
      <c r="O116" s="26"/>
      <c r="P116" s="26"/>
      <c r="Q116" s="26"/>
      <c r="R116" s="26"/>
      <c r="AL116" s="1"/>
      <c r="AT116" s="1"/>
      <c r="AU116" s="6"/>
      <c r="AV116" s="6"/>
      <c r="AW116" s="6"/>
      <c r="AX116" s="6"/>
      <c r="AY116" s="6"/>
      <c r="BA116" s="1"/>
      <c r="BB116" s="6"/>
      <c r="BC116" s="6"/>
      <c r="BD116" s="6"/>
      <c r="BE116" s="6"/>
      <c r="BF116" s="6"/>
      <c r="BG116" s="6"/>
      <c r="BH116" s="6"/>
      <c r="BI116" s="6"/>
      <c r="BJ116" s="6"/>
      <c r="BK116" s="6"/>
    </row>
    <row r="117" spans="14:63" x14ac:dyDescent="0.25">
      <c r="N117" s="26"/>
      <c r="O117" s="26"/>
      <c r="P117" s="26"/>
      <c r="Q117" s="26"/>
      <c r="R117" s="26"/>
      <c r="AL117" s="1"/>
      <c r="AT117" s="1"/>
      <c r="AU117" s="6"/>
      <c r="AV117" s="6"/>
      <c r="AW117" s="6"/>
      <c r="AX117" s="6"/>
      <c r="AY117" s="6"/>
      <c r="BA117" s="1"/>
      <c r="BB117" s="6"/>
      <c r="BC117" s="6"/>
      <c r="BD117" s="6"/>
      <c r="BE117" s="6"/>
      <c r="BF117" s="6"/>
      <c r="BG117" s="6"/>
      <c r="BH117" s="6"/>
      <c r="BI117" s="6"/>
      <c r="BJ117" s="6"/>
      <c r="BK117" s="6"/>
    </row>
    <row r="118" spans="14:63" x14ac:dyDescent="0.25">
      <c r="N118" s="26"/>
      <c r="O118" s="26"/>
      <c r="P118" s="26"/>
      <c r="Q118" s="26"/>
      <c r="R118" s="26"/>
      <c r="AL118" s="1"/>
      <c r="AT118" s="1"/>
      <c r="AU118" s="6"/>
      <c r="AV118" s="6"/>
      <c r="AW118" s="6"/>
      <c r="AX118" s="6"/>
      <c r="AY118" s="6"/>
      <c r="BA118" s="1"/>
      <c r="BB118" s="6"/>
      <c r="BC118" s="6"/>
      <c r="BD118" s="6"/>
      <c r="BE118" s="6"/>
      <c r="BF118" s="6"/>
      <c r="BG118" s="6"/>
      <c r="BH118" s="6"/>
      <c r="BI118" s="6"/>
      <c r="BJ118" s="6"/>
      <c r="BK118" s="6"/>
    </row>
    <row r="119" spans="14:63" x14ac:dyDescent="0.25">
      <c r="N119" s="26"/>
      <c r="O119" s="26"/>
      <c r="P119" s="26"/>
      <c r="Q119" s="26"/>
      <c r="R119" s="26"/>
      <c r="AL119" s="1"/>
      <c r="AT119" s="1"/>
      <c r="AU119" s="6"/>
      <c r="AV119" s="6"/>
      <c r="AW119" s="6"/>
      <c r="AX119" s="6"/>
      <c r="AY119" s="6"/>
      <c r="BA119" s="1"/>
      <c r="BB119" s="6"/>
      <c r="BC119" s="6"/>
      <c r="BD119" s="6"/>
      <c r="BE119" s="6"/>
      <c r="BF119" s="6"/>
      <c r="BG119" s="6"/>
      <c r="BH119" s="6"/>
      <c r="BI119" s="6"/>
      <c r="BJ119" s="6"/>
      <c r="BK119" s="6"/>
    </row>
    <row r="120" spans="14:63" x14ac:dyDescent="0.25">
      <c r="N120" s="26"/>
      <c r="O120" s="26"/>
      <c r="P120" s="26"/>
      <c r="Q120" s="26"/>
      <c r="R120" s="26"/>
      <c r="AL120" s="1"/>
      <c r="AT120" s="1"/>
      <c r="AU120" s="6"/>
      <c r="AV120" s="6"/>
      <c r="AW120" s="6"/>
      <c r="AX120" s="6"/>
      <c r="AY120" s="6"/>
      <c r="BA120" s="1"/>
      <c r="BB120" s="6"/>
      <c r="BC120" s="6"/>
      <c r="BD120" s="6"/>
      <c r="BE120" s="6"/>
      <c r="BF120" s="6"/>
      <c r="BG120" s="6"/>
      <c r="BH120" s="6"/>
      <c r="BI120" s="6"/>
      <c r="BJ120" s="6"/>
      <c r="BK120" s="6"/>
    </row>
    <row r="121" spans="14:63" x14ac:dyDescent="0.25">
      <c r="N121" s="26"/>
      <c r="O121" s="26"/>
      <c r="P121" s="26"/>
      <c r="Q121" s="26"/>
      <c r="R121" s="26"/>
      <c r="AL121" s="1"/>
      <c r="AT121" s="1"/>
      <c r="AU121" s="6"/>
      <c r="AV121" s="6"/>
      <c r="AW121" s="6"/>
      <c r="AX121" s="6"/>
      <c r="AY121" s="6"/>
      <c r="BA121" s="1"/>
      <c r="BB121" s="6"/>
      <c r="BC121" s="6"/>
      <c r="BD121" s="6"/>
      <c r="BE121" s="6"/>
      <c r="BF121" s="6"/>
      <c r="BG121" s="6"/>
      <c r="BH121" s="6"/>
      <c r="BI121" s="6"/>
      <c r="BJ121" s="6"/>
      <c r="BK121" s="6"/>
    </row>
    <row r="122" spans="14:63" x14ac:dyDescent="0.25">
      <c r="N122" s="26"/>
      <c r="O122" s="26"/>
      <c r="P122" s="26"/>
      <c r="Q122" s="26"/>
      <c r="R122" s="26"/>
      <c r="AL122" s="1"/>
      <c r="AT122" s="1"/>
      <c r="AU122" s="6"/>
      <c r="AV122" s="6"/>
      <c r="AW122" s="6"/>
      <c r="AX122" s="6"/>
      <c r="AY122" s="6"/>
      <c r="BA122" s="1"/>
      <c r="BB122" s="6"/>
      <c r="BC122" s="6"/>
      <c r="BD122" s="6"/>
      <c r="BE122" s="6"/>
      <c r="BF122" s="6"/>
      <c r="BG122" s="6"/>
      <c r="BH122" s="6"/>
      <c r="BI122" s="6"/>
      <c r="BJ122" s="6"/>
      <c r="BK122" s="6"/>
    </row>
    <row r="123" spans="14:63" x14ac:dyDescent="0.25">
      <c r="N123" s="26"/>
      <c r="O123" s="26"/>
      <c r="P123" s="26"/>
      <c r="Q123" s="26"/>
      <c r="R123" s="26"/>
      <c r="AL123" s="1"/>
      <c r="AT123" s="1"/>
      <c r="AU123" s="6"/>
      <c r="AV123" s="6"/>
      <c r="AW123" s="6"/>
      <c r="AX123" s="6"/>
      <c r="AY123" s="6"/>
      <c r="BA123" s="1"/>
      <c r="BB123" s="6"/>
      <c r="BC123" s="6"/>
      <c r="BD123" s="6"/>
      <c r="BE123" s="6"/>
      <c r="BF123" s="6"/>
      <c r="BG123" s="6"/>
      <c r="BH123" s="6"/>
      <c r="BI123" s="6"/>
      <c r="BJ123" s="6"/>
      <c r="BK123" s="6"/>
    </row>
    <row r="124" spans="14:63" x14ac:dyDescent="0.25">
      <c r="N124" s="26"/>
      <c r="O124" s="26"/>
      <c r="P124" s="26"/>
      <c r="Q124" s="26"/>
      <c r="R124" s="26"/>
      <c r="AL124" s="1"/>
      <c r="AT124" s="1"/>
      <c r="AU124" s="6"/>
      <c r="AV124" s="6"/>
      <c r="AW124" s="6"/>
      <c r="AX124" s="6"/>
      <c r="AY124" s="6"/>
      <c r="BA124" s="1"/>
      <c r="BB124" s="6"/>
      <c r="BC124" s="6"/>
      <c r="BD124" s="6"/>
      <c r="BE124" s="6"/>
      <c r="BF124" s="6"/>
      <c r="BG124" s="6"/>
      <c r="BH124" s="6"/>
      <c r="BI124" s="6"/>
      <c r="BJ124" s="6"/>
      <c r="BK124" s="6"/>
    </row>
    <row r="125" spans="14:63" x14ac:dyDescent="0.25">
      <c r="N125" s="26"/>
      <c r="O125" s="26"/>
      <c r="P125" s="26"/>
      <c r="Q125" s="26"/>
      <c r="R125" s="26"/>
      <c r="AL125" s="1"/>
      <c r="AT125" s="1"/>
      <c r="AU125" s="6"/>
      <c r="AV125" s="6"/>
      <c r="AW125" s="6"/>
      <c r="AX125" s="6"/>
      <c r="AY125" s="6"/>
      <c r="BA125" s="1"/>
      <c r="BB125" s="6"/>
      <c r="BC125" s="6"/>
      <c r="BD125" s="6"/>
      <c r="BE125" s="6"/>
      <c r="BF125" s="6"/>
      <c r="BG125" s="6"/>
      <c r="BH125" s="6"/>
      <c r="BI125" s="6"/>
      <c r="BJ125" s="6"/>
      <c r="BK125" s="6"/>
    </row>
    <row r="126" spans="14:63" x14ac:dyDescent="0.25">
      <c r="N126" s="26"/>
      <c r="O126" s="26"/>
      <c r="P126" s="26"/>
      <c r="Q126" s="26"/>
      <c r="R126" s="26"/>
      <c r="AL126" s="1"/>
      <c r="AT126" s="1"/>
      <c r="AU126" s="6"/>
      <c r="AV126" s="6"/>
      <c r="AW126" s="6"/>
      <c r="AX126" s="6"/>
      <c r="AY126" s="6"/>
      <c r="BA126" s="1"/>
      <c r="BB126" s="6"/>
      <c r="BC126" s="6"/>
      <c r="BD126" s="6"/>
      <c r="BE126" s="6"/>
      <c r="BF126" s="6"/>
      <c r="BG126" s="6"/>
      <c r="BH126" s="6"/>
      <c r="BI126" s="6"/>
      <c r="BJ126" s="6"/>
      <c r="BK126" s="6"/>
    </row>
    <row r="127" spans="14:63" x14ac:dyDescent="0.25">
      <c r="N127" s="26"/>
      <c r="O127" s="26"/>
      <c r="P127" s="26"/>
      <c r="Q127" s="26"/>
      <c r="R127" s="26"/>
      <c r="AL127" s="1"/>
      <c r="AT127" s="1"/>
      <c r="AU127" s="6"/>
      <c r="AV127" s="6"/>
      <c r="AW127" s="6"/>
      <c r="AX127" s="6"/>
      <c r="AY127" s="6"/>
      <c r="BA127" s="1"/>
      <c r="BB127" s="6"/>
      <c r="BC127" s="6"/>
      <c r="BD127" s="6"/>
      <c r="BE127" s="6"/>
      <c r="BF127" s="6"/>
      <c r="BG127" s="6"/>
      <c r="BH127" s="6"/>
      <c r="BI127" s="6"/>
      <c r="BJ127" s="6"/>
      <c r="BK127" s="6"/>
    </row>
    <row r="128" spans="14:63" x14ac:dyDescent="0.25">
      <c r="N128" s="26"/>
      <c r="O128" s="26"/>
      <c r="P128" s="26"/>
      <c r="Q128" s="26"/>
      <c r="R128" s="26"/>
      <c r="AL128" s="1"/>
      <c r="AT128" s="1"/>
      <c r="AU128" s="6"/>
      <c r="AV128" s="6"/>
      <c r="AW128" s="6"/>
      <c r="AX128" s="6"/>
      <c r="AY128" s="6"/>
      <c r="BA128" s="1"/>
      <c r="BB128" s="6"/>
      <c r="BC128" s="6"/>
      <c r="BD128" s="6"/>
      <c r="BE128" s="6"/>
      <c r="BF128" s="6"/>
      <c r="BG128" s="6"/>
      <c r="BH128" s="6"/>
      <c r="BI128" s="6"/>
      <c r="BJ128" s="6"/>
      <c r="BK128" s="6"/>
    </row>
    <row r="129" spans="14:63" x14ac:dyDescent="0.25">
      <c r="N129" s="26"/>
      <c r="O129" s="26"/>
      <c r="P129" s="26"/>
      <c r="Q129" s="26"/>
      <c r="R129" s="26"/>
      <c r="AL129" s="1"/>
      <c r="AT129" s="1"/>
      <c r="AU129" s="6"/>
      <c r="AV129" s="6"/>
      <c r="AW129" s="6"/>
      <c r="AX129" s="6"/>
      <c r="AY129" s="6"/>
      <c r="BA129" s="1"/>
      <c r="BB129" s="6"/>
      <c r="BC129" s="6"/>
      <c r="BD129" s="6"/>
      <c r="BE129" s="6"/>
      <c r="BF129" s="6"/>
      <c r="BG129" s="6"/>
      <c r="BH129" s="6"/>
      <c r="BI129" s="6"/>
      <c r="BJ129" s="6"/>
      <c r="BK129" s="6"/>
    </row>
    <row r="130" spans="14:63" x14ac:dyDescent="0.25">
      <c r="N130" s="26"/>
      <c r="O130" s="26"/>
      <c r="P130" s="26"/>
      <c r="Q130" s="26"/>
      <c r="R130" s="26"/>
      <c r="AL130" s="1"/>
      <c r="AT130" s="1"/>
      <c r="AU130" s="6"/>
      <c r="AV130" s="6"/>
      <c r="AW130" s="6"/>
      <c r="AX130" s="6"/>
      <c r="AY130" s="6"/>
      <c r="BA130" s="1"/>
      <c r="BB130" s="6"/>
      <c r="BC130" s="6"/>
      <c r="BD130" s="6"/>
      <c r="BE130" s="6"/>
      <c r="BF130" s="6"/>
      <c r="BG130" s="6"/>
      <c r="BH130" s="6"/>
      <c r="BI130" s="6"/>
      <c r="BJ130" s="6"/>
      <c r="BK130" s="6"/>
    </row>
    <row r="131" spans="14:63" x14ac:dyDescent="0.25">
      <c r="N131" s="26"/>
      <c r="O131" s="26"/>
      <c r="P131" s="26"/>
      <c r="Q131" s="26"/>
      <c r="R131" s="26"/>
      <c r="AL131" s="1"/>
      <c r="AT131" s="1"/>
      <c r="AU131" s="6"/>
      <c r="AV131" s="6"/>
      <c r="AW131" s="6"/>
      <c r="AX131" s="6"/>
      <c r="AY131" s="6"/>
      <c r="BA131" s="1"/>
      <c r="BB131" s="6"/>
      <c r="BC131" s="6"/>
      <c r="BD131" s="6"/>
      <c r="BE131" s="6"/>
      <c r="BF131" s="6"/>
      <c r="BG131" s="6"/>
      <c r="BH131" s="6"/>
      <c r="BI131" s="6"/>
      <c r="BJ131" s="6"/>
      <c r="BK131" s="6"/>
    </row>
    <row r="132" spans="14:63" x14ac:dyDescent="0.25">
      <c r="N132" s="26"/>
      <c r="O132" s="26"/>
      <c r="P132" s="26"/>
      <c r="Q132" s="26"/>
      <c r="R132" s="26"/>
      <c r="AL132" s="1"/>
      <c r="AT132" s="1"/>
      <c r="AU132" s="6"/>
      <c r="AV132" s="6"/>
      <c r="AW132" s="6"/>
      <c r="AX132" s="6"/>
      <c r="AY132" s="6"/>
      <c r="BA132" s="1"/>
      <c r="BB132" s="6"/>
      <c r="BC132" s="6"/>
      <c r="BD132" s="6"/>
      <c r="BE132" s="6"/>
      <c r="BF132" s="6"/>
      <c r="BG132" s="6"/>
      <c r="BH132" s="6"/>
      <c r="BI132" s="6"/>
      <c r="BJ132" s="6"/>
      <c r="BK132" s="6"/>
    </row>
    <row r="133" spans="14:63" x14ac:dyDescent="0.25">
      <c r="N133" s="26"/>
      <c r="O133" s="26"/>
      <c r="P133" s="26"/>
      <c r="Q133" s="26"/>
      <c r="R133" s="26"/>
      <c r="AL133" s="1"/>
      <c r="AT133" s="1"/>
      <c r="AU133" s="6"/>
      <c r="AV133" s="6"/>
      <c r="AW133" s="6"/>
      <c r="AX133" s="6"/>
      <c r="AY133" s="6"/>
      <c r="BA133" s="1"/>
      <c r="BB133" s="6"/>
      <c r="BC133" s="6"/>
      <c r="BD133" s="6"/>
      <c r="BE133" s="6"/>
      <c r="BF133" s="6"/>
      <c r="BG133" s="6"/>
      <c r="BH133" s="6"/>
      <c r="BI133" s="6"/>
      <c r="BJ133" s="6"/>
      <c r="BK133" s="6"/>
    </row>
    <row r="134" spans="14:63" x14ac:dyDescent="0.25">
      <c r="N134" s="26"/>
      <c r="O134" s="26"/>
      <c r="P134" s="26"/>
      <c r="Q134" s="26"/>
      <c r="R134" s="26"/>
      <c r="AL134" s="1"/>
      <c r="AT134" s="1"/>
      <c r="AU134" s="6"/>
      <c r="AV134" s="6"/>
      <c r="AW134" s="6"/>
      <c r="AX134" s="6"/>
      <c r="AY134" s="6"/>
      <c r="BA134" s="1"/>
      <c r="BB134" s="6"/>
      <c r="BC134" s="6"/>
      <c r="BD134" s="6"/>
      <c r="BE134" s="6"/>
      <c r="BF134" s="6"/>
      <c r="BG134" s="6"/>
      <c r="BH134" s="6"/>
      <c r="BI134" s="6"/>
      <c r="BJ134" s="6"/>
      <c r="BK134" s="6"/>
    </row>
    <row r="135" spans="14:63" x14ac:dyDescent="0.25">
      <c r="N135" s="26"/>
      <c r="O135" s="26"/>
      <c r="P135" s="26"/>
      <c r="Q135" s="26"/>
      <c r="R135" s="26"/>
      <c r="AL135" s="1"/>
      <c r="AT135" s="1"/>
      <c r="AU135" s="6"/>
      <c r="AV135" s="6"/>
      <c r="AW135" s="6"/>
      <c r="AX135" s="6"/>
      <c r="AY135" s="6"/>
      <c r="BA135" s="1"/>
      <c r="BB135" s="6"/>
      <c r="BC135" s="6"/>
      <c r="BD135" s="6"/>
      <c r="BE135" s="6"/>
      <c r="BF135" s="6"/>
      <c r="BG135" s="6"/>
      <c r="BH135" s="6"/>
      <c r="BI135" s="6"/>
      <c r="BJ135" s="6"/>
      <c r="BK135" s="6"/>
    </row>
    <row r="136" spans="14:63" x14ac:dyDescent="0.25">
      <c r="N136" s="26"/>
      <c r="O136" s="26"/>
      <c r="P136" s="26"/>
      <c r="Q136" s="26"/>
      <c r="R136" s="26"/>
      <c r="AL136" s="1"/>
      <c r="AT136" s="1"/>
      <c r="AU136" s="6"/>
      <c r="AV136" s="6"/>
      <c r="AW136" s="6"/>
      <c r="AX136" s="6"/>
      <c r="AY136" s="6"/>
      <c r="BA136" s="1"/>
      <c r="BB136" s="6"/>
      <c r="BC136" s="6"/>
      <c r="BD136" s="6"/>
      <c r="BE136" s="6"/>
      <c r="BF136" s="6"/>
      <c r="BG136" s="6"/>
      <c r="BH136" s="6"/>
      <c r="BI136" s="6"/>
      <c r="BJ136" s="6"/>
      <c r="BK136" s="6"/>
    </row>
    <row r="137" spans="14:63" x14ac:dyDescent="0.25">
      <c r="N137" s="26"/>
      <c r="O137" s="26"/>
      <c r="P137" s="26"/>
      <c r="Q137" s="26"/>
      <c r="R137" s="26"/>
      <c r="AL137" s="1"/>
      <c r="AT137" s="1"/>
      <c r="AU137" s="6"/>
      <c r="AV137" s="6"/>
      <c r="AW137" s="6"/>
      <c r="AX137" s="6"/>
      <c r="AY137" s="6"/>
      <c r="BA137" s="1"/>
      <c r="BB137" s="6"/>
      <c r="BC137" s="6"/>
      <c r="BD137" s="6"/>
      <c r="BE137" s="6"/>
      <c r="BF137" s="6"/>
      <c r="BG137" s="6"/>
      <c r="BH137" s="6"/>
      <c r="BI137" s="6"/>
      <c r="BJ137" s="6"/>
      <c r="BK137" s="6"/>
    </row>
    <row r="138" spans="14:63" x14ac:dyDescent="0.25">
      <c r="N138" s="26"/>
      <c r="O138" s="26"/>
      <c r="P138" s="26"/>
      <c r="Q138" s="26"/>
      <c r="R138" s="26"/>
      <c r="AL138" s="1"/>
      <c r="AT138" s="1"/>
      <c r="AU138" s="6"/>
      <c r="AV138" s="6"/>
      <c r="AW138" s="6"/>
      <c r="AX138" s="6"/>
      <c r="AY138" s="6"/>
      <c r="BA138" s="1"/>
      <c r="BB138" s="6"/>
      <c r="BC138" s="6"/>
      <c r="BD138" s="6"/>
      <c r="BE138" s="6"/>
      <c r="BF138" s="6"/>
      <c r="BG138" s="6"/>
      <c r="BH138" s="6"/>
      <c r="BI138" s="6"/>
      <c r="BJ138" s="6"/>
      <c r="BK138" s="6"/>
    </row>
    <row r="139" spans="14:63" x14ac:dyDescent="0.25">
      <c r="N139" s="26"/>
      <c r="O139" s="26"/>
      <c r="P139" s="26"/>
      <c r="Q139" s="26"/>
      <c r="R139" s="26"/>
      <c r="AL139" s="1"/>
      <c r="AT139" s="1"/>
      <c r="AU139" s="6"/>
      <c r="AV139" s="6"/>
      <c r="AW139" s="6"/>
      <c r="AX139" s="6"/>
      <c r="AY139" s="6"/>
      <c r="BA139" s="1"/>
      <c r="BB139" s="6"/>
      <c r="BC139" s="6"/>
      <c r="BD139" s="6"/>
      <c r="BE139" s="6"/>
      <c r="BF139" s="6"/>
      <c r="BG139" s="6"/>
      <c r="BH139" s="6"/>
      <c r="BI139" s="6"/>
      <c r="BJ139" s="6"/>
      <c r="BK139" s="6"/>
    </row>
    <row r="140" spans="14:63" x14ac:dyDescent="0.25">
      <c r="N140" s="26"/>
      <c r="O140" s="26"/>
      <c r="P140" s="26"/>
      <c r="Q140" s="26"/>
      <c r="R140" s="26"/>
      <c r="AL140" s="1"/>
      <c r="AT140" s="1"/>
      <c r="AU140" s="6"/>
      <c r="AV140" s="6"/>
      <c r="AW140" s="6"/>
      <c r="AX140" s="6"/>
      <c r="AY140" s="6"/>
      <c r="BA140" s="1"/>
      <c r="BB140" s="6"/>
      <c r="BC140" s="6"/>
      <c r="BD140" s="6"/>
      <c r="BE140" s="6"/>
      <c r="BF140" s="6"/>
      <c r="BG140" s="6"/>
      <c r="BH140" s="6"/>
      <c r="BI140" s="6"/>
      <c r="BJ140" s="6"/>
      <c r="BK140" s="6"/>
    </row>
    <row r="141" spans="14:63" x14ac:dyDescent="0.25">
      <c r="N141" s="26"/>
      <c r="O141" s="26"/>
      <c r="P141" s="26"/>
      <c r="Q141" s="26"/>
      <c r="R141" s="26"/>
      <c r="AL141" s="1"/>
      <c r="AT141" s="1"/>
      <c r="AU141" s="6"/>
      <c r="AV141" s="6"/>
      <c r="AW141" s="6"/>
      <c r="AX141" s="6"/>
      <c r="AY141" s="6"/>
      <c r="BA141" s="1"/>
      <c r="BB141" s="6"/>
      <c r="BC141" s="6"/>
      <c r="BD141" s="6"/>
      <c r="BE141" s="6"/>
      <c r="BF141" s="6"/>
      <c r="BG141" s="6"/>
      <c r="BH141" s="6"/>
      <c r="BI141" s="6"/>
      <c r="BJ141" s="6"/>
      <c r="BK141" s="6"/>
    </row>
    <row r="142" spans="14:63" x14ac:dyDescent="0.25">
      <c r="N142" s="26"/>
      <c r="O142" s="26"/>
      <c r="P142" s="26"/>
      <c r="Q142" s="26"/>
      <c r="R142" s="26"/>
      <c r="AL142" s="1"/>
      <c r="AT142" s="1"/>
      <c r="AU142" s="6"/>
      <c r="AV142" s="6"/>
      <c r="AW142" s="6"/>
      <c r="AX142" s="6"/>
      <c r="AY142" s="6"/>
      <c r="BA142" s="1"/>
      <c r="BB142" s="6"/>
      <c r="BC142" s="6"/>
      <c r="BD142" s="6"/>
      <c r="BE142" s="6"/>
      <c r="BF142" s="6"/>
      <c r="BG142" s="6"/>
      <c r="BH142" s="6"/>
      <c r="BI142" s="6"/>
      <c r="BJ142" s="6"/>
      <c r="BK142" s="6"/>
    </row>
    <row r="143" spans="14:63" x14ac:dyDescent="0.25">
      <c r="N143" s="26"/>
      <c r="O143" s="26"/>
      <c r="P143" s="26"/>
      <c r="Q143" s="26"/>
      <c r="R143" s="26"/>
      <c r="AL143" s="1"/>
      <c r="AT143" s="1"/>
      <c r="AU143" s="6"/>
      <c r="AV143" s="6"/>
      <c r="AW143" s="6"/>
      <c r="AX143" s="6"/>
      <c r="AY143" s="6"/>
      <c r="BA143" s="1"/>
      <c r="BB143" s="6"/>
      <c r="BC143" s="6"/>
      <c r="BD143" s="6"/>
      <c r="BE143" s="6"/>
      <c r="BF143" s="6"/>
      <c r="BG143" s="6"/>
      <c r="BH143" s="6"/>
      <c r="BI143" s="6"/>
      <c r="BJ143" s="6"/>
      <c r="BK143" s="6"/>
    </row>
    <row r="144" spans="14:63" x14ac:dyDescent="0.25">
      <c r="N144" s="26"/>
      <c r="O144" s="26"/>
      <c r="P144" s="26"/>
      <c r="Q144" s="26"/>
      <c r="R144" s="26"/>
      <c r="AL144" s="1"/>
      <c r="AT144" s="1"/>
      <c r="AU144" s="6"/>
      <c r="AV144" s="6"/>
      <c r="AW144" s="6"/>
      <c r="AX144" s="6"/>
      <c r="AY144" s="6"/>
      <c r="BA144" s="1"/>
      <c r="BB144" s="6"/>
      <c r="BC144" s="6"/>
      <c r="BD144" s="6"/>
      <c r="BE144" s="6"/>
      <c r="BF144" s="6"/>
      <c r="BG144" s="6"/>
      <c r="BH144" s="6"/>
      <c r="BI144" s="6"/>
      <c r="BJ144" s="6"/>
      <c r="BK144" s="6"/>
    </row>
    <row r="145" spans="14:63" x14ac:dyDescent="0.25">
      <c r="N145" s="26"/>
      <c r="O145" s="26"/>
      <c r="P145" s="26"/>
      <c r="Q145" s="26"/>
      <c r="R145" s="26"/>
      <c r="AL145" s="1"/>
      <c r="AT145" s="1"/>
      <c r="AU145" s="6"/>
      <c r="AV145" s="6"/>
      <c r="AW145" s="6"/>
      <c r="AX145" s="6"/>
      <c r="AY145" s="6"/>
      <c r="BA145" s="1"/>
      <c r="BB145" s="6"/>
      <c r="BC145" s="6"/>
      <c r="BD145" s="6"/>
      <c r="BE145" s="6"/>
      <c r="BF145" s="6"/>
      <c r="BG145" s="6"/>
      <c r="BH145" s="6"/>
      <c r="BI145" s="6"/>
      <c r="BJ145" s="6"/>
      <c r="BK145" s="6"/>
    </row>
    <row r="146" spans="14:63" x14ac:dyDescent="0.25">
      <c r="N146" s="26"/>
      <c r="O146" s="26"/>
      <c r="P146" s="26"/>
      <c r="Q146" s="26"/>
      <c r="R146" s="26"/>
      <c r="AL146" s="1"/>
      <c r="AT146" s="1"/>
      <c r="AU146" s="6"/>
      <c r="AV146" s="6"/>
      <c r="AW146" s="6"/>
      <c r="AX146" s="6"/>
      <c r="AY146" s="6"/>
      <c r="BA146" s="1"/>
      <c r="BB146" s="6"/>
      <c r="BC146" s="6"/>
      <c r="BD146" s="6"/>
      <c r="BE146" s="6"/>
      <c r="BF146" s="6"/>
      <c r="BG146" s="6"/>
      <c r="BH146" s="6"/>
      <c r="BI146" s="6"/>
      <c r="BJ146" s="6"/>
      <c r="BK146" s="6"/>
    </row>
    <row r="147" spans="14:63" x14ac:dyDescent="0.25">
      <c r="N147" s="26"/>
      <c r="O147" s="26"/>
      <c r="P147" s="26"/>
      <c r="Q147" s="26"/>
      <c r="R147" s="26"/>
      <c r="AL147" s="1"/>
      <c r="AT147" s="1"/>
      <c r="AU147" s="6"/>
      <c r="AV147" s="6"/>
      <c r="AW147" s="6"/>
      <c r="AX147" s="6"/>
      <c r="AY147" s="6"/>
      <c r="BA147" s="1"/>
      <c r="BB147" s="6"/>
      <c r="BC147" s="6"/>
      <c r="BD147" s="6"/>
      <c r="BE147" s="6"/>
      <c r="BF147" s="6"/>
      <c r="BG147" s="6"/>
      <c r="BH147" s="6"/>
      <c r="BI147" s="6"/>
      <c r="BJ147" s="6"/>
      <c r="BK147" s="6"/>
    </row>
    <row r="148" spans="14:63" x14ac:dyDescent="0.25">
      <c r="N148" s="26"/>
      <c r="O148" s="26"/>
      <c r="P148" s="26"/>
      <c r="Q148" s="26"/>
      <c r="R148" s="26"/>
      <c r="AL148" s="1"/>
      <c r="AT148" s="1"/>
      <c r="AU148" s="6"/>
      <c r="AV148" s="6"/>
      <c r="AW148" s="6"/>
      <c r="AX148" s="6"/>
      <c r="AY148" s="6"/>
      <c r="BA148" s="1"/>
      <c r="BB148" s="6"/>
      <c r="BC148" s="6"/>
      <c r="BD148" s="6"/>
      <c r="BE148" s="6"/>
      <c r="BF148" s="6"/>
      <c r="BG148" s="6"/>
      <c r="BH148" s="6"/>
      <c r="BI148" s="6"/>
      <c r="BJ148" s="6"/>
      <c r="BK148" s="6"/>
    </row>
    <row r="149" spans="14:63" x14ac:dyDescent="0.25">
      <c r="N149" s="26"/>
      <c r="O149" s="26"/>
      <c r="P149" s="26"/>
      <c r="Q149" s="26"/>
      <c r="R149" s="26"/>
      <c r="AL149" s="1"/>
      <c r="AT149" s="1"/>
      <c r="AU149" s="6"/>
      <c r="AV149" s="6"/>
      <c r="AW149" s="6"/>
      <c r="AX149" s="6"/>
      <c r="AY149" s="6"/>
      <c r="BA149" s="1"/>
      <c r="BB149" s="6"/>
      <c r="BC149" s="6"/>
      <c r="BD149" s="6"/>
      <c r="BE149" s="6"/>
      <c r="BF149" s="6"/>
      <c r="BG149" s="6"/>
      <c r="BH149" s="6"/>
      <c r="BI149" s="6"/>
      <c r="BJ149" s="6"/>
      <c r="BK149" s="6"/>
    </row>
    <row r="150" spans="14:63" x14ac:dyDescent="0.25">
      <c r="N150" s="26"/>
      <c r="O150" s="26"/>
      <c r="P150" s="26"/>
      <c r="Q150" s="26"/>
      <c r="R150" s="26"/>
      <c r="AL150" s="1"/>
      <c r="AT150" s="1"/>
      <c r="AU150" s="6"/>
      <c r="AV150" s="6"/>
      <c r="AW150" s="6"/>
      <c r="AX150" s="6"/>
      <c r="AY150" s="6"/>
      <c r="BA150" s="1"/>
      <c r="BB150" s="6"/>
      <c r="BC150" s="6"/>
      <c r="BD150" s="6"/>
      <c r="BE150" s="6"/>
      <c r="BF150" s="6"/>
      <c r="BG150" s="6"/>
      <c r="BH150" s="6"/>
      <c r="BI150" s="6"/>
      <c r="BJ150" s="6"/>
      <c r="BK150" s="6"/>
    </row>
    <row r="151" spans="14:63" x14ac:dyDescent="0.25">
      <c r="N151" s="26"/>
      <c r="O151" s="26"/>
      <c r="P151" s="26"/>
      <c r="Q151" s="26"/>
      <c r="R151" s="26"/>
      <c r="AL151" s="1"/>
      <c r="AT151" s="1"/>
      <c r="AU151" s="6"/>
      <c r="AV151" s="6"/>
      <c r="AW151" s="6"/>
      <c r="AX151" s="6"/>
      <c r="AY151" s="6"/>
      <c r="BA151" s="1"/>
      <c r="BB151" s="6"/>
      <c r="BC151" s="6"/>
      <c r="BD151" s="6"/>
      <c r="BE151" s="6"/>
      <c r="BF151" s="6"/>
      <c r="BG151" s="6"/>
      <c r="BH151" s="6"/>
      <c r="BI151" s="6"/>
      <c r="BJ151" s="6"/>
      <c r="BK151" s="6"/>
    </row>
    <row r="152" spans="14:63" x14ac:dyDescent="0.25">
      <c r="N152" s="26"/>
      <c r="O152" s="26"/>
      <c r="P152" s="26"/>
      <c r="Q152" s="26"/>
      <c r="R152" s="26"/>
      <c r="AL152" s="1"/>
      <c r="AT152" s="1"/>
      <c r="AU152" s="6"/>
      <c r="AV152" s="6"/>
      <c r="AW152" s="6"/>
      <c r="AX152" s="6"/>
      <c r="AY152" s="6"/>
      <c r="BA152" s="1"/>
      <c r="BB152" s="6"/>
      <c r="BC152" s="6"/>
      <c r="BD152" s="6"/>
      <c r="BE152" s="6"/>
      <c r="BF152" s="6"/>
      <c r="BG152" s="6"/>
      <c r="BH152" s="6"/>
      <c r="BI152" s="6"/>
      <c r="BJ152" s="6"/>
      <c r="BK152" s="6"/>
    </row>
    <row r="153" spans="14:63" x14ac:dyDescent="0.25">
      <c r="N153" s="26"/>
      <c r="O153" s="26"/>
      <c r="P153" s="26"/>
      <c r="Q153" s="26"/>
      <c r="R153" s="26"/>
      <c r="AL153" s="1"/>
      <c r="AT153" s="1"/>
      <c r="AU153" s="6"/>
      <c r="AV153" s="6"/>
      <c r="AW153" s="6"/>
      <c r="AX153" s="6"/>
      <c r="AY153" s="6"/>
      <c r="BA153" s="1"/>
      <c r="BB153" s="6"/>
      <c r="BC153" s="6"/>
      <c r="BD153" s="6"/>
      <c r="BE153" s="6"/>
      <c r="BF153" s="6"/>
      <c r="BG153" s="6"/>
      <c r="BH153" s="6"/>
      <c r="BI153" s="6"/>
      <c r="BJ153" s="6"/>
      <c r="BK153" s="6"/>
    </row>
    <row r="154" spans="14:63" x14ac:dyDescent="0.25">
      <c r="N154" s="26"/>
      <c r="O154" s="26"/>
      <c r="P154" s="26"/>
      <c r="Q154" s="26"/>
      <c r="R154" s="26"/>
      <c r="AL154" s="1"/>
      <c r="AT154" s="1"/>
      <c r="AU154" s="6"/>
      <c r="AV154" s="6"/>
      <c r="AW154" s="6"/>
      <c r="AX154" s="6"/>
      <c r="AY154" s="6"/>
      <c r="BA154" s="1"/>
      <c r="BB154" s="6"/>
      <c r="BC154" s="6"/>
      <c r="BD154" s="6"/>
      <c r="BE154" s="6"/>
      <c r="BF154" s="6"/>
      <c r="BG154" s="6"/>
      <c r="BH154" s="6"/>
      <c r="BI154" s="6"/>
      <c r="BJ154" s="6"/>
      <c r="BK154" s="6"/>
    </row>
    <row r="155" spans="14:63" x14ac:dyDescent="0.25">
      <c r="N155" s="26"/>
      <c r="O155" s="26"/>
      <c r="P155" s="26"/>
      <c r="Q155" s="26"/>
      <c r="R155" s="26"/>
      <c r="AL155" s="1"/>
      <c r="AT155" s="1"/>
      <c r="AU155" s="6"/>
      <c r="AV155" s="6"/>
      <c r="AW155" s="6"/>
      <c r="AX155" s="6"/>
      <c r="AY155" s="6"/>
      <c r="BA155" s="1"/>
      <c r="BB155" s="6"/>
      <c r="BC155" s="6"/>
      <c r="BD155" s="6"/>
      <c r="BE155" s="6"/>
      <c r="BF155" s="6"/>
      <c r="BG155" s="6"/>
      <c r="BH155" s="6"/>
      <c r="BI155" s="6"/>
      <c r="BJ155" s="6"/>
      <c r="BK155" s="6"/>
    </row>
    <row r="156" spans="14:63" x14ac:dyDescent="0.25">
      <c r="N156" s="26"/>
      <c r="O156" s="26"/>
      <c r="P156" s="26"/>
      <c r="Q156" s="26"/>
      <c r="R156" s="26"/>
      <c r="AL156" s="1"/>
      <c r="AT156" s="1"/>
      <c r="AU156" s="6"/>
      <c r="AV156" s="6"/>
      <c r="AW156" s="6"/>
      <c r="AX156" s="6"/>
      <c r="AY156" s="6"/>
      <c r="BA156" s="1"/>
      <c r="BB156" s="6"/>
      <c r="BC156" s="6"/>
      <c r="BD156" s="6"/>
      <c r="BE156" s="6"/>
      <c r="BF156" s="6"/>
      <c r="BG156" s="6"/>
      <c r="BH156" s="6"/>
      <c r="BI156" s="6"/>
      <c r="BJ156" s="6"/>
      <c r="BK156" s="6"/>
    </row>
    <row r="157" spans="14:63" x14ac:dyDescent="0.25">
      <c r="N157" s="26"/>
      <c r="O157" s="26"/>
      <c r="P157" s="26"/>
      <c r="Q157" s="26"/>
      <c r="R157" s="26"/>
      <c r="AL157" s="1"/>
      <c r="AT157" s="1"/>
      <c r="AU157" s="6"/>
      <c r="AV157" s="6"/>
      <c r="AW157" s="6"/>
      <c r="AX157" s="6"/>
      <c r="AY157" s="6"/>
      <c r="BA157" s="1"/>
      <c r="BB157" s="6"/>
      <c r="BC157" s="6"/>
      <c r="BD157" s="6"/>
      <c r="BE157" s="6"/>
      <c r="BF157" s="6"/>
      <c r="BG157" s="6"/>
      <c r="BH157" s="6"/>
      <c r="BI157" s="6"/>
      <c r="BJ157" s="6"/>
      <c r="BK157" s="6"/>
    </row>
    <row r="158" spans="14:63" x14ac:dyDescent="0.25">
      <c r="N158" s="26"/>
      <c r="O158" s="26"/>
      <c r="P158" s="26"/>
      <c r="Q158" s="26"/>
      <c r="R158" s="26"/>
      <c r="AL158" s="1"/>
      <c r="AT158" s="1"/>
      <c r="AU158" s="6"/>
      <c r="AV158" s="6"/>
      <c r="AW158" s="6"/>
      <c r="AX158" s="6"/>
      <c r="AY158" s="6"/>
      <c r="BA158" s="1"/>
      <c r="BB158" s="6"/>
      <c r="BC158" s="6"/>
      <c r="BD158" s="6"/>
      <c r="BE158" s="6"/>
      <c r="BF158" s="6"/>
      <c r="BG158" s="6"/>
      <c r="BH158" s="6"/>
      <c r="BI158" s="6"/>
      <c r="BJ158" s="6"/>
      <c r="BK158" s="6"/>
    </row>
    <row r="159" spans="14:63" x14ac:dyDescent="0.25">
      <c r="N159" s="26"/>
      <c r="O159" s="26"/>
      <c r="P159" s="26"/>
      <c r="Q159" s="26"/>
      <c r="R159" s="26"/>
      <c r="AL159" s="1"/>
      <c r="AT159" s="1"/>
      <c r="AU159" s="6"/>
      <c r="AV159" s="6"/>
      <c r="AW159" s="6"/>
      <c r="AX159" s="6"/>
      <c r="AY159" s="6"/>
      <c r="BA159" s="1"/>
      <c r="BB159" s="6"/>
      <c r="BC159" s="6"/>
      <c r="BD159" s="6"/>
      <c r="BE159" s="6"/>
      <c r="BF159" s="6"/>
      <c r="BG159" s="6"/>
      <c r="BH159" s="6"/>
      <c r="BI159" s="6"/>
      <c r="BJ159" s="6"/>
      <c r="BK159" s="6"/>
    </row>
    <row r="160" spans="14:63" x14ac:dyDescent="0.25">
      <c r="N160" s="26"/>
      <c r="O160" s="26"/>
      <c r="P160" s="26"/>
      <c r="Q160" s="26"/>
      <c r="R160" s="26"/>
      <c r="AL160" s="1"/>
      <c r="AT160" s="1"/>
      <c r="AU160" s="6"/>
      <c r="AV160" s="6"/>
      <c r="AW160" s="6"/>
      <c r="AX160" s="6"/>
      <c r="AY160" s="6"/>
      <c r="BA160" s="1"/>
      <c r="BB160" s="6"/>
      <c r="BC160" s="6"/>
      <c r="BD160" s="6"/>
      <c r="BE160" s="6"/>
      <c r="BF160" s="6"/>
      <c r="BG160" s="6"/>
      <c r="BH160" s="6"/>
      <c r="BI160" s="6"/>
      <c r="BJ160" s="6"/>
      <c r="BK160" s="6"/>
    </row>
    <row r="161" spans="14:63" x14ac:dyDescent="0.25">
      <c r="N161" s="26"/>
      <c r="O161" s="26"/>
      <c r="P161" s="26"/>
      <c r="Q161" s="26"/>
      <c r="R161" s="26"/>
      <c r="AL161" s="1"/>
      <c r="AT161" s="1"/>
      <c r="AU161" s="6"/>
      <c r="AV161" s="6"/>
      <c r="AW161" s="6"/>
      <c r="AX161" s="6"/>
      <c r="AY161" s="6"/>
      <c r="BA161" s="1"/>
      <c r="BB161" s="6"/>
      <c r="BC161" s="6"/>
      <c r="BD161" s="6"/>
      <c r="BE161" s="6"/>
      <c r="BF161" s="6"/>
      <c r="BG161" s="6"/>
      <c r="BH161" s="6"/>
      <c r="BI161" s="6"/>
      <c r="BJ161" s="6"/>
      <c r="BK161" s="6"/>
    </row>
    <row r="162" spans="14:63" x14ac:dyDescent="0.25">
      <c r="N162" s="26"/>
      <c r="O162" s="26"/>
      <c r="P162" s="26"/>
      <c r="Q162" s="26"/>
      <c r="R162" s="26"/>
      <c r="AL162" s="1"/>
      <c r="AT162" s="1"/>
      <c r="AU162" s="6"/>
      <c r="AV162" s="6"/>
      <c r="AW162" s="6"/>
      <c r="AX162" s="6"/>
      <c r="AY162" s="6"/>
      <c r="BA162" s="1"/>
      <c r="BB162" s="6"/>
      <c r="BC162" s="6"/>
      <c r="BD162" s="6"/>
      <c r="BE162" s="6"/>
      <c r="BF162" s="6"/>
      <c r="BG162" s="6"/>
      <c r="BH162" s="6"/>
      <c r="BI162" s="6"/>
      <c r="BJ162" s="6"/>
      <c r="BK162" s="6"/>
    </row>
    <row r="163" spans="14:63" x14ac:dyDescent="0.25">
      <c r="N163" s="26"/>
      <c r="O163" s="26"/>
      <c r="P163" s="26"/>
      <c r="Q163" s="26"/>
      <c r="R163" s="26"/>
      <c r="AL163" s="1"/>
      <c r="AT163" s="1"/>
      <c r="AU163" s="6"/>
      <c r="AV163" s="6"/>
      <c r="AW163" s="6"/>
      <c r="AX163" s="6"/>
      <c r="AY163" s="6"/>
      <c r="BA163" s="1"/>
      <c r="BB163" s="6"/>
      <c r="BC163" s="6"/>
      <c r="BD163" s="6"/>
      <c r="BE163" s="6"/>
      <c r="BF163" s="6"/>
      <c r="BG163" s="6"/>
      <c r="BH163" s="6"/>
      <c r="BI163" s="6"/>
      <c r="BJ163" s="6"/>
      <c r="BK163" s="6"/>
    </row>
    <row r="164" spans="14:63" x14ac:dyDescent="0.25">
      <c r="N164" s="26"/>
      <c r="O164" s="26"/>
      <c r="P164" s="26"/>
      <c r="Q164" s="26"/>
      <c r="R164" s="26"/>
      <c r="AL164" s="1"/>
      <c r="AT164" s="1"/>
      <c r="AU164" s="6"/>
      <c r="AV164" s="6"/>
      <c r="AW164" s="6"/>
      <c r="AX164" s="6"/>
      <c r="AY164" s="6"/>
      <c r="BA164" s="1"/>
      <c r="BB164" s="6"/>
      <c r="BC164" s="6"/>
      <c r="BD164" s="6"/>
      <c r="BE164" s="6"/>
      <c r="BF164" s="6"/>
      <c r="BG164" s="6"/>
      <c r="BH164" s="6"/>
      <c r="BI164" s="6"/>
      <c r="BJ164" s="6"/>
      <c r="BK164" s="6"/>
    </row>
    <row r="165" spans="14:63" x14ac:dyDescent="0.25">
      <c r="N165" s="26"/>
      <c r="O165" s="26"/>
      <c r="P165" s="26"/>
      <c r="Q165" s="26"/>
      <c r="R165" s="26"/>
      <c r="AL165" s="1"/>
      <c r="AT165" s="1"/>
      <c r="AU165" s="6"/>
      <c r="AV165" s="6"/>
      <c r="AW165" s="6"/>
      <c r="AX165" s="6"/>
      <c r="AY165" s="6"/>
      <c r="BA165" s="1"/>
      <c r="BB165" s="6"/>
      <c r="BC165" s="6"/>
      <c r="BD165" s="6"/>
      <c r="BE165" s="6"/>
      <c r="BF165" s="6"/>
      <c r="BG165" s="6"/>
      <c r="BH165" s="6"/>
      <c r="BI165" s="6"/>
      <c r="BJ165" s="6"/>
      <c r="BK165" s="6"/>
    </row>
    <row r="166" spans="14:63" x14ac:dyDescent="0.25">
      <c r="N166" s="26"/>
      <c r="O166" s="26"/>
      <c r="P166" s="26"/>
      <c r="Q166" s="26"/>
      <c r="R166" s="26"/>
      <c r="AL166" s="1"/>
      <c r="AT166" s="1"/>
      <c r="AU166" s="6"/>
      <c r="AV166" s="6"/>
      <c r="AW166" s="6"/>
      <c r="AX166" s="6"/>
      <c r="AY166" s="6"/>
      <c r="BA166" s="1"/>
      <c r="BB166" s="6"/>
      <c r="BC166" s="6"/>
      <c r="BD166" s="6"/>
      <c r="BE166" s="6"/>
      <c r="BF166" s="6"/>
      <c r="BG166" s="6"/>
      <c r="BH166" s="6"/>
      <c r="BI166" s="6"/>
      <c r="BJ166" s="6"/>
      <c r="BK166" s="6"/>
    </row>
    <row r="167" spans="14:63" x14ac:dyDescent="0.25">
      <c r="N167" s="26"/>
      <c r="O167" s="26"/>
      <c r="P167" s="26"/>
      <c r="Q167" s="26"/>
      <c r="R167" s="26"/>
      <c r="AL167" s="1"/>
      <c r="AT167" s="1"/>
      <c r="AU167" s="6"/>
      <c r="AV167" s="6"/>
      <c r="AW167" s="6"/>
      <c r="AX167" s="6"/>
      <c r="AY167" s="6"/>
      <c r="BA167" s="1"/>
      <c r="BB167" s="6"/>
      <c r="BC167" s="6"/>
      <c r="BD167" s="6"/>
      <c r="BE167" s="6"/>
      <c r="BF167" s="6"/>
      <c r="BG167" s="6"/>
      <c r="BH167" s="6"/>
      <c r="BI167" s="6"/>
      <c r="BJ167" s="6"/>
      <c r="BK167" s="6"/>
    </row>
    <row r="168" spans="14:63" x14ac:dyDescent="0.25">
      <c r="N168" s="26"/>
      <c r="O168" s="26"/>
      <c r="P168" s="26"/>
      <c r="Q168" s="26"/>
      <c r="R168" s="26"/>
      <c r="AL168" s="1"/>
      <c r="AT168" s="1"/>
      <c r="AU168" s="6"/>
      <c r="AV168" s="6"/>
      <c r="AW168" s="6"/>
      <c r="AX168" s="6"/>
      <c r="AY168" s="6"/>
      <c r="BA168" s="1"/>
      <c r="BB168" s="6"/>
      <c r="BC168" s="6"/>
      <c r="BD168" s="6"/>
      <c r="BE168" s="6"/>
      <c r="BF168" s="6"/>
      <c r="BG168" s="6"/>
      <c r="BH168" s="6"/>
      <c r="BI168" s="6"/>
      <c r="BJ168" s="6"/>
      <c r="BK168" s="6"/>
    </row>
    <row r="169" spans="14:63" x14ac:dyDescent="0.25">
      <c r="N169" s="26"/>
      <c r="O169" s="26"/>
      <c r="P169" s="26"/>
      <c r="Q169" s="26"/>
      <c r="R169" s="26"/>
      <c r="AL169" s="1"/>
      <c r="AT169" s="1"/>
      <c r="AU169" s="6"/>
      <c r="AV169" s="6"/>
      <c r="AW169" s="6"/>
      <c r="AX169" s="6"/>
      <c r="AY169" s="6"/>
      <c r="BA169" s="1"/>
      <c r="BB169" s="6"/>
      <c r="BC169" s="6"/>
      <c r="BD169" s="6"/>
      <c r="BE169" s="6"/>
      <c r="BF169" s="6"/>
      <c r="BG169" s="6"/>
      <c r="BH169" s="6"/>
      <c r="BI169" s="6"/>
      <c r="BJ169" s="6"/>
      <c r="BK169" s="6"/>
    </row>
    <row r="170" spans="14:63" x14ac:dyDescent="0.25">
      <c r="N170" s="26"/>
      <c r="O170" s="26"/>
      <c r="P170" s="26"/>
      <c r="Q170" s="26"/>
      <c r="R170" s="26"/>
      <c r="AL170" s="1"/>
      <c r="AT170" s="1"/>
      <c r="AU170" s="6"/>
      <c r="AV170" s="6"/>
      <c r="AW170" s="6"/>
      <c r="AX170" s="6"/>
      <c r="AY170" s="6"/>
      <c r="BA170" s="1"/>
      <c r="BB170" s="6"/>
      <c r="BC170" s="6"/>
      <c r="BD170" s="6"/>
      <c r="BE170" s="6"/>
      <c r="BF170" s="6"/>
      <c r="BG170" s="6"/>
      <c r="BH170" s="6"/>
      <c r="BI170" s="6"/>
      <c r="BJ170" s="6"/>
      <c r="BK170" s="6"/>
    </row>
    <row r="171" spans="14:63" x14ac:dyDescent="0.25">
      <c r="N171" s="26"/>
      <c r="O171" s="26"/>
      <c r="P171" s="26"/>
      <c r="Q171" s="26"/>
      <c r="R171" s="26"/>
      <c r="AL171" s="1"/>
      <c r="AT171" s="1"/>
      <c r="AU171" s="6"/>
      <c r="AV171" s="6"/>
      <c r="AW171" s="6"/>
      <c r="AX171" s="6"/>
      <c r="AY171" s="6"/>
      <c r="BA171" s="1"/>
      <c r="BB171" s="6"/>
      <c r="BC171" s="6"/>
      <c r="BD171" s="6"/>
      <c r="BE171" s="6"/>
      <c r="BF171" s="6"/>
      <c r="BG171" s="6"/>
      <c r="BH171" s="6"/>
      <c r="BI171" s="6"/>
      <c r="BJ171" s="6"/>
      <c r="BK171" s="6"/>
    </row>
    <row r="172" spans="14:63" x14ac:dyDescent="0.25">
      <c r="N172" s="26"/>
      <c r="O172" s="26"/>
      <c r="P172" s="26"/>
      <c r="Q172" s="26"/>
      <c r="R172" s="26"/>
      <c r="AL172" s="1"/>
      <c r="AT172" s="1"/>
      <c r="AU172" s="6"/>
      <c r="AV172" s="6"/>
      <c r="AW172" s="6"/>
      <c r="AX172" s="6"/>
      <c r="AY172" s="6"/>
      <c r="BA172" s="1"/>
      <c r="BB172" s="6"/>
      <c r="BC172" s="6"/>
      <c r="BD172" s="6"/>
      <c r="BE172" s="6"/>
      <c r="BF172" s="6"/>
      <c r="BG172" s="6"/>
      <c r="BH172" s="6"/>
      <c r="BI172" s="6"/>
      <c r="BJ172" s="6"/>
      <c r="BK172" s="6"/>
    </row>
    <row r="173" spans="14:63" x14ac:dyDescent="0.25">
      <c r="N173" s="26"/>
      <c r="O173" s="26"/>
      <c r="P173" s="26"/>
      <c r="Q173" s="26"/>
      <c r="R173" s="26"/>
      <c r="AL173" s="1"/>
      <c r="AT173" s="1"/>
      <c r="AU173" s="6"/>
      <c r="AV173" s="6"/>
      <c r="AW173" s="6"/>
      <c r="AX173" s="6"/>
      <c r="AY173" s="6"/>
      <c r="BA173" s="1"/>
      <c r="BB173" s="6"/>
      <c r="BC173" s="6"/>
      <c r="BD173" s="6"/>
      <c r="BE173" s="6"/>
      <c r="BF173" s="6"/>
      <c r="BG173" s="6"/>
      <c r="BH173" s="6"/>
      <c r="BI173" s="6"/>
      <c r="BJ173" s="6"/>
      <c r="BK173" s="6"/>
    </row>
    <row r="174" spans="14:63" x14ac:dyDescent="0.25">
      <c r="N174" s="26"/>
      <c r="O174" s="26"/>
      <c r="P174" s="26"/>
      <c r="Q174" s="26"/>
      <c r="R174" s="26"/>
      <c r="AL174" s="1"/>
      <c r="AT174" s="1"/>
      <c r="AU174" s="6"/>
      <c r="AV174" s="6"/>
      <c r="AW174" s="6"/>
      <c r="AX174" s="6"/>
      <c r="AY174" s="6"/>
      <c r="BA174" s="1"/>
      <c r="BB174" s="6"/>
      <c r="BC174" s="6"/>
      <c r="BD174" s="6"/>
      <c r="BE174" s="6"/>
      <c r="BF174" s="6"/>
      <c r="BG174" s="6"/>
      <c r="BH174" s="6"/>
      <c r="BI174" s="6"/>
      <c r="BJ174" s="6"/>
      <c r="BK174" s="6"/>
    </row>
    <row r="175" spans="14:63" x14ac:dyDescent="0.25">
      <c r="N175" s="26"/>
      <c r="O175" s="26"/>
      <c r="P175" s="26"/>
      <c r="Q175" s="26"/>
      <c r="R175" s="26"/>
      <c r="AL175" s="1"/>
      <c r="AT175" s="1"/>
      <c r="AU175" s="6"/>
      <c r="AV175" s="6"/>
      <c r="AW175" s="6"/>
      <c r="AX175" s="6"/>
      <c r="AY175" s="6"/>
      <c r="BA175" s="1"/>
      <c r="BB175" s="6"/>
      <c r="BC175" s="6"/>
      <c r="BD175" s="6"/>
      <c r="BE175" s="6"/>
      <c r="BF175" s="6"/>
      <c r="BG175" s="6"/>
      <c r="BH175" s="6"/>
      <c r="BI175" s="6"/>
      <c r="BJ175" s="6"/>
      <c r="BK175" s="6"/>
    </row>
    <row r="176" spans="14:63" x14ac:dyDescent="0.25">
      <c r="N176" s="26"/>
      <c r="O176" s="26"/>
      <c r="P176" s="26"/>
      <c r="Q176" s="26"/>
      <c r="R176" s="26"/>
      <c r="AL176" s="1"/>
      <c r="AT176" s="1"/>
      <c r="AU176" s="6"/>
      <c r="AV176" s="6"/>
      <c r="AW176" s="6"/>
      <c r="AX176" s="6"/>
      <c r="AY176" s="6"/>
      <c r="BA176" s="1"/>
      <c r="BB176" s="6"/>
      <c r="BC176" s="6"/>
      <c r="BD176" s="6"/>
      <c r="BE176" s="6"/>
      <c r="BF176" s="6"/>
      <c r="BG176" s="6"/>
      <c r="BH176" s="6"/>
      <c r="BI176" s="6"/>
      <c r="BJ176" s="6"/>
      <c r="BK176" s="6"/>
    </row>
    <row r="177" spans="14:63" x14ac:dyDescent="0.25">
      <c r="N177" s="26"/>
      <c r="O177" s="26"/>
      <c r="P177" s="26"/>
      <c r="Q177" s="26"/>
      <c r="R177" s="26"/>
      <c r="AL177" s="1"/>
      <c r="AT177" s="1"/>
      <c r="AU177" s="6"/>
      <c r="AV177" s="6"/>
      <c r="AW177" s="6"/>
      <c r="AX177" s="6"/>
      <c r="AY177" s="6"/>
      <c r="BA177" s="1"/>
      <c r="BB177" s="6"/>
      <c r="BC177" s="6"/>
      <c r="BD177" s="6"/>
      <c r="BE177" s="6"/>
      <c r="BF177" s="6"/>
      <c r="BG177" s="6"/>
      <c r="BH177" s="6"/>
      <c r="BI177" s="6"/>
      <c r="BJ177" s="6"/>
      <c r="BK177" s="6"/>
    </row>
    <row r="178" spans="14:63" x14ac:dyDescent="0.25">
      <c r="N178" s="26"/>
      <c r="O178" s="26"/>
      <c r="P178" s="26"/>
      <c r="Q178" s="26"/>
      <c r="R178" s="26"/>
      <c r="AL178" s="1"/>
      <c r="AT178" s="1"/>
      <c r="AU178" s="6"/>
      <c r="AV178" s="6"/>
      <c r="AW178" s="6"/>
      <c r="AX178" s="6"/>
      <c r="AY178" s="6"/>
      <c r="BA178" s="1"/>
      <c r="BB178" s="6"/>
      <c r="BC178" s="6"/>
      <c r="BD178" s="6"/>
      <c r="BE178" s="6"/>
      <c r="BF178" s="6"/>
      <c r="BG178" s="6"/>
      <c r="BH178" s="6"/>
      <c r="BI178" s="6"/>
      <c r="BJ178" s="6"/>
      <c r="BK178" s="6"/>
    </row>
    <row r="179" spans="14:63" x14ac:dyDescent="0.25">
      <c r="N179" s="26"/>
      <c r="O179" s="26"/>
      <c r="P179" s="26"/>
      <c r="Q179" s="26"/>
      <c r="R179" s="26"/>
      <c r="AL179" s="1"/>
      <c r="AT179" s="1"/>
      <c r="AU179" s="6"/>
      <c r="AV179" s="6"/>
      <c r="AW179" s="6"/>
      <c r="AX179" s="6"/>
      <c r="AY179" s="6"/>
      <c r="BA179" s="1"/>
      <c r="BB179" s="6"/>
      <c r="BC179" s="6"/>
      <c r="BD179" s="6"/>
      <c r="BE179" s="6"/>
      <c r="BF179" s="6"/>
      <c r="BG179" s="6"/>
      <c r="BH179" s="6"/>
      <c r="BI179" s="6"/>
      <c r="BJ179" s="6"/>
      <c r="BK179" s="6"/>
    </row>
    <row r="180" spans="14:63" x14ac:dyDescent="0.25">
      <c r="N180" s="26"/>
      <c r="O180" s="26"/>
      <c r="P180" s="26"/>
      <c r="Q180" s="26"/>
      <c r="R180" s="26"/>
      <c r="AL180" s="1"/>
      <c r="AT180" s="1"/>
      <c r="AU180" s="6"/>
      <c r="AV180" s="6"/>
      <c r="AW180" s="6"/>
      <c r="AX180" s="6"/>
      <c r="AY180" s="6"/>
      <c r="BA180" s="1"/>
      <c r="BB180" s="6"/>
      <c r="BC180" s="6"/>
      <c r="BD180" s="6"/>
      <c r="BE180" s="6"/>
      <c r="BF180" s="6"/>
      <c r="BG180" s="6"/>
      <c r="BH180" s="6"/>
      <c r="BI180" s="6"/>
      <c r="BJ180" s="6"/>
      <c r="BK180" s="6"/>
    </row>
    <row r="181" spans="14:63" x14ac:dyDescent="0.25">
      <c r="N181" s="26"/>
      <c r="O181" s="26"/>
      <c r="P181" s="26"/>
      <c r="Q181" s="26"/>
      <c r="R181" s="26"/>
      <c r="AL181" s="1"/>
      <c r="AT181" s="1"/>
      <c r="AU181" s="6"/>
      <c r="AV181" s="6"/>
      <c r="AW181" s="6"/>
      <c r="AX181" s="6"/>
      <c r="AY181" s="6"/>
      <c r="BA181" s="1"/>
      <c r="BB181" s="6"/>
      <c r="BC181" s="6"/>
      <c r="BD181" s="6"/>
      <c r="BE181" s="6"/>
      <c r="BF181" s="6"/>
      <c r="BG181" s="6"/>
      <c r="BH181" s="6"/>
      <c r="BI181" s="6"/>
      <c r="BJ181" s="6"/>
      <c r="BK181" s="6"/>
    </row>
    <row r="182" spans="14:63" x14ac:dyDescent="0.25">
      <c r="N182" s="26"/>
      <c r="O182" s="26"/>
      <c r="P182" s="26"/>
      <c r="Q182" s="26"/>
      <c r="R182" s="26"/>
      <c r="AL182" s="1"/>
      <c r="AT182" s="1"/>
      <c r="AU182" s="6"/>
      <c r="AV182" s="6"/>
      <c r="AW182" s="6"/>
      <c r="AX182" s="6"/>
      <c r="AY182" s="6"/>
      <c r="BA182" s="1"/>
      <c r="BB182" s="6"/>
      <c r="BC182" s="6"/>
      <c r="BD182" s="6"/>
      <c r="BE182" s="6"/>
      <c r="BF182" s="6"/>
      <c r="BG182" s="6"/>
      <c r="BH182" s="6"/>
      <c r="BI182" s="6"/>
      <c r="BJ182" s="6"/>
      <c r="BK182" s="6"/>
    </row>
    <row r="183" spans="14:63" x14ac:dyDescent="0.25">
      <c r="N183" s="26"/>
      <c r="O183" s="26"/>
      <c r="P183" s="26"/>
      <c r="Q183" s="26"/>
      <c r="R183" s="26"/>
      <c r="AL183" s="1"/>
      <c r="AT183" s="1"/>
      <c r="AU183" s="6"/>
      <c r="AV183" s="6"/>
      <c r="AW183" s="6"/>
      <c r="AX183" s="6"/>
      <c r="AY183" s="6"/>
      <c r="BA183" s="1"/>
      <c r="BB183" s="6"/>
      <c r="BC183" s="6"/>
      <c r="BD183" s="6"/>
      <c r="BE183" s="6"/>
      <c r="BF183" s="6"/>
      <c r="BG183" s="6"/>
      <c r="BH183" s="6"/>
      <c r="BI183" s="6"/>
      <c r="BJ183" s="6"/>
      <c r="BK183" s="6"/>
    </row>
    <row r="184" spans="14:63" x14ac:dyDescent="0.25">
      <c r="N184" s="26"/>
      <c r="O184" s="26"/>
      <c r="P184" s="26"/>
      <c r="Q184" s="26"/>
      <c r="R184" s="26"/>
      <c r="AL184" s="1"/>
      <c r="AT184" s="1"/>
      <c r="AU184" s="6"/>
      <c r="AV184" s="6"/>
      <c r="AW184" s="6"/>
      <c r="AX184" s="6"/>
      <c r="AY184" s="6"/>
      <c r="BA184" s="1"/>
      <c r="BB184" s="6"/>
      <c r="BC184" s="6"/>
      <c r="BD184" s="6"/>
      <c r="BE184" s="6"/>
      <c r="BF184" s="6"/>
      <c r="BG184" s="6"/>
      <c r="BH184" s="6"/>
      <c r="BI184" s="6"/>
      <c r="BJ184" s="6"/>
      <c r="BK184" s="6"/>
    </row>
    <row r="185" spans="14:63" x14ac:dyDescent="0.25">
      <c r="N185" s="26"/>
      <c r="O185" s="26"/>
      <c r="P185" s="26"/>
      <c r="Q185" s="26"/>
      <c r="R185" s="26"/>
      <c r="AL185" s="1"/>
      <c r="AT185" s="1"/>
      <c r="AU185" s="6"/>
      <c r="AV185" s="6"/>
      <c r="AW185" s="6"/>
      <c r="AX185" s="6"/>
      <c r="AY185" s="6"/>
      <c r="BA185" s="1"/>
      <c r="BB185" s="6"/>
      <c r="BC185" s="6"/>
      <c r="BD185" s="6"/>
      <c r="BE185" s="6"/>
      <c r="BF185" s="6"/>
      <c r="BG185" s="6"/>
      <c r="BH185" s="6"/>
      <c r="BI185" s="6"/>
      <c r="BJ185" s="6"/>
      <c r="BK185" s="6"/>
    </row>
    <row r="186" spans="14:63" x14ac:dyDescent="0.25">
      <c r="N186" s="26"/>
      <c r="O186" s="26"/>
      <c r="P186" s="26"/>
      <c r="Q186" s="26"/>
      <c r="R186" s="26"/>
      <c r="AL186" s="1"/>
      <c r="AT186" s="1"/>
      <c r="AU186" s="6"/>
      <c r="AV186" s="6"/>
      <c r="AW186" s="6"/>
      <c r="AX186" s="6"/>
      <c r="AY186" s="6"/>
      <c r="BA186" s="1"/>
      <c r="BB186" s="6"/>
      <c r="BC186" s="6"/>
      <c r="BD186" s="6"/>
      <c r="BE186" s="6"/>
      <c r="BF186" s="6"/>
      <c r="BG186" s="6"/>
      <c r="BH186" s="6"/>
      <c r="BI186" s="6"/>
      <c r="BJ186" s="6"/>
      <c r="BK186" s="6"/>
    </row>
    <row r="187" spans="14:63" x14ac:dyDescent="0.25">
      <c r="N187" s="26"/>
      <c r="O187" s="26"/>
      <c r="P187" s="26"/>
      <c r="Q187" s="26"/>
      <c r="R187" s="26"/>
      <c r="AL187" s="1"/>
      <c r="AT187" s="1"/>
      <c r="AU187" s="6"/>
      <c r="AV187" s="6"/>
      <c r="AW187" s="6"/>
      <c r="AX187" s="6"/>
      <c r="AY187" s="6"/>
      <c r="BA187" s="1"/>
      <c r="BB187" s="6"/>
      <c r="BC187" s="6"/>
      <c r="BD187" s="6"/>
      <c r="BE187" s="6"/>
      <c r="BF187" s="6"/>
      <c r="BG187" s="6"/>
      <c r="BH187" s="6"/>
      <c r="BI187" s="6"/>
      <c r="BJ187" s="6"/>
      <c r="BK187" s="6"/>
    </row>
    <row r="188" spans="14:63" x14ac:dyDescent="0.25">
      <c r="N188" s="26"/>
      <c r="O188" s="26"/>
      <c r="P188" s="26"/>
      <c r="Q188" s="26"/>
      <c r="R188" s="26"/>
      <c r="AL188" s="1"/>
      <c r="AT188" s="1"/>
      <c r="AU188" s="6"/>
      <c r="AV188" s="6"/>
      <c r="AW188" s="6"/>
      <c r="AX188" s="6"/>
      <c r="AY188" s="6"/>
      <c r="BA188" s="1"/>
      <c r="BB188" s="6"/>
      <c r="BC188" s="6"/>
      <c r="BD188" s="6"/>
      <c r="BE188" s="6"/>
      <c r="BF188" s="6"/>
      <c r="BG188" s="6"/>
      <c r="BH188" s="6"/>
      <c r="BI188" s="6"/>
      <c r="BJ188" s="6"/>
      <c r="BK188" s="6"/>
    </row>
    <row r="189" spans="14:63" x14ac:dyDescent="0.25">
      <c r="N189" s="26"/>
      <c r="O189" s="26"/>
      <c r="P189" s="26"/>
      <c r="Q189" s="26"/>
      <c r="R189" s="26"/>
      <c r="AL189" s="1"/>
      <c r="AT189" s="1"/>
      <c r="AU189" s="6"/>
      <c r="AV189" s="6"/>
      <c r="AW189" s="6"/>
      <c r="AX189" s="6"/>
      <c r="AY189" s="6"/>
      <c r="BA189" s="1"/>
      <c r="BB189" s="6"/>
      <c r="BC189" s="6"/>
      <c r="BD189" s="6"/>
      <c r="BE189" s="6"/>
      <c r="BF189" s="6"/>
      <c r="BG189" s="6"/>
      <c r="BH189" s="6"/>
      <c r="BI189" s="6"/>
      <c r="BJ189" s="6"/>
      <c r="BK189" s="6"/>
    </row>
    <row r="190" spans="14:63" x14ac:dyDescent="0.25">
      <c r="N190" s="26"/>
      <c r="O190" s="26"/>
      <c r="P190" s="26"/>
      <c r="Q190" s="26"/>
      <c r="R190" s="26"/>
      <c r="AL190" s="1"/>
      <c r="AT190" s="1"/>
      <c r="AU190" s="6"/>
      <c r="AV190" s="6"/>
      <c r="AW190" s="6"/>
      <c r="AX190" s="6"/>
      <c r="AY190" s="6"/>
      <c r="BA190" s="1"/>
      <c r="BB190" s="6"/>
      <c r="BC190" s="6"/>
      <c r="BD190" s="6"/>
      <c r="BE190" s="6"/>
      <c r="BF190" s="6"/>
      <c r="BG190" s="6"/>
      <c r="BH190" s="6"/>
      <c r="BI190" s="6"/>
      <c r="BJ190" s="6"/>
      <c r="BK190" s="6"/>
    </row>
    <row r="191" spans="14:63" x14ac:dyDescent="0.25">
      <c r="N191" s="26"/>
      <c r="O191" s="26"/>
      <c r="P191" s="26"/>
      <c r="Q191" s="26"/>
      <c r="R191" s="26"/>
      <c r="AL191" s="1"/>
      <c r="AT191" s="1"/>
      <c r="AU191" s="6"/>
      <c r="AV191" s="6"/>
      <c r="AW191" s="6"/>
      <c r="AX191" s="6"/>
      <c r="AY191" s="6"/>
      <c r="BA191" s="1"/>
      <c r="BB191" s="6"/>
      <c r="BC191" s="6"/>
      <c r="BD191" s="6"/>
      <c r="BE191" s="6"/>
      <c r="BF191" s="6"/>
      <c r="BG191" s="6"/>
      <c r="BH191" s="6"/>
      <c r="BI191" s="6"/>
      <c r="BJ191" s="6"/>
      <c r="BK191" s="6"/>
    </row>
    <row r="192" spans="14:63" x14ac:dyDescent="0.25">
      <c r="N192" s="26"/>
      <c r="O192" s="26"/>
      <c r="P192" s="26"/>
      <c r="Q192" s="26"/>
      <c r="R192" s="26"/>
      <c r="AL192" s="1"/>
      <c r="AT192" s="1"/>
      <c r="AU192" s="6"/>
      <c r="AV192" s="6"/>
      <c r="AW192" s="6"/>
      <c r="AX192" s="6"/>
      <c r="AY192" s="6"/>
      <c r="BA192" s="1"/>
      <c r="BB192" s="6"/>
      <c r="BC192" s="6"/>
      <c r="BD192" s="6"/>
      <c r="BE192" s="6"/>
      <c r="BF192" s="6"/>
      <c r="BG192" s="6"/>
      <c r="BH192" s="6"/>
      <c r="BI192" s="6"/>
      <c r="BJ192" s="6"/>
      <c r="BK192" s="6"/>
    </row>
    <row r="193" spans="14:63" x14ac:dyDescent="0.25">
      <c r="N193" s="26"/>
      <c r="O193" s="26"/>
      <c r="P193" s="26"/>
      <c r="Q193" s="26"/>
      <c r="R193" s="26"/>
      <c r="AL193" s="1"/>
      <c r="AT193" s="1"/>
      <c r="AU193" s="6"/>
      <c r="AV193" s="6"/>
      <c r="AW193" s="6"/>
      <c r="AX193" s="6"/>
      <c r="AY193" s="6"/>
      <c r="BA193" s="1"/>
      <c r="BB193" s="6"/>
      <c r="BC193" s="6"/>
      <c r="BD193" s="6"/>
      <c r="BE193" s="6"/>
      <c r="BF193" s="6"/>
      <c r="BG193" s="6"/>
      <c r="BH193" s="6"/>
      <c r="BI193" s="6"/>
      <c r="BJ193" s="6"/>
      <c r="BK193" s="6"/>
    </row>
    <row r="194" spans="14:63" x14ac:dyDescent="0.25">
      <c r="N194" s="26"/>
      <c r="O194" s="26"/>
      <c r="P194" s="26"/>
      <c r="Q194" s="26"/>
      <c r="R194" s="26"/>
      <c r="AL194" s="1"/>
      <c r="AT194" s="1"/>
      <c r="AU194" s="6"/>
      <c r="AV194" s="6"/>
      <c r="AW194" s="6"/>
      <c r="AX194" s="6"/>
      <c r="AY194" s="6"/>
      <c r="BA194" s="1"/>
      <c r="BB194" s="6"/>
      <c r="BC194" s="6"/>
      <c r="BD194" s="6"/>
      <c r="BE194" s="6"/>
      <c r="BF194" s="6"/>
      <c r="BG194" s="6"/>
      <c r="BH194" s="6"/>
      <c r="BI194" s="6"/>
      <c r="BJ194" s="6"/>
      <c r="BK194" s="6"/>
    </row>
    <row r="195" spans="14:63" x14ac:dyDescent="0.25">
      <c r="N195" s="26"/>
      <c r="O195" s="26"/>
      <c r="P195" s="26"/>
      <c r="Q195" s="26"/>
      <c r="R195" s="26"/>
      <c r="AL195" s="1"/>
      <c r="AT195" s="1"/>
      <c r="AU195" s="6"/>
      <c r="AV195" s="6"/>
      <c r="AW195" s="6"/>
      <c r="AX195" s="6"/>
      <c r="AY195" s="6"/>
      <c r="BA195" s="1"/>
      <c r="BB195" s="6"/>
      <c r="BC195" s="6"/>
      <c r="BD195" s="6"/>
      <c r="BE195" s="6"/>
      <c r="BF195" s="6"/>
      <c r="BG195" s="6"/>
      <c r="BH195" s="6"/>
      <c r="BI195" s="6"/>
      <c r="BJ195" s="6"/>
      <c r="BK195" s="6"/>
    </row>
    <row r="196" spans="14:63" x14ac:dyDescent="0.25">
      <c r="N196" s="26"/>
      <c r="O196" s="26"/>
      <c r="P196" s="26"/>
      <c r="Q196" s="26"/>
      <c r="R196" s="26"/>
      <c r="AL196" s="1"/>
      <c r="AT196" s="1"/>
      <c r="AU196" s="6"/>
      <c r="AV196" s="6"/>
      <c r="AW196" s="6"/>
      <c r="AX196" s="6"/>
      <c r="AY196" s="6"/>
      <c r="BA196" s="1"/>
      <c r="BB196" s="6"/>
      <c r="BC196" s="6"/>
      <c r="BD196" s="6"/>
      <c r="BE196" s="6"/>
      <c r="BF196" s="6"/>
      <c r="BG196" s="6"/>
      <c r="BH196" s="6"/>
      <c r="BI196" s="6"/>
      <c r="BJ196" s="6"/>
      <c r="BK196" s="6"/>
    </row>
    <row r="197" spans="14:63" x14ac:dyDescent="0.25">
      <c r="N197" s="26"/>
      <c r="O197" s="26"/>
      <c r="P197" s="26"/>
      <c r="Q197" s="26"/>
      <c r="R197" s="26"/>
      <c r="AL197" s="1"/>
      <c r="AT197" s="1"/>
      <c r="AU197" s="6"/>
      <c r="AV197" s="6"/>
      <c r="AW197" s="6"/>
      <c r="AX197" s="6"/>
      <c r="AY197" s="6"/>
      <c r="BA197" s="1"/>
      <c r="BB197" s="6"/>
      <c r="BC197" s="6"/>
      <c r="BD197" s="6"/>
      <c r="BE197" s="6"/>
      <c r="BF197" s="6"/>
      <c r="BG197" s="6"/>
      <c r="BH197" s="6"/>
      <c r="BI197" s="6"/>
      <c r="BJ197" s="6"/>
      <c r="BK197" s="6"/>
    </row>
    <row r="198" spans="14:63" x14ac:dyDescent="0.25">
      <c r="N198" s="26"/>
      <c r="O198" s="26"/>
      <c r="P198" s="26"/>
      <c r="Q198" s="26"/>
      <c r="R198" s="26"/>
      <c r="AL198" s="1"/>
      <c r="AT198" s="1"/>
      <c r="AU198" s="6"/>
      <c r="AV198" s="6"/>
      <c r="AW198" s="6"/>
      <c r="AX198" s="6"/>
      <c r="AY198" s="6"/>
      <c r="BA198" s="1"/>
      <c r="BB198" s="6"/>
      <c r="BC198" s="6"/>
      <c r="BD198" s="6"/>
      <c r="BE198" s="6"/>
      <c r="BF198" s="6"/>
      <c r="BG198" s="6"/>
      <c r="BH198" s="6"/>
      <c r="BI198" s="6"/>
      <c r="BJ198" s="6"/>
      <c r="BK198" s="6"/>
    </row>
    <row r="199" spans="14:63" x14ac:dyDescent="0.25">
      <c r="N199" s="26"/>
      <c r="O199" s="26"/>
      <c r="P199" s="26"/>
      <c r="Q199" s="26"/>
      <c r="R199" s="26"/>
      <c r="AL199" s="1"/>
      <c r="AT199" s="1"/>
      <c r="AU199" s="6"/>
      <c r="AV199" s="6"/>
      <c r="AW199" s="6"/>
      <c r="AX199" s="6"/>
      <c r="AY199" s="6"/>
      <c r="BA199" s="1"/>
      <c r="BB199" s="6"/>
      <c r="BC199" s="6"/>
      <c r="BD199" s="6"/>
      <c r="BE199" s="6"/>
      <c r="BF199" s="6"/>
      <c r="BG199" s="6"/>
      <c r="BH199" s="6"/>
      <c r="BI199" s="6"/>
      <c r="BJ199" s="6"/>
      <c r="BK199" s="6"/>
    </row>
    <row r="200" spans="14:63" x14ac:dyDescent="0.25">
      <c r="N200" s="26"/>
      <c r="O200" s="26"/>
      <c r="P200" s="26"/>
      <c r="Q200" s="26"/>
      <c r="R200" s="26"/>
      <c r="AL200" s="1"/>
      <c r="AT200" s="1"/>
      <c r="AU200" s="6"/>
      <c r="AV200" s="6"/>
      <c r="AW200" s="6"/>
      <c r="AX200" s="6"/>
      <c r="AY200" s="6"/>
      <c r="BA200" s="1"/>
      <c r="BB200" s="6"/>
      <c r="BC200" s="6"/>
      <c r="BD200" s="6"/>
      <c r="BE200" s="6"/>
      <c r="BF200" s="6"/>
      <c r="BG200" s="6"/>
      <c r="BH200" s="6"/>
      <c r="BI200" s="6"/>
      <c r="BJ200" s="6"/>
      <c r="BK200" s="6"/>
    </row>
    <row r="201" spans="14:63" x14ac:dyDescent="0.25">
      <c r="N201" s="26"/>
      <c r="O201" s="26"/>
      <c r="P201" s="26"/>
      <c r="Q201" s="26"/>
      <c r="R201" s="26"/>
      <c r="AL201" s="1"/>
      <c r="AT201" s="1"/>
      <c r="AU201" s="6"/>
      <c r="AV201" s="6"/>
      <c r="AW201" s="6"/>
      <c r="AX201" s="6"/>
      <c r="AY201" s="6"/>
      <c r="BA201" s="1"/>
      <c r="BB201" s="6"/>
      <c r="BC201" s="6"/>
      <c r="BD201" s="6"/>
      <c r="BE201" s="6"/>
      <c r="BF201" s="6"/>
      <c r="BG201" s="6"/>
      <c r="BH201" s="6"/>
      <c r="BI201" s="6"/>
      <c r="BJ201" s="6"/>
      <c r="BK201" s="6"/>
    </row>
    <row r="202" spans="14:63" x14ac:dyDescent="0.25">
      <c r="N202" s="26"/>
      <c r="O202" s="26"/>
      <c r="P202" s="26"/>
      <c r="Q202" s="26"/>
      <c r="R202" s="26"/>
      <c r="AL202" s="1"/>
      <c r="AT202" s="1"/>
      <c r="AU202" s="6"/>
      <c r="AV202" s="6"/>
      <c r="AW202" s="6"/>
      <c r="AX202" s="6"/>
      <c r="AY202" s="6"/>
      <c r="BA202" s="1"/>
      <c r="BB202" s="6"/>
      <c r="BC202" s="6"/>
      <c r="BD202" s="6"/>
      <c r="BE202" s="6"/>
      <c r="BF202" s="6"/>
      <c r="BG202" s="6"/>
      <c r="BH202" s="6"/>
      <c r="BI202" s="6"/>
      <c r="BJ202" s="6"/>
      <c r="BK202" s="6"/>
    </row>
    <row r="203" spans="14:63" x14ac:dyDescent="0.25">
      <c r="N203" s="26"/>
      <c r="O203" s="26"/>
      <c r="P203" s="26"/>
      <c r="Q203" s="26"/>
      <c r="R203" s="26"/>
      <c r="AL203" s="1"/>
      <c r="AT203" s="1"/>
      <c r="AU203" s="6"/>
      <c r="AV203" s="6"/>
      <c r="AW203" s="6"/>
      <c r="AX203" s="6"/>
      <c r="AY203" s="6"/>
      <c r="BA203" s="1"/>
      <c r="BB203" s="6"/>
      <c r="BC203" s="6"/>
      <c r="BD203" s="6"/>
      <c r="BE203" s="6"/>
      <c r="BF203" s="6"/>
      <c r="BG203" s="6"/>
      <c r="BH203" s="6"/>
      <c r="BI203" s="6"/>
      <c r="BJ203" s="6"/>
      <c r="BK203" s="6"/>
    </row>
    <row r="204" spans="14:63" x14ac:dyDescent="0.25">
      <c r="N204" s="26"/>
      <c r="O204" s="26"/>
      <c r="P204" s="26"/>
      <c r="Q204" s="26"/>
      <c r="R204" s="26"/>
      <c r="AL204" s="1"/>
      <c r="AT204" s="1"/>
      <c r="AU204" s="6"/>
      <c r="AV204" s="6"/>
      <c r="AW204" s="6"/>
      <c r="AX204" s="6"/>
      <c r="AY204" s="6"/>
      <c r="BA204" s="1"/>
      <c r="BB204" s="6"/>
      <c r="BC204" s="6"/>
      <c r="BD204" s="6"/>
      <c r="BE204" s="6"/>
      <c r="BF204" s="6"/>
      <c r="BG204" s="6"/>
      <c r="BH204" s="6"/>
      <c r="BI204" s="6"/>
      <c r="BJ204" s="6"/>
      <c r="BK204" s="6"/>
    </row>
    <row r="205" spans="14:63" x14ac:dyDescent="0.25">
      <c r="N205" s="26"/>
      <c r="O205" s="26"/>
      <c r="P205" s="26"/>
      <c r="Q205" s="26"/>
      <c r="R205" s="26"/>
      <c r="AL205" s="1"/>
      <c r="AT205" s="1"/>
      <c r="AU205" s="6"/>
      <c r="AV205" s="6"/>
      <c r="AW205" s="6"/>
      <c r="AX205" s="6"/>
      <c r="AY205" s="6"/>
      <c r="BA205" s="1"/>
      <c r="BB205" s="6"/>
      <c r="BC205" s="6"/>
      <c r="BD205" s="6"/>
      <c r="BE205" s="6"/>
      <c r="BF205" s="6"/>
      <c r="BG205" s="6"/>
      <c r="BH205" s="6"/>
      <c r="BI205" s="6"/>
      <c r="BJ205" s="6"/>
      <c r="BK205" s="6"/>
    </row>
    <row r="206" spans="14:63" x14ac:dyDescent="0.25">
      <c r="N206" s="26"/>
      <c r="O206" s="26"/>
      <c r="P206" s="26"/>
      <c r="Q206" s="26"/>
      <c r="R206" s="26"/>
      <c r="AL206" s="1"/>
      <c r="AT206" s="1"/>
      <c r="AU206" s="6"/>
      <c r="AV206" s="6"/>
      <c r="AW206" s="6"/>
      <c r="AX206" s="6"/>
      <c r="AY206" s="6"/>
      <c r="BA206" s="1"/>
      <c r="BB206" s="6"/>
      <c r="BC206" s="6"/>
      <c r="BD206" s="6"/>
      <c r="BE206" s="6"/>
      <c r="BF206" s="6"/>
      <c r="BG206" s="6"/>
      <c r="BH206" s="6"/>
      <c r="BI206" s="6"/>
      <c r="BJ206" s="6"/>
      <c r="BK206" s="6"/>
    </row>
    <row r="207" spans="14:63" x14ac:dyDescent="0.25">
      <c r="N207" s="26"/>
      <c r="O207" s="26"/>
      <c r="P207" s="26"/>
      <c r="Q207" s="26"/>
      <c r="R207" s="26"/>
      <c r="AL207" s="1"/>
      <c r="AT207" s="1"/>
      <c r="AU207" s="6"/>
      <c r="AV207" s="6"/>
      <c r="AW207" s="6"/>
      <c r="AX207" s="6"/>
      <c r="AY207" s="6"/>
      <c r="BA207" s="1"/>
      <c r="BB207" s="6"/>
      <c r="BC207" s="6"/>
      <c r="BD207" s="6"/>
      <c r="BE207" s="6"/>
      <c r="BF207" s="6"/>
      <c r="BG207" s="6"/>
      <c r="BH207" s="6"/>
      <c r="BI207" s="6"/>
      <c r="BJ207" s="6"/>
      <c r="BK207" s="6"/>
    </row>
    <row r="208" spans="14:63" x14ac:dyDescent="0.25">
      <c r="N208" s="26"/>
      <c r="O208" s="26"/>
      <c r="P208" s="26"/>
      <c r="Q208" s="26"/>
      <c r="R208" s="26"/>
      <c r="AL208" s="1"/>
      <c r="AT208" s="1"/>
      <c r="AU208" s="6"/>
      <c r="AV208" s="6"/>
      <c r="AW208" s="6"/>
      <c r="AX208" s="6"/>
      <c r="AY208" s="6"/>
      <c r="BA208" s="1"/>
      <c r="BB208" s="6"/>
      <c r="BC208" s="6"/>
      <c r="BD208" s="6"/>
      <c r="BE208" s="6"/>
      <c r="BF208" s="6"/>
      <c r="BG208" s="6"/>
      <c r="BH208" s="6"/>
      <c r="BI208" s="6"/>
      <c r="BJ208" s="6"/>
      <c r="BK208" s="6"/>
    </row>
    <row r="209" spans="14:63" x14ac:dyDescent="0.25">
      <c r="N209" s="26"/>
      <c r="O209" s="26"/>
      <c r="P209" s="26"/>
      <c r="Q209" s="26"/>
      <c r="R209" s="26"/>
      <c r="AL209" s="1"/>
      <c r="AT209" s="1"/>
      <c r="AU209" s="6"/>
      <c r="AV209" s="6"/>
      <c r="AW209" s="6"/>
      <c r="AX209" s="6"/>
      <c r="AY209" s="6"/>
      <c r="BA209" s="1"/>
      <c r="BB209" s="6"/>
      <c r="BC209" s="6"/>
      <c r="BD209" s="6"/>
      <c r="BE209" s="6"/>
      <c r="BF209" s="6"/>
      <c r="BG209" s="6"/>
      <c r="BH209" s="6"/>
      <c r="BI209" s="6"/>
      <c r="BJ209" s="6"/>
      <c r="BK209" s="6"/>
    </row>
    <row r="210" spans="14:63" x14ac:dyDescent="0.25">
      <c r="N210" s="26"/>
      <c r="O210" s="26"/>
      <c r="P210" s="26"/>
      <c r="Q210" s="26"/>
      <c r="R210" s="26"/>
      <c r="AL210" s="1"/>
      <c r="AT210" s="1"/>
      <c r="AU210" s="6"/>
      <c r="AV210" s="6"/>
      <c r="AW210" s="6"/>
      <c r="AX210" s="6"/>
      <c r="AY210" s="6"/>
      <c r="BA210" s="1"/>
      <c r="BB210" s="6"/>
      <c r="BC210" s="6"/>
      <c r="BD210" s="6"/>
      <c r="BE210" s="6"/>
      <c r="BF210" s="6"/>
      <c r="BG210" s="6"/>
      <c r="BH210" s="6"/>
      <c r="BI210" s="6"/>
      <c r="BJ210" s="6"/>
      <c r="BK210" s="6"/>
    </row>
    <row r="211" spans="14:63" x14ac:dyDescent="0.25">
      <c r="N211" s="26"/>
      <c r="O211" s="26"/>
      <c r="P211" s="26"/>
      <c r="Q211" s="26"/>
      <c r="R211" s="26"/>
      <c r="AL211" s="1"/>
      <c r="AT211" s="1"/>
      <c r="AU211" s="6"/>
      <c r="AV211" s="6"/>
      <c r="AW211" s="6"/>
      <c r="AX211" s="6"/>
      <c r="AY211" s="6"/>
      <c r="BA211" s="1"/>
      <c r="BB211" s="6"/>
      <c r="BC211" s="6"/>
      <c r="BD211" s="6"/>
      <c r="BE211" s="6"/>
      <c r="BF211" s="6"/>
      <c r="BG211" s="6"/>
      <c r="BH211" s="6"/>
      <c r="BI211" s="6"/>
      <c r="BJ211" s="6"/>
      <c r="BK211" s="6"/>
    </row>
    <row r="212" spans="14:63" x14ac:dyDescent="0.25">
      <c r="N212" s="26"/>
      <c r="O212" s="26"/>
      <c r="P212" s="26"/>
      <c r="Q212" s="26"/>
      <c r="R212" s="26"/>
      <c r="AL212" s="1"/>
      <c r="AT212" s="1"/>
      <c r="AU212" s="6"/>
      <c r="AV212" s="6"/>
      <c r="AW212" s="6"/>
      <c r="AX212" s="6"/>
      <c r="AY212" s="6"/>
      <c r="BA212" s="1"/>
      <c r="BB212" s="6"/>
      <c r="BC212" s="6"/>
      <c r="BD212" s="6"/>
      <c r="BE212" s="6"/>
      <c r="BF212" s="6"/>
      <c r="BG212" s="6"/>
      <c r="BH212" s="6"/>
      <c r="BI212" s="6"/>
      <c r="BJ212" s="6"/>
      <c r="BK212" s="6"/>
    </row>
    <row r="213" spans="14:63" x14ac:dyDescent="0.25">
      <c r="N213" s="26"/>
      <c r="O213" s="26"/>
      <c r="P213" s="26"/>
      <c r="Q213" s="26"/>
      <c r="R213" s="26"/>
      <c r="AL213" s="1"/>
      <c r="AT213" s="1"/>
      <c r="AU213" s="6"/>
      <c r="AV213" s="6"/>
      <c r="AW213" s="6"/>
      <c r="AX213" s="6"/>
      <c r="AY213" s="6"/>
      <c r="BA213" s="1"/>
      <c r="BB213" s="6"/>
      <c r="BC213" s="6"/>
      <c r="BD213" s="6"/>
      <c r="BE213" s="6"/>
      <c r="BF213" s="6"/>
      <c r="BG213" s="6"/>
      <c r="BH213" s="6"/>
      <c r="BI213" s="6"/>
      <c r="BJ213" s="6"/>
      <c r="BK213" s="6"/>
    </row>
    <row r="214" spans="14:63" x14ac:dyDescent="0.25">
      <c r="N214" s="26"/>
      <c r="O214" s="26"/>
      <c r="P214" s="26"/>
      <c r="Q214" s="26"/>
      <c r="R214" s="26"/>
      <c r="AL214" s="1"/>
      <c r="AT214" s="1"/>
      <c r="AU214" s="6"/>
      <c r="AV214" s="6"/>
      <c r="AW214" s="6"/>
      <c r="AX214" s="6"/>
      <c r="AY214" s="6"/>
      <c r="BA214" s="1"/>
      <c r="BB214" s="6"/>
      <c r="BC214" s="6"/>
      <c r="BD214" s="6"/>
      <c r="BE214" s="6"/>
      <c r="BF214" s="6"/>
      <c r="BG214" s="6"/>
      <c r="BH214" s="6"/>
      <c r="BI214" s="6"/>
      <c r="BJ214" s="6"/>
      <c r="BK214" s="6"/>
    </row>
    <row r="215" spans="14:63" x14ac:dyDescent="0.25">
      <c r="N215" s="26"/>
      <c r="O215" s="26"/>
      <c r="P215" s="26"/>
      <c r="Q215" s="26"/>
      <c r="R215" s="26"/>
      <c r="AL215" s="1"/>
      <c r="AT215" s="1"/>
      <c r="AU215" s="6"/>
      <c r="AV215" s="6"/>
      <c r="AW215" s="6"/>
      <c r="AX215" s="6"/>
      <c r="AY215" s="6"/>
      <c r="BA215" s="1"/>
      <c r="BB215" s="6"/>
      <c r="BC215" s="6"/>
      <c r="BD215" s="6"/>
      <c r="BE215" s="6"/>
      <c r="BF215" s="6"/>
      <c r="BG215" s="6"/>
      <c r="BH215" s="6"/>
      <c r="BI215" s="6"/>
      <c r="BJ215" s="6"/>
      <c r="BK215" s="6"/>
    </row>
    <row r="216" spans="14:63" x14ac:dyDescent="0.25">
      <c r="N216" s="26"/>
      <c r="O216" s="26"/>
      <c r="P216" s="26"/>
      <c r="Q216" s="26"/>
      <c r="R216" s="26"/>
      <c r="AL216" s="1"/>
      <c r="AT216" s="1"/>
      <c r="AU216" s="6"/>
      <c r="AV216" s="6"/>
      <c r="AW216" s="6"/>
      <c r="AX216" s="6"/>
      <c r="AY216" s="6"/>
      <c r="BA216" s="1"/>
      <c r="BB216" s="6"/>
      <c r="BC216" s="6"/>
      <c r="BD216" s="6"/>
      <c r="BE216" s="6"/>
      <c r="BF216" s="6"/>
      <c r="BG216" s="6"/>
      <c r="BH216" s="6"/>
      <c r="BI216" s="6"/>
      <c r="BJ216" s="6"/>
      <c r="BK216" s="6"/>
    </row>
    <row r="217" spans="14:63" x14ac:dyDescent="0.25">
      <c r="N217" s="26"/>
      <c r="O217" s="26"/>
      <c r="P217" s="26"/>
      <c r="Q217" s="26"/>
      <c r="R217" s="26"/>
      <c r="AL217" s="1"/>
      <c r="AT217" s="1"/>
      <c r="AU217" s="6"/>
      <c r="AV217" s="6"/>
      <c r="AW217" s="6"/>
      <c r="AX217" s="6"/>
      <c r="AY217" s="6"/>
      <c r="BA217" s="1"/>
      <c r="BB217" s="6"/>
      <c r="BC217" s="6"/>
      <c r="BD217" s="6"/>
      <c r="BE217" s="6"/>
      <c r="BF217" s="6"/>
      <c r="BG217" s="6"/>
      <c r="BH217" s="6"/>
      <c r="BI217" s="6"/>
      <c r="BJ217" s="6"/>
      <c r="BK217" s="6"/>
    </row>
    <row r="218" spans="14:63" x14ac:dyDescent="0.25">
      <c r="N218" s="26"/>
      <c r="O218" s="26"/>
      <c r="P218" s="26"/>
      <c r="Q218" s="26"/>
      <c r="R218" s="26"/>
      <c r="AL218" s="1"/>
      <c r="AT218" s="1"/>
      <c r="AU218" s="6"/>
      <c r="AV218" s="6"/>
      <c r="AW218" s="6"/>
      <c r="AX218" s="6"/>
      <c r="AY218" s="6"/>
      <c r="BA218" s="1"/>
      <c r="BB218" s="6"/>
      <c r="BC218" s="6"/>
      <c r="BD218" s="6"/>
      <c r="BE218" s="6"/>
      <c r="BF218" s="6"/>
      <c r="BG218" s="6"/>
      <c r="BH218" s="6"/>
      <c r="BI218" s="6"/>
      <c r="BJ218" s="6"/>
      <c r="BK218" s="6"/>
    </row>
    <row r="219" spans="14:63" x14ac:dyDescent="0.25">
      <c r="N219" s="26"/>
      <c r="O219" s="26"/>
      <c r="P219" s="26"/>
      <c r="Q219" s="26"/>
      <c r="R219" s="26"/>
      <c r="AL219" s="1"/>
      <c r="AT219" s="1"/>
      <c r="AU219" s="6"/>
      <c r="AV219" s="6"/>
      <c r="AW219" s="6"/>
      <c r="AX219" s="6"/>
      <c r="AY219" s="6"/>
      <c r="BA219" s="1"/>
      <c r="BB219" s="6"/>
      <c r="BC219" s="6"/>
      <c r="BD219" s="6"/>
      <c r="BE219" s="6"/>
      <c r="BF219" s="6"/>
      <c r="BG219" s="6"/>
      <c r="BH219" s="6"/>
      <c r="BI219" s="6"/>
      <c r="BJ219" s="6"/>
      <c r="BK219" s="6"/>
    </row>
    <row r="220" spans="14:63" x14ac:dyDescent="0.25">
      <c r="N220" s="26"/>
      <c r="O220" s="26"/>
      <c r="P220" s="26"/>
      <c r="Q220" s="26"/>
      <c r="R220" s="26"/>
      <c r="AL220" s="1"/>
      <c r="AT220" s="1"/>
      <c r="AU220" s="6"/>
      <c r="AV220" s="6"/>
      <c r="AW220" s="6"/>
      <c r="AX220" s="6"/>
      <c r="AY220" s="6"/>
      <c r="BA220" s="1"/>
      <c r="BB220" s="6"/>
      <c r="BC220" s="6"/>
      <c r="BD220" s="6"/>
      <c r="BE220" s="6"/>
      <c r="BF220" s="6"/>
      <c r="BG220" s="6"/>
      <c r="BH220" s="6"/>
      <c r="BI220" s="6"/>
      <c r="BJ220" s="6"/>
      <c r="BK220" s="6"/>
    </row>
    <row r="221" spans="14:63" x14ac:dyDescent="0.25">
      <c r="N221" s="26"/>
      <c r="O221" s="26"/>
      <c r="P221" s="26"/>
      <c r="Q221" s="26"/>
      <c r="R221" s="26"/>
      <c r="AL221" s="1"/>
      <c r="AT221" s="1"/>
      <c r="AU221" s="6"/>
      <c r="AV221" s="6"/>
      <c r="AW221" s="6"/>
      <c r="AX221" s="6"/>
      <c r="AY221" s="6"/>
      <c r="BA221" s="1"/>
      <c r="BB221" s="6"/>
      <c r="BC221" s="6"/>
      <c r="BD221" s="6"/>
      <c r="BE221" s="6"/>
      <c r="BF221" s="6"/>
      <c r="BG221" s="6"/>
      <c r="BH221" s="6"/>
      <c r="BI221" s="6"/>
      <c r="BJ221" s="6"/>
      <c r="BK221" s="6"/>
    </row>
    <row r="222" spans="14:63" x14ac:dyDescent="0.25">
      <c r="N222" s="26"/>
      <c r="O222" s="26"/>
      <c r="P222" s="26"/>
      <c r="Q222" s="26"/>
      <c r="R222" s="26"/>
      <c r="AL222" s="1"/>
      <c r="AT222" s="1"/>
      <c r="AU222" s="6"/>
      <c r="AV222" s="6"/>
      <c r="AW222" s="6"/>
      <c r="AX222" s="6"/>
      <c r="AY222" s="6"/>
      <c r="BA222" s="1"/>
      <c r="BB222" s="6"/>
      <c r="BC222" s="6"/>
      <c r="BD222" s="6"/>
      <c r="BE222" s="6"/>
      <c r="BF222" s="6"/>
      <c r="BG222" s="6"/>
      <c r="BH222" s="6"/>
      <c r="BI222" s="6"/>
      <c r="BJ222" s="6"/>
      <c r="BK222" s="6"/>
    </row>
    <row r="223" spans="14:63" x14ac:dyDescent="0.25">
      <c r="N223" s="26"/>
      <c r="O223" s="26"/>
      <c r="P223" s="26"/>
      <c r="Q223" s="26"/>
      <c r="R223" s="26"/>
      <c r="AL223" s="1"/>
      <c r="AT223" s="1"/>
      <c r="AU223" s="6"/>
      <c r="AV223" s="6"/>
      <c r="AW223" s="6"/>
      <c r="AX223" s="6"/>
      <c r="AY223" s="6"/>
      <c r="BA223" s="1"/>
      <c r="BB223" s="6"/>
      <c r="BC223" s="6"/>
      <c r="BD223" s="6"/>
      <c r="BE223" s="6"/>
      <c r="BF223" s="6"/>
      <c r="BG223" s="6"/>
      <c r="BH223" s="6"/>
      <c r="BI223" s="6"/>
      <c r="BJ223" s="6"/>
      <c r="BK223" s="6"/>
    </row>
    <row r="224" spans="14:63" x14ac:dyDescent="0.25">
      <c r="N224" s="26"/>
      <c r="O224" s="26"/>
      <c r="P224" s="26"/>
      <c r="Q224" s="26"/>
      <c r="R224" s="26"/>
      <c r="AL224" s="1"/>
      <c r="AT224" s="1"/>
      <c r="AU224" s="6"/>
      <c r="AV224" s="6"/>
      <c r="AW224" s="6"/>
      <c r="AX224" s="6"/>
      <c r="AY224" s="6"/>
      <c r="BA224" s="1"/>
      <c r="BB224" s="6"/>
      <c r="BC224" s="6"/>
      <c r="BD224" s="6"/>
      <c r="BE224" s="6"/>
      <c r="BF224" s="6"/>
      <c r="BG224" s="6"/>
      <c r="BH224" s="6"/>
      <c r="BI224" s="6"/>
      <c r="BJ224" s="6"/>
      <c r="BK224" s="6"/>
    </row>
    <row r="225" spans="14:63" x14ac:dyDescent="0.25">
      <c r="N225" s="26"/>
      <c r="O225" s="26"/>
      <c r="P225" s="26"/>
      <c r="Q225" s="26"/>
      <c r="R225" s="26"/>
      <c r="AL225" s="1"/>
      <c r="AT225" s="1"/>
      <c r="AU225" s="6"/>
      <c r="AV225" s="6"/>
      <c r="AW225" s="6"/>
      <c r="AX225" s="6"/>
      <c r="AY225" s="6"/>
      <c r="BA225" s="1"/>
      <c r="BB225" s="6"/>
      <c r="BC225" s="6"/>
      <c r="BD225" s="6"/>
      <c r="BE225" s="6"/>
      <c r="BF225" s="6"/>
      <c r="BG225" s="6"/>
      <c r="BH225" s="6"/>
      <c r="BI225" s="6"/>
      <c r="BJ225" s="6"/>
      <c r="BK225" s="6"/>
    </row>
    <row r="226" spans="14:63" x14ac:dyDescent="0.25">
      <c r="N226" s="26"/>
      <c r="O226" s="26"/>
      <c r="P226" s="26"/>
      <c r="Q226" s="26"/>
      <c r="R226" s="26"/>
      <c r="AL226" s="1"/>
      <c r="AT226" s="1"/>
      <c r="AU226" s="6"/>
      <c r="AV226" s="6"/>
      <c r="AW226" s="6"/>
      <c r="AX226" s="6"/>
      <c r="AY226" s="6"/>
      <c r="BA226" s="1"/>
      <c r="BB226" s="6"/>
      <c r="BC226" s="6"/>
      <c r="BD226" s="6"/>
      <c r="BE226" s="6"/>
      <c r="BF226" s="6"/>
      <c r="BG226" s="6"/>
      <c r="BH226" s="6"/>
      <c r="BI226" s="6"/>
      <c r="BJ226" s="6"/>
      <c r="BK226" s="6"/>
    </row>
    <row r="227" spans="14:63" x14ac:dyDescent="0.25">
      <c r="N227" s="26"/>
      <c r="O227" s="26"/>
      <c r="P227" s="26"/>
      <c r="Q227" s="26"/>
      <c r="R227" s="26"/>
      <c r="AL227" s="1"/>
      <c r="AT227" s="1"/>
      <c r="AU227" s="6"/>
      <c r="AV227" s="6"/>
      <c r="AW227" s="6"/>
      <c r="AX227" s="6"/>
      <c r="AY227" s="6"/>
      <c r="BA227" s="1"/>
      <c r="BB227" s="6"/>
      <c r="BC227" s="6"/>
      <c r="BD227" s="6"/>
      <c r="BE227" s="6"/>
      <c r="BF227" s="6"/>
      <c r="BG227" s="6"/>
      <c r="BH227" s="6"/>
      <c r="BI227" s="6"/>
      <c r="BJ227" s="6"/>
      <c r="BK227" s="6"/>
    </row>
    <row r="228" spans="14:63" x14ac:dyDescent="0.25">
      <c r="N228" s="26"/>
      <c r="O228" s="26"/>
      <c r="P228" s="26"/>
      <c r="Q228" s="26"/>
      <c r="R228" s="26"/>
      <c r="AL228" s="1"/>
      <c r="AT228" s="1"/>
      <c r="AU228" s="6"/>
      <c r="AV228" s="6"/>
      <c r="AW228" s="6"/>
      <c r="AX228" s="6"/>
      <c r="AY228" s="6"/>
      <c r="BA228" s="1"/>
      <c r="BB228" s="6"/>
      <c r="BC228" s="6"/>
      <c r="BD228" s="6"/>
      <c r="BE228" s="6"/>
      <c r="BF228" s="6"/>
      <c r="BG228" s="6"/>
      <c r="BH228" s="6"/>
      <c r="BI228" s="6"/>
      <c r="BJ228" s="6"/>
      <c r="BK228" s="6"/>
    </row>
    <row r="229" spans="14:63" x14ac:dyDescent="0.25">
      <c r="N229" s="26"/>
      <c r="O229" s="26"/>
      <c r="P229" s="26"/>
      <c r="Q229" s="26"/>
      <c r="R229" s="26"/>
      <c r="AL229" s="1"/>
      <c r="AT229" s="1"/>
      <c r="AU229" s="6"/>
      <c r="AV229" s="6"/>
      <c r="AW229" s="6"/>
      <c r="AX229" s="6"/>
      <c r="AY229" s="6"/>
      <c r="BA229" s="1"/>
      <c r="BB229" s="6"/>
      <c r="BC229" s="6"/>
      <c r="BD229" s="6"/>
      <c r="BE229" s="6"/>
      <c r="BF229" s="6"/>
      <c r="BG229" s="6"/>
      <c r="BH229" s="6"/>
      <c r="BI229" s="6"/>
      <c r="BJ229" s="6"/>
      <c r="BK229" s="6"/>
    </row>
    <row r="230" spans="14:63" x14ac:dyDescent="0.25">
      <c r="N230" s="26"/>
      <c r="O230" s="26"/>
      <c r="P230" s="26"/>
      <c r="Q230" s="26"/>
      <c r="R230" s="26"/>
      <c r="AL230" s="1"/>
      <c r="AT230" s="1"/>
      <c r="AU230" s="6"/>
      <c r="AV230" s="6"/>
      <c r="AW230" s="6"/>
      <c r="AX230" s="6"/>
      <c r="AY230" s="6"/>
      <c r="BA230" s="1"/>
      <c r="BB230" s="6"/>
      <c r="BC230" s="6"/>
      <c r="BD230" s="6"/>
      <c r="BE230" s="6"/>
      <c r="BF230" s="6"/>
      <c r="BG230" s="6"/>
      <c r="BH230" s="6"/>
      <c r="BI230" s="6"/>
      <c r="BJ230" s="6"/>
      <c r="BK230" s="6"/>
    </row>
    <row r="231" spans="14:63" x14ac:dyDescent="0.25">
      <c r="N231" s="26"/>
      <c r="O231" s="26"/>
      <c r="P231" s="26"/>
      <c r="Q231" s="26"/>
      <c r="R231" s="26"/>
      <c r="AL231" s="1"/>
      <c r="AT231" s="1"/>
      <c r="AU231" s="6"/>
      <c r="AV231" s="6"/>
      <c r="AW231" s="6"/>
      <c r="AX231" s="6"/>
      <c r="AY231" s="6"/>
      <c r="BA231" s="1"/>
      <c r="BB231" s="6"/>
      <c r="BC231" s="6"/>
      <c r="BD231" s="6"/>
      <c r="BE231" s="6"/>
      <c r="BF231" s="6"/>
      <c r="BG231" s="6"/>
      <c r="BH231" s="6"/>
      <c r="BI231" s="6"/>
      <c r="BJ231" s="6"/>
      <c r="BK231" s="6"/>
    </row>
    <row r="232" spans="14:63" x14ac:dyDescent="0.25">
      <c r="N232" s="26"/>
      <c r="O232" s="26"/>
      <c r="P232" s="26"/>
      <c r="Q232" s="26"/>
      <c r="R232" s="26"/>
      <c r="AL232" s="1"/>
      <c r="AT232" s="1"/>
      <c r="AU232" s="6"/>
      <c r="AV232" s="6"/>
      <c r="AW232" s="6"/>
      <c r="AX232" s="6"/>
      <c r="AY232" s="6"/>
      <c r="BA232" s="1"/>
      <c r="BB232" s="6"/>
      <c r="BC232" s="6"/>
      <c r="BD232" s="6"/>
      <c r="BE232" s="6"/>
      <c r="BF232" s="6"/>
      <c r="BG232" s="6"/>
      <c r="BH232" s="6"/>
      <c r="BI232" s="6"/>
      <c r="BJ232" s="6"/>
      <c r="BK232" s="6"/>
    </row>
    <row r="233" spans="14:63" x14ac:dyDescent="0.25">
      <c r="N233" s="26"/>
      <c r="O233" s="26"/>
      <c r="P233" s="26"/>
      <c r="Q233" s="26"/>
      <c r="R233" s="26"/>
      <c r="AL233" s="1"/>
      <c r="AT233" s="1"/>
      <c r="AU233" s="6"/>
      <c r="AV233" s="6"/>
      <c r="AW233" s="6"/>
      <c r="AX233" s="6"/>
      <c r="AY233" s="6"/>
      <c r="BA233" s="1"/>
      <c r="BB233" s="6"/>
      <c r="BC233" s="6"/>
      <c r="BD233" s="6"/>
      <c r="BE233" s="6"/>
      <c r="BF233" s="6"/>
      <c r="BG233" s="6"/>
      <c r="BH233" s="6"/>
      <c r="BI233" s="6"/>
      <c r="BJ233" s="6"/>
      <c r="BK233" s="6"/>
    </row>
    <row r="234" spans="14:63" x14ac:dyDescent="0.25">
      <c r="N234" s="26"/>
      <c r="O234" s="26"/>
      <c r="P234" s="26"/>
      <c r="Q234" s="26"/>
      <c r="R234" s="26"/>
      <c r="AL234" s="1"/>
      <c r="AT234" s="1"/>
      <c r="AU234" s="6"/>
      <c r="AV234" s="6"/>
      <c r="AW234" s="6"/>
      <c r="AX234" s="6"/>
      <c r="AY234" s="6"/>
      <c r="BA234" s="1"/>
      <c r="BB234" s="6"/>
      <c r="BC234" s="6"/>
      <c r="BD234" s="6"/>
      <c r="BE234" s="6"/>
      <c r="BF234" s="6"/>
      <c r="BG234" s="6"/>
      <c r="BH234" s="6"/>
      <c r="BI234" s="6"/>
      <c r="BJ234" s="6"/>
      <c r="BK234" s="6"/>
    </row>
    <row r="235" spans="14:63" x14ac:dyDescent="0.25">
      <c r="N235" s="26"/>
      <c r="O235" s="26"/>
      <c r="P235" s="26"/>
      <c r="Q235" s="26"/>
      <c r="R235" s="26"/>
      <c r="AL235" s="1"/>
      <c r="AT235" s="1"/>
      <c r="AU235" s="6"/>
      <c r="AV235" s="6"/>
      <c r="AW235" s="6"/>
      <c r="AX235" s="6"/>
      <c r="AY235" s="6"/>
      <c r="BA235" s="1"/>
      <c r="BB235" s="6"/>
      <c r="BC235" s="6"/>
      <c r="BD235" s="6"/>
      <c r="BE235" s="6"/>
      <c r="BF235" s="6"/>
      <c r="BG235" s="6"/>
      <c r="BH235" s="6"/>
      <c r="BI235" s="6"/>
      <c r="BJ235" s="6"/>
      <c r="BK235" s="6"/>
    </row>
    <row r="236" spans="14:63" x14ac:dyDescent="0.25">
      <c r="N236" s="26"/>
      <c r="O236" s="26"/>
      <c r="P236" s="26"/>
      <c r="Q236" s="26"/>
      <c r="R236" s="26"/>
      <c r="AL236" s="1"/>
      <c r="AT236" s="1"/>
      <c r="AU236" s="6"/>
      <c r="AV236" s="6"/>
      <c r="AW236" s="6"/>
      <c r="AX236" s="6"/>
      <c r="AY236" s="6"/>
      <c r="BA236" s="1"/>
      <c r="BB236" s="6"/>
      <c r="BC236" s="6"/>
      <c r="BD236" s="6"/>
      <c r="BE236" s="6"/>
      <c r="BF236" s="6"/>
      <c r="BG236" s="6"/>
      <c r="BH236" s="6"/>
      <c r="BI236" s="6"/>
      <c r="BJ236" s="6"/>
      <c r="BK236" s="6"/>
    </row>
    <row r="237" spans="14:63" x14ac:dyDescent="0.25">
      <c r="N237" s="26"/>
      <c r="O237" s="26"/>
      <c r="P237" s="26"/>
      <c r="Q237" s="26"/>
      <c r="R237" s="26"/>
      <c r="AL237" s="1"/>
      <c r="AT237" s="1"/>
      <c r="AU237" s="6"/>
      <c r="AV237" s="6"/>
      <c r="AW237" s="6"/>
      <c r="AX237" s="6"/>
      <c r="AY237" s="6"/>
      <c r="BA237" s="1"/>
      <c r="BB237" s="6"/>
      <c r="BC237" s="6"/>
      <c r="BD237" s="6"/>
      <c r="BE237" s="6"/>
      <c r="BF237" s="6"/>
      <c r="BG237" s="6"/>
      <c r="BH237" s="6"/>
      <c r="BI237" s="6"/>
      <c r="BJ237" s="6"/>
      <c r="BK237" s="6"/>
    </row>
    <row r="238" spans="14:63" x14ac:dyDescent="0.25">
      <c r="N238" s="26"/>
      <c r="O238" s="26"/>
      <c r="P238" s="26"/>
      <c r="Q238" s="26"/>
      <c r="R238" s="26"/>
      <c r="AL238" s="1"/>
      <c r="AT238" s="1"/>
      <c r="AU238" s="6"/>
      <c r="AV238" s="6"/>
      <c r="AW238" s="6"/>
      <c r="AX238" s="6"/>
      <c r="AY238" s="6"/>
      <c r="BA238" s="1"/>
      <c r="BB238" s="6"/>
      <c r="BC238" s="6"/>
      <c r="BD238" s="6"/>
      <c r="BE238" s="6"/>
      <c r="BF238" s="6"/>
      <c r="BG238" s="6"/>
      <c r="BH238" s="6"/>
      <c r="BI238" s="6"/>
      <c r="BJ238" s="6"/>
      <c r="BK238" s="6"/>
    </row>
    <row r="239" spans="14:63" x14ac:dyDescent="0.25">
      <c r="N239" s="26"/>
      <c r="O239" s="26"/>
      <c r="P239" s="26"/>
      <c r="Q239" s="26"/>
      <c r="R239" s="26"/>
      <c r="AL239" s="1"/>
      <c r="AT239" s="1"/>
      <c r="AU239" s="6"/>
      <c r="AV239" s="6"/>
      <c r="AW239" s="6"/>
      <c r="AX239" s="6"/>
      <c r="AY239" s="6"/>
      <c r="BA239" s="1"/>
      <c r="BB239" s="6"/>
      <c r="BC239" s="6"/>
      <c r="BD239" s="6"/>
      <c r="BE239" s="6"/>
      <c r="BF239" s="6"/>
      <c r="BG239" s="6"/>
      <c r="BH239" s="6"/>
      <c r="BI239" s="6"/>
      <c r="BJ239" s="6"/>
      <c r="BK239" s="6"/>
    </row>
    <row r="240" spans="14:63" x14ac:dyDescent="0.25">
      <c r="N240" s="26"/>
      <c r="O240" s="26"/>
      <c r="P240" s="26"/>
      <c r="Q240" s="26"/>
      <c r="R240" s="26"/>
      <c r="AL240" s="1"/>
      <c r="AT240" s="1"/>
      <c r="AU240" s="6"/>
      <c r="AV240" s="6"/>
      <c r="AW240" s="6"/>
      <c r="AX240" s="6"/>
      <c r="AY240" s="6"/>
      <c r="BA240" s="1"/>
      <c r="BB240" s="6"/>
      <c r="BC240" s="6"/>
      <c r="BD240" s="6"/>
      <c r="BE240" s="6"/>
      <c r="BF240" s="6"/>
      <c r="BG240" s="6"/>
      <c r="BH240" s="6"/>
      <c r="BI240" s="6"/>
      <c r="BJ240" s="6"/>
      <c r="BK240" s="6"/>
    </row>
    <row r="241" spans="14:63" x14ac:dyDescent="0.25">
      <c r="N241" s="26"/>
      <c r="O241" s="26"/>
      <c r="P241" s="26"/>
      <c r="Q241" s="26"/>
      <c r="R241" s="26"/>
      <c r="AL241" s="1"/>
      <c r="AT241" s="1"/>
      <c r="AU241" s="6"/>
      <c r="AV241" s="6"/>
      <c r="AW241" s="6"/>
      <c r="AX241" s="6"/>
      <c r="AY241" s="6"/>
      <c r="BA241" s="1"/>
      <c r="BB241" s="6"/>
      <c r="BC241" s="6"/>
      <c r="BD241" s="6"/>
      <c r="BE241" s="6"/>
      <c r="BF241" s="6"/>
      <c r="BG241" s="6"/>
      <c r="BH241" s="6"/>
      <c r="BI241" s="6"/>
      <c r="BJ241" s="6"/>
      <c r="BK241" s="6"/>
    </row>
    <row r="242" spans="14:63" x14ac:dyDescent="0.25">
      <c r="N242" s="26"/>
      <c r="O242" s="26"/>
      <c r="P242" s="26"/>
      <c r="Q242" s="26"/>
      <c r="R242" s="26"/>
      <c r="AL242" s="1"/>
      <c r="AT242" s="1"/>
      <c r="AU242" s="6"/>
      <c r="AV242" s="6"/>
      <c r="AW242" s="6"/>
      <c r="AX242" s="6"/>
      <c r="AY242" s="6"/>
      <c r="BA242" s="1"/>
      <c r="BB242" s="6"/>
      <c r="BC242" s="6"/>
      <c r="BD242" s="6"/>
      <c r="BE242" s="6"/>
      <c r="BF242" s="6"/>
      <c r="BG242" s="6"/>
      <c r="BH242" s="6"/>
      <c r="BI242" s="6"/>
      <c r="BJ242" s="6"/>
      <c r="BK242" s="6"/>
    </row>
    <row r="243" spans="14:63" x14ac:dyDescent="0.25">
      <c r="N243" s="26"/>
      <c r="O243" s="26"/>
      <c r="P243" s="26"/>
      <c r="Q243" s="26"/>
      <c r="R243" s="26"/>
      <c r="AL243" s="1"/>
      <c r="AT243" s="1"/>
      <c r="AU243" s="6"/>
      <c r="AV243" s="6"/>
      <c r="AW243" s="6"/>
      <c r="AX243" s="6"/>
      <c r="AY243" s="6"/>
      <c r="BA243" s="1"/>
      <c r="BB243" s="6"/>
      <c r="BC243" s="6"/>
      <c r="BD243" s="6"/>
      <c r="BE243" s="6"/>
      <c r="BF243" s="6"/>
      <c r="BG243" s="6"/>
      <c r="BH243" s="6"/>
      <c r="BI243" s="6"/>
      <c r="BJ243" s="6"/>
      <c r="BK243" s="6"/>
    </row>
    <row r="244" spans="14:63" x14ac:dyDescent="0.25">
      <c r="N244" s="26"/>
      <c r="O244" s="26"/>
      <c r="P244" s="26"/>
      <c r="Q244" s="26"/>
      <c r="R244" s="26"/>
      <c r="AL244" s="1"/>
      <c r="AT244" s="1"/>
      <c r="AU244" s="6"/>
      <c r="AV244" s="6"/>
      <c r="AW244" s="6"/>
      <c r="AX244" s="6"/>
      <c r="AY244" s="6"/>
      <c r="BA244" s="1"/>
      <c r="BB244" s="6"/>
      <c r="BC244" s="6"/>
      <c r="BD244" s="6"/>
      <c r="BE244" s="6"/>
      <c r="BF244" s="6"/>
      <c r="BG244" s="6"/>
      <c r="BH244" s="6"/>
      <c r="BI244" s="6"/>
      <c r="BJ244" s="6"/>
      <c r="BK244" s="6"/>
    </row>
    <row r="245" spans="14:63" x14ac:dyDescent="0.25">
      <c r="N245" s="26"/>
      <c r="O245" s="26"/>
      <c r="P245" s="26"/>
      <c r="Q245" s="26"/>
      <c r="R245" s="26"/>
      <c r="AL245" s="1"/>
      <c r="AT245" s="1"/>
      <c r="AU245" s="6"/>
      <c r="AV245" s="6"/>
      <c r="AW245" s="6"/>
      <c r="AX245" s="6"/>
      <c r="AY245" s="6"/>
      <c r="BA245" s="1"/>
      <c r="BB245" s="6"/>
      <c r="BC245" s="6"/>
      <c r="BD245" s="6"/>
      <c r="BE245" s="6"/>
      <c r="BF245" s="6"/>
      <c r="BG245" s="6"/>
      <c r="BH245" s="6"/>
      <c r="BI245" s="6"/>
      <c r="BJ245" s="6"/>
      <c r="BK245" s="6"/>
    </row>
    <row r="246" spans="14:63" x14ac:dyDescent="0.25">
      <c r="N246" s="26"/>
      <c r="O246" s="26"/>
      <c r="P246" s="26"/>
      <c r="Q246" s="26"/>
      <c r="R246" s="26"/>
      <c r="AL246" s="1"/>
      <c r="AT246" s="1"/>
      <c r="AU246" s="6"/>
      <c r="AV246" s="6"/>
      <c r="AW246" s="6"/>
      <c r="AX246" s="6"/>
      <c r="AY246" s="6"/>
      <c r="BA246" s="1"/>
      <c r="BB246" s="6"/>
      <c r="BC246" s="6"/>
      <c r="BD246" s="6"/>
      <c r="BE246" s="6"/>
      <c r="BF246" s="6"/>
      <c r="BG246" s="6"/>
      <c r="BH246" s="6"/>
      <c r="BI246" s="6"/>
      <c r="BJ246" s="6"/>
      <c r="BK246" s="6"/>
    </row>
    <row r="247" spans="14:63" x14ac:dyDescent="0.25">
      <c r="N247" s="26"/>
      <c r="O247" s="26"/>
      <c r="P247" s="26"/>
      <c r="Q247" s="26"/>
      <c r="R247" s="26"/>
      <c r="AL247" s="1"/>
      <c r="AT247" s="1"/>
      <c r="AU247" s="6"/>
      <c r="AV247" s="6"/>
      <c r="AW247" s="6"/>
      <c r="AX247" s="6"/>
      <c r="AY247" s="6"/>
      <c r="BA247" s="1"/>
      <c r="BB247" s="6"/>
      <c r="BC247" s="6"/>
      <c r="BD247" s="6"/>
      <c r="BE247" s="6"/>
      <c r="BF247" s="6"/>
      <c r="BG247" s="6"/>
      <c r="BH247" s="6"/>
      <c r="BI247" s="6"/>
      <c r="BJ247" s="6"/>
      <c r="BK247" s="6"/>
    </row>
    <row r="248" spans="14:63" x14ac:dyDescent="0.25">
      <c r="N248" s="26"/>
      <c r="O248" s="26"/>
      <c r="P248" s="26"/>
      <c r="Q248" s="26"/>
      <c r="R248" s="26"/>
      <c r="AL248" s="1"/>
      <c r="AT248" s="1"/>
      <c r="AU248" s="6"/>
      <c r="AV248" s="6"/>
      <c r="AW248" s="6"/>
      <c r="AX248" s="6"/>
      <c r="AY248" s="6"/>
      <c r="BA248" s="1"/>
      <c r="BB248" s="6"/>
      <c r="BC248" s="6"/>
      <c r="BD248" s="6"/>
      <c r="BE248" s="6"/>
      <c r="BF248" s="6"/>
      <c r="BG248" s="6"/>
      <c r="BH248" s="6"/>
      <c r="BI248" s="6"/>
      <c r="BJ248" s="6"/>
      <c r="BK248" s="6"/>
    </row>
    <row r="249" spans="14:63" x14ac:dyDescent="0.25">
      <c r="N249" s="26"/>
      <c r="O249" s="26"/>
      <c r="P249" s="26"/>
      <c r="Q249" s="26"/>
      <c r="R249" s="26"/>
      <c r="AL249" s="1"/>
      <c r="AT249" s="1"/>
      <c r="AU249" s="6"/>
      <c r="AV249" s="6"/>
      <c r="AW249" s="6"/>
      <c r="AX249" s="6"/>
      <c r="AY249" s="6"/>
      <c r="BA249" s="1"/>
      <c r="BB249" s="6"/>
      <c r="BC249" s="6"/>
      <c r="BD249" s="6"/>
      <c r="BE249" s="6"/>
      <c r="BF249" s="6"/>
      <c r="BG249" s="6"/>
      <c r="BH249" s="6"/>
      <c r="BI249" s="6"/>
      <c r="BJ249" s="6"/>
      <c r="BK249" s="6"/>
    </row>
    <row r="250" spans="14:63" x14ac:dyDescent="0.25">
      <c r="N250" s="26"/>
      <c r="O250" s="26"/>
      <c r="P250" s="26"/>
      <c r="Q250" s="26"/>
      <c r="R250" s="26"/>
      <c r="AL250" s="1"/>
      <c r="AT250" s="1"/>
      <c r="AU250" s="6"/>
      <c r="AV250" s="6"/>
      <c r="AW250" s="6"/>
      <c r="AX250" s="6"/>
      <c r="AY250" s="6"/>
      <c r="BA250" s="1"/>
      <c r="BB250" s="6"/>
      <c r="BC250" s="6"/>
      <c r="BD250" s="6"/>
      <c r="BE250" s="6"/>
      <c r="BF250" s="6"/>
      <c r="BG250" s="6"/>
      <c r="BH250" s="6"/>
      <c r="BI250" s="6"/>
      <c r="BJ250" s="6"/>
      <c r="BK250" s="6"/>
    </row>
    <row r="251" spans="14:63" x14ac:dyDescent="0.25">
      <c r="N251" s="26"/>
      <c r="O251" s="26"/>
      <c r="P251" s="26"/>
      <c r="Q251" s="26"/>
      <c r="R251" s="26"/>
      <c r="AL251" s="1"/>
      <c r="AT251" s="1"/>
      <c r="AU251" s="6"/>
      <c r="AV251" s="6"/>
      <c r="AW251" s="6"/>
      <c r="AX251" s="6"/>
      <c r="AY251" s="6"/>
      <c r="BA251" s="1"/>
      <c r="BB251" s="6"/>
      <c r="BC251" s="6"/>
      <c r="BD251" s="6"/>
      <c r="BE251" s="6"/>
      <c r="BF251" s="6"/>
      <c r="BG251" s="6"/>
      <c r="BH251" s="6"/>
      <c r="BI251" s="6"/>
      <c r="BJ251" s="6"/>
      <c r="BK251" s="6"/>
    </row>
    <row r="252" spans="14:63" x14ac:dyDescent="0.25">
      <c r="N252" s="26"/>
      <c r="O252" s="26"/>
      <c r="P252" s="26"/>
      <c r="Q252" s="26"/>
      <c r="R252" s="26"/>
      <c r="AL252" s="1"/>
      <c r="AT252" s="1"/>
      <c r="AU252" s="6"/>
      <c r="AV252" s="6"/>
      <c r="AW252" s="6"/>
      <c r="AX252" s="6"/>
      <c r="AY252" s="6"/>
      <c r="BA252" s="1"/>
      <c r="BB252" s="6"/>
      <c r="BC252" s="6"/>
      <c r="BD252" s="6"/>
      <c r="BE252" s="6"/>
      <c r="BF252" s="6"/>
      <c r="BG252" s="6"/>
      <c r="BH252" s="6"/>
      <c r="BI252" s="6"/>
      <c r="BJ252" s="6"/>
      <c r="BK252" s="6"/>
    </row>
    <row r="253" spans="14:63" x14ac:dyDescent="0.25">
      <c r="N253" s="26"/>
      <c r="O253" s="26"/>
      <c r="P253" s="26"/>
      <c r="Q253" s="26"/>
      <c r="R253" s="26"/>
      <c r="AL253" s="1"/>
      <c r="AT253" s="1"/>
      <c r="AU253" s="6"/>
      <c r="AV253" s="6"/>
      <c r="AW253" s="6"/>
      <c r="AX253" s="6"/>
      <c r="AY253" s="6"/>
      <c r="BA253" s="1"/>
      <c r="BB253" s="6"/>
      <c r="BC253" s="6"/>
      <c r="BD253" s="6"/>
      <c r="BE253" s="6"/>
      <c r="BF253" s="6"/>
      <c r="BG253" s="6"/>
      <c r="BH253" s="6"/>
      <c r="BI253" s="6"/>
      <c r="BJ253" s="6"/>
      <c r="BK253" s="6"/>
    </row>
    <row r="254" spans="14:63" x14ac:dyDescent="0.25">
      <c r="N254" s="26"/>
      <c r="O254" s="26"/>
      <c r="P254" s="26"/>
      <c r="Q254" s="26"/>
      <c r="R254" s="26"/>
      <c r="AL254" s="1"/>
      <c r="AT254" s="1"/>
      <c r="AU254" s="6"/>
      <c r="AV254" s="6"/>
      <c r="AW254" s="6"/>
      <c r="AX254" s="6"/>
      <c r="AY254" s="6"/>
      <c r="BA254" s="1"/>
      <c r="BB254" s="6"/>
      <c r="BC254" s="6"/>
      <c r="BD254" s="6"/>
      <c r="BE254" s="6"/>
      <c r="BF254" s="6"/>
      <c r="BG254" s="6"/>
      <c r="BH254" s="6"/>
      <c r="BI254" s="6"/>
      <c r="BJ254" s="6"/>
      <c r="BK254" s="6"/>
    </row>
    <row r="255" spans="14:63" x14ac:dyDescent="0.25">
      <c r="N255" s="26"/>
      <c r="O255" s="26"/>
      <c r="P255" s="26"/>
      <c r="Q255" s="26"/>
      <c r="R255" s="26"/>
      <c r="AL255" s="1"/>
      <c r="AT255" s="1"/>
      <c r="AU255" s="6"/>
      <c r="AV255" s="6"/>
      <c r="AW255" s="6"/>
      <c r="AX255" s="6"/>
      <c r="AY255" s="6"/>
      <c r="BA255" s="1"/>
      <c r="BB255" s="6"/>
      <c r="BC255" s="6"/>
      <c r="BD255" s="6"/>
      <c r="BE255" s="6"/>
      <c r="BF255" s="6"/>
      <c r="BG255" s="6"/>
      <c r="BH255" s="6"/>
      <c r="BI255" s="6"/>
      <c r="BJ255" s="6"/>
      <c r="BK255" s="6"/>
    </row>
    <row r="256" spans="14:63" x14ac:dyDescent="0.25">
      <c r="N256" s="26"/>
      <c r="O256" s="26"/>
      <c r="P256" s="26"/>
      <c r="Q256" s="26"/>
      <c r="R256" s="26"/>
      <c r="AL256" s="1"/>
      <c r="AT256" s="1"/>
      <c r="AU256" s="6"/>
      <c r="AV256" s="6"/>
      <c r="AW256" s="6"/>
      <c r="AX256" s="6"/>
      <c r="AY256" s="6"/>
      <c r="BA256" s="1"/>
      <c r="BB256" s="6"/>
      <c r="BC256" s="6"/>
      <c r="BD256" s="6"/>
      <c r="BE256" s="6"/>
      <c r="BF256" s="6"/>
      <c r="BG256" s="6"/>
      <c r="BH256" s="6"/>
      <c r="BI256" s="6"/>
      <c r="BJ256" s="6"/>
      <c r="BK256" s="6"/>
    </row>
    <row r="257" spans="14:63" x14ac:dyDescent="0.25">
      <c r="N257" s="26"/>
      <c r="O257" s="26"/>
      <c r="P257" s="26"/>
      <c r="Q257" s="26"/>
      <c r="R257" s="26"/>
      <c r="AL257" s="1"/>
      <c r="AT257" s="1"/>
      <c r="AU257" s="6"/>
      <c r="AV257" s="6"/>
      <c r="AW257" s="6"/>
      <c r="AX257" s="6"/>
      <c r="AY257" s="6"/>
      <c r="BA257" s="1"/>
      <c r="BB257" s="6"/>
      <c r="BC257" s="6"/>
      <c r="BD257" s="6"/>
      <c r="BE257" s="6"/>
      <c r="BF257" s="6"/>
      <c r="BG257" s="6"/>
      <c r="BH257" s="6"/>
      <c r="BI257" s="6"/>
      <c r="BJ257" s="6"/>
      <c r="BK257" s="6"/>
    </row>
    <row r="258" spans="14:63" x14ac:dyDescent="0.25">
      <c r="N258" s="26"/>
      <c r="O258" s="26"/>
      <c r="P258" s="26"/>
      <c r="Q258" s="26"/>
      <c r="R258" s="26"/>
      <c r="AL258" s="1"/>
      <c r="AT258" s="1"/>
      <c r="AU258" s="6"/>
      <c r="AV258" s="6"/>
      <c r="AW258" s="6"/>
      <c r="AX258" s="6"/>
      <c r="AY258" s="6"/>
      <c r="BA258" s="1"/>
      <c r="BB258" s="6"/>
      <c r="BC258" s="6"/>
      <c r="BD258" s="6"/>
      <c r="BE258" s="6"/>
      <c r="BF258" s="6"/>
      <c r="BG258" s="6"/>
      <c r="BH258" s="6"/>
      <c r="BI258" s="6"/>
      <c r="BJ258" s="6"/>
      <c r="BK258" s="6"/>
    </row>
    <row r="259" spans="14:63" x14ac:dyDescent="0.25">
      <c r="N259" s="26"/>
      <c r="O259" s="26"/>
      <c r="P259" s="26"/>
      <c r="Q259" s="26"/>
      <c r="R259" s="26"/>
      <c r="AL259" s="1"/>
      <c r="AT259" s="1"/>
      <c r="AU259" s="6"/>
      <c r="AV259" s="6"/>
      <c r="AW259" s="6"/>
      <c r="AX259" s="6"/>
      <c r="AY259" s="6"/>
      <c r="BA259" s="1"/>
      <c r="BB259" s="6"/>
      <c r="BC259" s="6"/>
      <c r="BD259" s="6"/>
      <c r="BE259" s="6"/>
      <c r="BF259" s="6"/>
      <c r="BG259" s="6"/>
      <c r="BH259" s="6"/>
      <c r="BI259" s="6"/>
      <c r="BJ259" s="6"/>
      <c r="BK259" s="6"/>
    </row>
    <row r="260" spans="14:63" x14ac:dyDescent="0.25">
      <c r="N260" s="26"/>
      <c r="O260" s="26"/>
      <c r="P260" s="26"/>
      <c r="Q260" s="26"/>
      <c r="R260" s="26"/>
      <c r="AL260" s="1"/>
      <c r="AT260" s="1"/>
      <c r="AU260" s="6"/>
      <c r="AV260" s="6"/>
      <c r="AW260" s="6"/>
      <c r="AX260" s="6"/>
      <c r="AY260" s="6"/>
      <c r="BA260" s="1"/>
      <c r="BB260" s="6"/>
      <c r="BC260" s="6"/>
      <c r="BD260" s="6"/>
      <c r="BE260" s="6"/>
      <c r="BF260" s="6"/>
      <c r="BG260" s="6"/>
      <c r="BH260" s="6"/>
      <c r="BI260" s="6"/>
      <c r="BJ260" s="6"/>
      <c r="BK260" s="6"/>
    </row>
    <row r="261" spans="14:63" x14ac:dyDescent="0.25">
      <c r="N261" s="26"/>
      <c r="O261" s="26"/>
      <c r="P261" s="26"/>
      <c r="Q261" s="26"/>
      <c r="R261" s="26"/>
      <c r="AL261" s="1"/>
      <c r="AT261" s="1"/>
      <c r="AU261" s="6"/>
      <c r="AV261" s="6"/>
      <c r="AW261" s="6"/>
      <c r="AX261" s="6"/>
      <c r="AY261" s="6"/>
      <c r="BA261" s="1"/>
      <c r="BB261" s="6"/>
      <c r="BC261" s="6"/>
      <c r="BD261" s="6"/>
      <c r="BE261" s="6"/>
      <c r="BF261" s="6"/>
      <c r="BG261" s="6"/>
      <c r="BH261" s="6"/>
      <c r="BI261" s="6"/>
      <c r="BJ261" s="6"/>
      <c r="BK261" s="6"/>
    </row>
    <row r="262" spans="14:63" x14ac:dyDescent="0.25">
      <c r="N262" s="26"/>
      <c r="O262" s="26"/>
      <c r="P262" s="26"/>
      <c r="Q262" s="26"/>
      <c r="R262" s="26"/>
      <c r="AL262" s="1"/>
      <c r="AT262" s="1"/>
      <c r="AU262" s="6"/>
      <c r="AV262" s="6"/>
      <c r="AW262" s="6"/>
      <c r="AX262" s="6"/>
      <c r="AY262" s="6"/>
      <c r="BA262" s="1"/>
      <c r="BB262" s="6"/>
      <c r="BC262" s="6"/>
      <c r="BD262" s="6"/>
      <c r="BE262" s="6"/>
      <c r="BF262" s="6"/>
      <c r="BG262" s="6"/>
      <c r="BH262" s="6"/>
      <c r="BI262" s="6"/>
      <c r="BJ262" s="6"/>
      <c r="BK262" s="6"/>
    </row>
    <row r="263" spans="14:63" x14ac:dyDescent="0.25">
      <c r="N263" s="26"/>
      <c r="O263" s="26"/>
      <c r="P263" s="26"/>
      <c r="Q263" s="26"/>
      <c r="R263" s="26"/>
      <c r="AL263" s="1"/>
      <c r="AT263" s="1"/>
      <c r="AU263" s="6"/>
      <c r="AV263" s="6"/>
      <c r="AW263" s="6"/>
      <c r="AX263" s="6"/>
      <c r="AY263" s="6"/>
      <c r="BA263" s="1"/>
      <c r="BB263" s="6"/>
      <c r="BC263" s="6"/>
      <c r="BD263" s="6"/>
      <c r="BE263" s="6"/>
      <c r="BF263" s="6"/>
      <c r="BG263" s="6"/>
      <c r="BH263" s="6"/>
      <c r="BI263" s="6"/>
      <c r="BJ263" s="6"/>
      <c r="BK263" s="6"/>
    </row>
    <row r="264" spans="14:63" x14ac:dyDescent="0.25">
      <c r="N264" s="26"/>
      <c r="O264" s="26"/>
      <c r="P264" s="26"/>
      <c r="Q264" s="26"/>
      <c r="R264" s="26"/>
      <c r="AL264" s="1"/>
      <c r="AT264" s="1"/>
      <c r="AU264" s="6"/>
      <c r="AV264" s="6"/>
      <c r="AW264" s="6"/>
      <c r="AX264" s="6"/>
      <c r="AY264" s="6"/>
      <c r="BA264" s="1"/>
      <c r="BB264" s="6"/>
      <c r="BC264" s="6"/>
      <c r="BD264" s="6"/>
      <c r="BE264" s="6"/>
      <c r="BF264" s="6"/>
      <c r="BG264" s="6"/>
      <c r="BH264" s="6"/>
      <c r="BI264" s="6"/>
      <c r="BJ264" s="6"/>
      <c r="BK264" s="6"/>
    </row>
    <row r="265" spans="14:63" x14ac:dyDescent="0.25">
      <c r="N265" s="26"/>
      <c r="O265" s="26"/>
      <c r="P265" s="26"/>
      <c r="Q265" s="26"/>
      <c r="R265" s="26"/>
      <c r="AL265" s="1"/>
      <c r="AT265" s="1"/>
      <c r="AU265" s="6"/>
      <c r="AV265" s="6"/>
      <c r="AW265" s="6"/>
      <c r="AX265" s="6"/>
      <c r="AY265" s="6"/>
      <c r="BA265" s="1"/>
      <c r="BB265" s="6"/>
      <c r="BC265" s="6"/>
      <c r="BD265" s="6"/>
      <c r="BE265" s="6"/>
      <c r="BF265" s="6"/>
      <c r="BG265" s="6"/>
      <c r="BH265" s="6"/>
      <c r="BI265" s="6"/>
      <c r="BJ265" s="6"/>
      <c r="BK265" s="6"/>
    </row>
    <row r="266" spans="14:63" x14ac:dyDescent="0.25">
      <c r="N266" s="26"/>
      <c r="O266" s="26"/>
      <c r="P266" s="26"/>
      <c r="Q266" s="26"/>
      <c r="R266" s="26"/>
      <c r="AL266" s="1"/>
      <c r="AT266" s="1"/>
      <c r="AU266" s="6"/>
      <c r="AV266" s="6"/>
      <c r="AW266" s="6"/>
      <c r="AX266" s="6"/>
      <c r="AY266" s="6"/>
      <c r="BA266" s="1"/>
      <c r="BB266" s="6"/>
      <c r="BC266" s="6"/>
      <c r="BD266" s="6"/>
      <c r="BE266" s="6"/>
      <c r="BF266" s="6"/>
      <c r="BG266" s="6"/>
      <c r="BH266" s="6"/>
      <c r="BI266" s="6"/>
      <c r="BJ266" s="6"/>
      <c r="BK266" s="6"/>
    </row>
    <row r="267" spans="14:63" x14ac:dyDescent="0.25">
      <c r="N267" s="26"/>
      <c r="O267" s="26"/>
      <c r="P267" s="26"/>
      <c r="Q267" s="26"/>
      <c r="R267" s="26"/>
      <c r="AL267" s="1"/>
      <c r="AT267" s="1"/>
      <c r="AU267" s="6"/>
      <c r="AV267" s="6"/>
      <c r="AW267" s="6"/>
      <c r="AX267" s="6"/>
      <c r="AY267" s="6"/>
      <c r="BA267" s="1"/>
      <c r="BB267" s="6"/>
      <c r="BC267" s="6"/>
      <c r="BD267" s="6"/>
      <c r="BE267" s="6"/>
      <c r="BF267" s="6"/>
      <c r="BG267" s="6"/>
      <c r="BH267" s="6"/>
      <c r="BI267" s="6"/>
      <c r="BJ267" s="6"/>
      <c r="BK267" s="6"/>
    </row>
    <row r="268" spans="14:63" x14ac:dyDescent="0.25">
      <c r="N268" s="26"/>
      <c r="O268" s="26"/>
      <c r="P268" s="26"/>
      <c r="Q268" s="26"/>
      <c r="R268" s="26"/>
      <c r="AL268" s="1"/>
      <c r="AT268" s="1"/>
      <c r="AU268" s="6"/>
      <c r="AV268" s="6"/>
      <c r="AW268" s="6"/>
      <c r="AX268" s="6"/>
      <c r="AY268" s="6"/>
      <c r="BA268" s="1"/>
      <c r="BB268" s="6"/>
      <c r="BC268" s="6"/>
      <c r="BD268" s="6"/>
      <c r="BE268" s="6"/>
      <c r="BF268" s="6"/>
      <c r="BG268" s="6"/>
      <c r="BH268" s="6"/>
      <c r="BI268" s="6"/>
      <c r="BJ268" s="6"/>
      <c r="BK268" s="6"/>
    </row>
    <row r="269" spans="14:63" x14ac:dyDescent="0.25">
      <c r="N269" s="26"/>
      <c r="O269" s="26"/>
      <c r="P269" s="26"/>
      <c r="Q269" s="26"/>
      <c r="R269" s="26"/>
      <c r="AL269" s="1"/>
      <c r="AT269" s="1"/>
      <c r="AU269" s="6"/>
      <c r="AV269" s="6"/>
      <c r="AW269" s="6"/>
      <c r="AX269" s="6"/>
      <c r="AY269" s="6"/>
      <c r="BA269" s="1"/>
      <c r="BB269" s="6"/>
      <c r="BC269" s="6"/>
      <c r="BD269" s="6"/>
      <c r="BE269" s="6"/>
      <c r="BF269" s="6"/>
      <c r="BG269" s="6"/>
      <c r="BH269" s="6"/>
      <c r="BI269" s="6"/>
      <c r="BJ269" s="6"/>
      <c r="BK269" s="6"/>
    </row>
    <row r="270" spans="14:63" x14ac:dyDescent="0.25">
      <c r="N270" s="26"/>
      <c r="O270" s="26"/>
      <c r="P270" s="26"/>
      <c r="Q270" s="26"/>
      <c r="R270" s="26"/>
      <c r="AL270" s="1"/>
      <c r="AT270" s="1"/>
      <c r="AU270" s="6"/>
      <c r="AV270" s="6"/>
      <c r="AW270" s="6"/>
      <c r="AX270" s="6"/>
      <c r="AY270" s="6"/>
      <c r="BA270" s="1"/>
      <c r="BB270" s="6"/>
      <c r="BC270" s="6"/>
      <c r="BD270" s="6"/>
      <c r="BE270" s="6"/>
      <c r="BF270" s="6"/>
      <c r="BG270" s="6"/>
      <c r="BH270" s="6"/>
      <c r="BI270" s="6"/>
      <c r="BJ270" s="6"/>
      <c r="BK270" s="6"/>
    </row>
    <row r="271" spans="14:63" x14ac:dyDescent="0.25">
      <c r="N271" s="26"/>
      <c r="O271" s="26"/>
      <c r="P271" s="26"/>
      <c r="Q271" s="26"/>
      <c r="R271" s="26"/>
      <c r="AL271" s="1"/>
      <c r="AT271" s="1"/>
      <c r="AU271" s="6"/>
      <c r="AV271" s="6"/>
      <c r="AW271" s="6"/>
      <c r="AX271" s="6"/>
      <c r="AY271" s="6"/>
      <c r="BA271" s="1"/>
      <c r="BB271" s="6"/>
      <c r="BC271" s="6"/>
      <c r="BD271" s="6"/>
      <c r="BE271" s="6"/>
      <c r="BF271" s="6"/>
      <c r="BG271" s="6"/>
      <c r="BH271" s="6"/>
      <c r="BI271" s="6"/>
      <c r="BJ271" s="6"/>
      <c r="BK271" s="6"/>
    </row>
    <row r="272" spans="14:63" x14ac:dyDescent="0.25">
      <c r="N272" s="26"/>
      <c r="O272" s="26"/>
      <c r="P272" s="26"/>
      <c r="Q272" s="26"/>
      <c r="R272" s="26"/>
      <c r="AL272" s="1"/>
      <c r="AT272" s="1"/>
      <c r="AU272" s="6"/>
      <c r="AV272" s="6"/>
      <c r="AW272" s="6"/>
      <c r="AX272" s="6"/>
      <c r="AY272" s="6"/>
      <c r="BA272" s="1"/>
      <c r="BB272" s="6"/>
      <c r="BC272" s="6"/>
      <c r="BD272" s="6"/>
      <c r="BE272" s="6"/>
      <c r="BF272" s="6"/>
      <c r="BG272" s="6"/>
      <c r="BH272" s="6"/>
      <c r="BI272" s="6"/>
      <c r="BJ272" s="6"/>
      <c r="BK272" s="6"/>
    </row>
    <row r="273" spans="14:63" x14ac:dyDescent="0.25">
      <c r="N273" s="26"/>
      <c r="O273" s="26"/>
      <c r="P273" s="26"/>
      <c r="Q273" s="26"/>
      <c r="R273" s="26"/>
      <c r="AL273" s="1"/>
      <c r="AT273" s="1"/>
      <c r="AU273" s="6"/>
      <c r="AV273" s="6"/>
      <c r="AW273" s="6"/>
      <c r="AX273" s="6"/>
      <c r="AY273" s="6"/>
      <c r="BA273" s="1"/>
      <c r="BB273" s="6"/>
      <c r="BC273" s="6"/>
      <c r="BD273" s="6"/>
      <c r="BE273" s="6"/>
      <c r="BF273" s="6"/>
      <c r="BG273" s="6"/>
      <c r="BH273" s="6"/>
      <c r="BI273" s="6"/>
      <c r="BJ273" s="6"/>
      <c r="BK273" s="6"/>
    </row>
    <row r="274" spans="14:63" x14ac:dyDescent="0.25">
      <c r="N274" s="26"/>
      <c r="O274" s="26"/>
      <c r="P274" s="26"/>
      <c r="Q274" s="26"/>
      <c r="R274" s="26"/>
      <c r="AL274" s="1"/>
      <c r="AT274" s="1"/>
      <c r="AU274" s="6"/>
      <c r="AV274" s="6"/>
      <c r="AW274" s="6"/>
      <c r="AX274" s="6"/>
      <c r="AY274" s="6"/>
      <c r="BA274" s="1"/>
      <c r="BB274" s="6"/>
      <c r="BC274" s="6"/>
      <c r="BD274" s="6"/>
      <c r="BE274" s="6"/>
      <c r="BF274" s="6"/>
      <c r="BG274" s="6"/>
      <c r="BH274" s="6"/>
      <c r="BI274" s="6"/>
      <c r="BJ274" s="6"/>
      <c r="BK274" s="6"/>
    </row>
    <row r="275" spans="14:63" x14ac:dyDescent="0.25">
      <c r="N275" s="26"/>
      <c r="O275" s="26"/>
      <c r="P275" s="26"/>
      <c r="Q275" s="26"/>
      <c r="R275" s="26"/>
      <c r="AL275" s="1"/>
      <c r="AT275" s="1"/>
      <c r="AU275" s="6"/>
      <c r="AV275" s="6"/>
      <c r="AW275" s="6"/>
      <c r="AX275" s="6"/>
      <c r="AY275" s="6"/>
      <c r="BA275" s="1"/>
      <c r="BB275" s="6"/>
      <c r="BC275" s="6"/>
      <c r="BD275" s="6"/>
      <c r="BE275" s="6"/>
      <c r="BF275" s="6"/>
      <c r="BG275" s="6"/>
      <c r="BH275" s="6"/>
      <c r="BI275" s="6"/>
      <c r="BJ275" s="6"/>
      <c r="BK275" s="6"/>
    </row>
    <row r="276" spans="14:63" x14ac:dyDescent="0.25">
      <c r="N276" s="26"/>
      <c r="O276" s="26"/>
      <c r="P276" s="26"/>
      <c r="Q276" s="26"/>
      <c r="R276" s="26"/>
      <c r="AL276" s="1"/>
      <c r="AT276" s="1"/>
      <c r="AU276" s="6"/>
      <c r="AV276" s="6"/>
      <c r="AW276" s="6"/>
      <c r="AX276" s="6"/>
      <c r="AY276" s="6"/>
      <c r="BA276" s="1"/>
      <c r="BB276" s="6"/>
      <c r="BC276" s="6"/>
      <c r="BD276" s="6"/>
      <c r="BE276" s="6"/>
      <c r="BF276" s="6"/>
      <c r="BG276" s="6"/>
      <c r="BH276" s="6"/>
      <c r="BI276" s="6"/>
      <c r="BJ276" s="6"/>
      <c r="BK276" s="6"/>
    </row>
    <row r="277" spans="14:63" x14ac:dyDescent="0.25">
      <c r="N277" s="26"/>
      <c r="O277" s="26"/>
      <c r="P277" s="26"/>
      <c r="Q277" s="26"/>
      <c r="R277" s="26"/>
      <c r="AL277" s="1"/>
      <c r="AT277" s="1"/>
      <c r="AU277" s="6"/>
      <c r="AV277" s="6"/>
      <c r="AW277" s="6"/>
      <c r="AX277" s="6"/>
      <c r="AY277" s="6"/>
      <c r="BA277" s="1"/>
      <c r="BB277" s="6"/>
      <c r="BC277" s="6"/>
      <c r="BD277" s="6"/>
      <c r="BE277" s="6"/>
      <c r="BF277" s="6"/>
      <c r="BG277" s="6"/>
      <c r="BH277" s="6"/>
      <c r="BI277" s="6"/>
      <c r="BJ277" s="6"/>
      <c r="BK277" s="6"/>
    </row>
    <row r="278" spans="14:63" x14ac:dyDescent="0.25">
      <c r="N278" s="26"/>
      <c r="O278" s="26"/>
      <c r="P278" s="26"/>
      <c r="Q278" s="26"/>
      <c r="R278" s="26"/>
      <c r="AL278" s="1"/>
      <c r="AT278" s="1"/>
      <c r="AU278" s="6"/>
      <c r="AV278" s="6"/>
      <c r="AW278" s="6"/>
      <c r="AX278" s="6"/>
      <c r="AY278" s="6"/>
      <c r="BA278" s="1"/>
      <c r="BB278" s="6"/>
      <c r="BC278" s="6"/>
      <c r="BD278" s="6"/>
      <c r="BE278" s="6"/>
      <c r="BF278" s="6"/>
      <c r="BG278" s="6"/>
      <c r="BH278" s="6"/>
      <c r="BI278" s="6"/>
      <c r="BJ278" s="6"/>
      <c r="BK278" s="6"/>
    </row>
    <row r="279" spans="14:63" x14ac:dyDescent="0.25">
      <c r="N279" s="26"/>
      <c r="O279" s="26"/>
      <c r="P279" s="26"/>
      <c r="Q279" s="26"/>
      <c r="R279" s="26"/>
      <c r="AL279" s="1"/>
      <c r="AT279" s="1"/>
      <c r="AU279" s="6"/>
      <c r="AV279" s="6"/>
      <c r="AW279" s="6"/>
      <c r="AX279" s="6"/>
      <c r="AY279" s="6"/>
      <c r="BA279" s="1"/>
      <c r="BB279" s="6"/>
      <c r="BC279" s="6"/>
      <c r="BD279" s="6"/>
      <c r="BE279" s="6"/>
      <c r="BF279" s="6"/>
      <c r="BG279" s="6"/>
      <c r="BH279" s="6"/>
      <c r="BI279" s="6"/>
      <c r="BJ279" s="6"/>
      <c r="BK279" s="6"/>
    </row>
    <row r="280" spans="14:63" x14ac:dyDescent="0.25">
      <c r="N280" s="26"/>
      <c r="O280" s="26"/>
      <c r="P280" s="26"/>
      <c r="Q280" s="26"/>
      <c r="R280" s="26"/>
      <c r="AL280" s="1"/>
      <c r="AT280" s="1"/>
      <c r="AU280" s="6"/>
      <c r="AV280" s="6"/>
      <c r="AW280" s="6"/>
      <c r="AX280" s="6"/>
      <c r="AY280" s="6"/>
      <c r="BA280" s="1"/>
      <c r="BB280" s="6"/>
      <c r="BC280" s="6"/>
      <c r="BD280" s="6"/>
      <c r="BE280" s="6"/>
      <c r="BF280" s="6"/>
      <c r="BG280" s="6"/>
      <c r="BH280" s="6"/>
      <c r="BI280" s="6"/>
      <c r="BJ280" s="6"/>
      <c r="BK280" s="6"/>
    </row>
    <row r="281" spans="14:63" x14ac:dyDescent="0.25">
      <c r="N281" s="26"/>
      <c r="O281" s="26"/>
      <c r="P281" s="26"/>
      <c r="Q281" s="26"/>
      <c r="R281" s="26"/>
      <c r="AL281" s="1"/>
      <c r="AT281" s="1"/>
      <c r="AU281" s="6"/>
      <c r="AV281" s="6"/>
      <c r="AW281" s="6"/>
      <c r="AX281" s="6"/>
      <c r="AY281" s="6"/>
      <c r="BA281" s="1"/>
      <c r="BB281" s="6"/>
      <c r="BC281" s="6"/>
      <c r="BD281" s="6"/>
      <c r="BE281" s="6"/>
      <c r="BF281" s="6"/>
      <c r="BG281" s="6"/>
      <c r="BH281" s="6"/>
      <c r="BI281" s="6"/>
      <c r="BJ281" s="6"/>
      <c r="BK281" s="6"/>
    </row>
    <row r="282" spans="14:63" x14ac:dyDescent="0.25">
      <c r="N282" s="26"/>
      <c r="O282" s="26"/>
      <c r="P282" s="26"/>
      <c r="Q282" s="26"/>
      <c r="R282" s="26"/>
      <c r="AL282" s="1"/>
      <c r="AT282" s="1"/>
      <c r="AU282" s="6"/>
      <c r="AV282" s="6"/>
      <c r="AW282" s="6"/>
      <c r="AX282" s="6"/>
      <c r="AY282" s="6"/>
      <c r="BA282" s="1"/>
      <c r="BB282" s="6"/>
      <c r="BC282" s="6"/>
      <c r="BD282" s="6"/>
      <c r="BE282" s="6"/>
      <c r="BF282" s="6"/>
      <c r="BG282" s="6"/>
      <c r="BH282" s="6"/>
      <c r="BI282" s="6"/>
      <c r="BJ282" s="6"/>
      <c r="BK282" s="6"/>
    </row>
    <row r="283" spans="14:63" x14ac:dyDescent="0.25">
      <c r="N283" s="26"/>
      <c r="O283" s="26"/>
      <c r="P283" s="26"/>
      <c r="Q283" s="26"/>
      <c r="R283" s="26"/>
      <c r="AL283" s="1"/>
      <c r="AT283" s="1"/>
      <c r="AU283" s="6"/>
      <c r="AV283" s="6"/>
      <c r="AW283" s="6"/>
      <c r="AX283" s="6"/>
      <c r="AY283" s="6"/>
      <c r="BA283" s="1"/>
      <c r="BB283" s="6"/>
      <c r="BC283" s="6"/>
      <c r="BD283" s="6"/>
      <c r="BE283" s="6"/>
      <c r="BF283" s="6"/>
      <c r="BG283" s="6"/>
      <c r="BH283" s="6"/>
      <c r="BI283" s="6"/>
      <c r="BJ283" s="6"/>
      <c r="BK283" s="6"/>
    </row>
    <row r="284" spans="14:63" x14ac:dyDescent="0.25">
      <c r="N284" s="26"/>
      <c r="O284" s="26"/>
      <c r="P284" s="26"/>
      <c r="Q284" s="26"/>
      <c r="R284" s="26"/>
      <c r="AL284" s="1"/>
      <c r="AT284" s="1"/>
      <c r="AU284" s="6"/>
      <c r="AV284" s="6"/>
      <c r="AW284" s="6"/>
      <c r="AX284" s="6"/>
      <c r="AY284" s="6"/>
      <c r="BA284" s="1"/>
      <c r="BB284" s="6"/>
      <c r="BC284" s="6"/>
      <c r="BD284" s="6"/>
      <c r="BE284" s="6"/>
      <c r="BF284" s="6"/>
      <c r="BG284" s="6"/>
      <c r="BH284" s="6"/>
      <c r="BI284" s="6"/>
      <c r="BJ284" s="6"/>
      <c r="BK284" s="6"/>
    </row>
    <row r="285" spans="14:63" x14ac:dyDescent="0.25">
      <c r="N285" s="26"/>
      <c r="O285" s="26"/>
      <c r="P285" s="26"/>
      <c r="Q285" s="26"/>
      <c r="R285" s="26"/>
      <c r="AL285" s="1"/>
      <c r="AT285" s="1"/>
      <c r="AU285" s="6"/>
      <c r="AV285" s="6"/>
      <c r="AW285" s="6"/>
      <c r="AX285" s="6"/>
      <c r="AY285" s="6"/>
      <c r="BA285" s="1"/>
      <c r="BB285" s="6"/>
      <c r="BC285" s="6"/>
      <c r="BD285" s="6"/>
      <c r="BE285" s="6"/>
      <c r="BF285" s="6"/>
      <c r="BG285" s="6"/>
      <c r="BH285" s="6"/>
      <c r="BI285" s="6"/>
      <c r="BJ285" s="6"/>
      <c r="BK285" s="6"/>
    </row>
    <row r="286" spans="14:63" x14ac:dyDescent="0.25">
      <c r="N286" s="26"/>
      <c r="O286" s="26"/>
      <c r="P286" s="26"/>
      <c r="Q286" s="26"/>
      <c r="R286" s="26"/>
      <c r="AL286" s="1"/>
      <c r="AT286" s="1"/>
      <c r="AU286" s="6"/>
      <c r="AV286" s="6"/>
      <c r="AW286" s="6"/>
      <c r="AX286" s="6"/>
      <c r="AY286" s="6"/>
      <c r="BA286" s="1"/>
      <c r="BB286" s="6"/>
      <c r="BC286" s="6"/>
      <c r="BD286" s="6"/>
      <c r="BE286" s="6"/>
      <c r="BF286" s="6"/>
      <c r="BG286" s="6"/>
      <c r="BH286" s="6"/>
      <c r="BI286" s="6"/>
      <c r="BJ286" s="6"/>
      <c r="BK286" s="6"/>
    </row>
    <row r="287" spans="14:63" x14ac:dyDescent="0.25">
      <c r="N287" s="26"/>
      <c r="O287" s="26"/>
      <c r="P287" s="26"/>
      <c r="Q287" s="26"/>
      <c r="R287" s="26"/>
      <c r="AL287" s="1"/>
      <c r="AT287" s="1"/>
      <c r="AU287" s="6"/>
      <c r="AV287" s="6"/>
      <c r="AW287" s="6"/>
      <c r="AX287" s="6"/>
      <c r="AY287" s="6"/>
      <c r="BA287" s="1"/>
      <c r="BB287" s="6"/>
      <c r="BC287" s="6"/>
      <c r="BD287" s="6"/>
      <c r="BE287" s="6"/>
      <c r="BF287" s="6"/>
      <c r="BG287" s="6"/>
      <c r="BH287" s="6"/>
      <c r="BI287" s="6"/>
      <c r="BJ287" s="6"/>
      <c r="BK287" s="6"/>
    </row>
    <row r="288" spans="14:63" x14ac:dyDescent="0.25">
      <c r="N288" s="26"/>
      <c r="O288" s="26"/>
      <c r="P288" s="26"/>
      <c r="Q288" s="26"/>
      <c r="R288" s="26"/>
      <c r="AL288" s="1"/>
      <c r="AT288" s="1"/>
      <c r="AU288" s="6"/>
      <c r="AV288" s="6"/>
      <c r="AW288" s="6"/>
      <c r="AX288" s="6"/>
      <c r="AY288" s="6"/>
      <c r="BA288" s="1"/>
      <c r="BB288" s="6"/>
      <c r="BC288" s="6"/>
      <c r="BD288" s="6"/>
      <c r="BE288" s="6"/>
      <c r="BF288" s="6"/>
      <c r="BG288" s="6"/>
      <c r="BH288" s="6"/>
      <c r="BI288" s="6"/>
      <c r="BJ288" s="6"/>
      <c r="BK288" s="6"/>
    </row>
    <row r="289" spans="14:63" x14ac:dyDescent="0.25">
      <c r="N289" s="26"/>
      <c r="O289" s="26"/>
      <c r="P289" s="26"/>
      <c r="Q289" s="26"/>
      <c r="R289" s="26"/>
      <c r="AL289" s="1"/>
      <c r="AT289" s="1"/>
      <c r="AU289" s="6"/>
      <c r="AV289" s="6"/>
      <c r="AW289" s="6"/>
      <c r="AX289" s="6"/>
      <c r="AY289" s="6"/>
      <c r="BA289" s="1"/>
      <c r="BB289" s="6"/>
      <c r="BC289" s="6"/>
      <c r="BD289" s="6"/>
      <c r="BE289" s="6"/>
      <c r="BF289" s="6"/>
      <c r="BG289" s="6"/>
      <c r="BH289" s="6"/>
      <c r="BI289" s="6"/>
      <c r="BJ289" s="6"/>
      <c r="BK289" s="6"/>
    </row>
    <row r="290" spans="14:63" x14ac:dyDescent="0.25">
      <c r="N290" s="26"/>
      <c r="O290" s="26"/>
      <c r="P290" s="26"/>
      <c r="Q290" s="26"/>
      <c r="R290" s="26"/>
      <c r="AL290" s="1"/>
      <c r="AT290" s="1"/>
      <c r="AU290" s="6"/>
      <c r="AV290" s="6"/>
      <c r="AW290" s="6"/>
      <c r="AX290" s="6"/>
      <c r="AY290" s="6"/>
      <c r="BA290" s="1"/>
      <c r="BB290" s="6"/>
      <c r="BC290" s="6"/>
      <c r="BD290" s="6"/>
      <c r="BE290" s="6"/>
      <c r="BF290" s="6"/>
      <c r="BG290" s="6"/>
      <c r="BH290" s="6"/>
      <c r="BI290" s="6"/>
      <c r="BJ290" s="6"/>
      <c r="BK290" s="6"/>
    </row>
    <row r="291" spans="14:63" x14ac:dyDescent="0.25">
      <c r="N291" s="26"/>
      <c r="O291" s="26"/>
      <c r="P291" s="26"/>
      <c r="Q291" s="26"/>
      <c r="R291" s="26"/>
      <c r="AL291" s="1"/>
      <c r="AT291" s="1"/>
      <c r="AU291" s="6"/>
      <c r="AV291" s="6"/>
      <c r="AW291" s="6"/>
      <c r="AX291" s="6"/>
      <c r="AY291" s="6"/>
      <c r="BA291" s="1"/>
      <c r="BB291" s="6"/>
      <c r="BC291" s="6"/>
      <c r="BD291" s="6"/>
      <c r="BE291" s="6"/>
      <c r="BF291" s="6"/>
      <c r="BG291" s="6"/>
      <c r="BH291" s="6"/>
      <c r="BI291" s="6"/>
      <c r="BJ291" s="6"/>
      <c r="BK291" s="6"/>
    </row>
    <row r="292" spans="14:63" x14ac:dyDescent="0.25">
      <c r="N292" s="26"/>
      <c r="O292" s="26"/>
      <c r="P292" s="26"/>
      <c r="Q292" s="26"/>
      <c r="R292" s="26"/>
      <c r="AL292" s="1"/>
      <c r="AT292" s="1"/>
      <c r="AU292" s="6"/>
      <c r="AV292" s="6"/>
      <c r="AW292" s="6"/>
      <c r="AX292" s="6"/>
      <c r="AY292" s="6"/>
      <c r="BA292" s="1"/>
      <c r="BB292" s="6"/>
      <c r="BC292" s="6"/>
      <c r="BD292" s="6"/>
      <c r="BE292" s="6"/>
      <c r="BF292" s="6"/>
      <c r="BG292" s="6"/>
      <c r="BH292" s="6"/>
      <c r="BI292" s="6"/>
      <c r="BJ292" s="6"/>
      <c r="BK292" s="6"/>
    </row>
    <row r="293" spans="14:63" x14ac:dyDescent="0.25">
      <c r="N293" s="26"/>
      <c r="O293" s="26"/>
      <c r="P293" s="26"/>
      <c r="Q293" s="26"/>
      <c r="R293" s="26"/>
      <c r="AL293" s="1"/>
      <c r="AT293" s="1"/>
      <c r="AU293" s="6"/>
      <c r="AV293" s="6"/>
      <c r="AW293" s="6"/>
      <c r="AX293" s="6"/>
      <c r="AY293" s="6"/>
      <c r="BA293" s="1"/>
      <c r="BB293" s="6"/>
      <c r="BC293" s="6"/>
      <c r="BD293" s="6"/>
      <c r="BE293" s="6"/>
      <c r="BF293" s="6"/>
      <c r="BG293" s="6"/>
      <c r="BH293" s="6"/>
      <c r="BI293" s="6"/>
      <c r="BJ293" s="6"/>
      <c r="BK293" s="6"/>
    </row>
    <row r="294" spans="14:63" x14ac:dyDescent="0.25">
      <c r="N294" s="26"/>
      <c r="O294" s="26"/>
      <c r="P294" s="26"/>
      <c r="Q294" s="26"/>
      <c r="R294" s="26"/>
      <c r="AL294" s="1"/>
      <c r="AT294" s="1"/>
      <c r="AU294" s="6"/>
      <c r="AV294" s="6"/>
      <c r="AW294" s="6"/>
      <c r="AX294" s="6"/>
      <c r="AY294" s="6"/>
      <c r="BA294" s="1"/>
      <c r="BB294" s="6"/>
      <c r="BC294" s="6"/>
      <c r="BD294" s="6"/>
      <c r="BE294" s="6"/>
      <c r="BF294" s="6"/>
      <c r="BG294" s="6"/>
      <c r="BH294" s="6"/>
      <c r="BI294" s="6"/>
      <c r="BJ294" s="6"/>
      <c r="BK294" s="6"/>
    </row>
    <row r="295" spans="14:63" x14ac:dyDescent="0.25">
      <c r="N295" s="26"/>
      <c r="O295" s="26"/>
      <c r="P295" s="26"/>
      <c r="Q295" s="26"/>
      <c r="R295" s="26"/>
      <c r="AL295" s="1"/>
      <c r="AT295" s="1"/>
      <c r="AU295" s="6"/>
      <c r="AV295" s="6"/>
      <c r="AW295" s="6"/>
      <c r="AX295" s="6"/>
      <c r="AY295" s="6"/>
      <c r="BA295" s="1"/>
      <c r="BB295" s="6"/>
      <c r="BC295" s="6"/>
      <c r="BD295" s="6"/>
      <c r="BE295" s="6"/>
      <c r="BF295" s="6"/>
      <c r="BG295" s="6"/>
      <c r="BH295" s="6"/>
      <c r="BI295" s="6"/>
      <c r="BJ295" s="6"/>
      <c r="BK295" s="6"/>
    </row>
    <row r="296" spans="14:63" x14ac:dyDescent="0.25">
      <c r="N296" s="26"/>
      <c r="O296" s="26"/>
      <c r="P296" s="26"/>
      <c r="Q296" s="26"/>
      <c r="R296" s="26"/>
      <c r="AL296" s="1"/>
      <c r="AT296" s="1"/>
      <c r="AU296" s="6"/>
      <c r="AV296" s="6"/>
      <c r="AW296" s="6"/>
      <c r="AX296" s="6"/>
      <c r="AY296" s="6"/>
      <c r="BA296" s="1"/>
      <c r="BB296" s="6"/>
      <c r="BC296" s="6"/>
      <c r="BD296" s="6"/>
      <c r="BE296" s="6"/>
      <c r="BF296" s="6"/>
      <c r="BG296" s="6"/>
      <c r="BH296" s="6"/>
      <c r="BI296" s="6"/>
      <c r="BJ296" s="6"/>
      <c r="BK296" s="6"/>
    </row>
    <row r="297" spans="14:63" x14ac:dyDescent="0.25">
      <c r="N297" s="26"/>
      <c r="O297" s="26"/>
      <c r="P297" s="26"/>
      <c r="Q297" s="26"/>
      <c r="R297" s="26"/>
      <c r="AL297" s="1"/>
      <c r="AT297" s="1"/>
      <c r="AU297" s="6"/>
      <c r="AV297" s="6"/>
      <c r="AW297" s="6"/>
      <c r="AX297" s="6"/>
      <c r="AY297" s="6"/>
      <c r="BA297" s="1"/>
      <c r="BB297" s="6"/>
      <c r="BC297" s="6"/>
      <c r="BD297" s="6"/>
      <c r="BE297" s="6"/>
      <c r="BF297" s="6"/>
      <c r="BG297" s="6"/>
      <c r="BH297" s="6"/>
      <c r="BI297" s="6"/>
      <c r="BJ297" s="6"/>
      <c r="BK297" s="6"/>
    </row>
    <row r="298" spans="14:63" x14ac:dyDescent="0.25">
      <c r="N298" s="26"/>
      <c r="O298" s="26"/>
      <c r="P298" s="26"/>
      <c r="Q298" s="26"/>
      <c r="R298" s="26"/>
      <c r="AL298" s="1"/>
      <c r="AT298" s="1"/>
      <c r="AU298" s="6"/>
      <c r="AV298" s="6"/>
      <c r="AW298" s="6"/>
      <c r="AX298" s="6"/>
      <c r="AY298" s="6"/>
      <c r="BA298" s="1"/>
      <c r="BB298" s="6"/>
      <c r="BC298" s="6"/>
      <c r="BD298" s="6"/>
      <c r="BE298" s="6"/>
      <c r="BF298" s="6"/>
      <c r="BG298" s="6"/>
      <c r="BH298" s="6"/>
      <c r="BI298" s="6"/>
      <c r="BJ298" s="6"/>
      <c r="BK298" s="6"/>
    </row>
    <row r="299" spans="14:63" x14ac:dyDescent="0.25">
      <c r="N299" s="26"/>
      <c r="O299" s="26"/>
      <c r="P299" s="26"/>
      <c r="Q299" s="26"/>
      <c r="R299" s="26"/>
      <c r="AL299" s="1"/>
      <c r="AT299" s="1"/>
      <c r="AU299" s="6"/>
      <c r="AV299" s="6"/>
      <c r="AW299" s="6"/>
      <c r="AX299" s="6"/>
      <c r="AY299" s="6"/>
      <c r="BA299" s="1"/>
      <c r="BB299" s="6"/>
      <c r="BC299" s="6"/>
      <c r="BD299" s="6"/>
      <c r="BE299" s="6"/>
      <c r="BF299" s="6"/>
      <c r="BG299" s="6"/>
      <c r="BH299" s="6"/>
      <c r="BI299" s="6"/>
      <c r="BJ299" s="6"/>
      <c r="BK299" s="6"/>
    </row>
    <row r="300" spans="14:63" x14ac:dyDescent="0.25">
      <c r="N300" s="26"/>
      <c r="O300" s="26"/>
      <c r="P300" s="26"/>
      <c r="Q300" s="26"/>
      <c r="R300" s="26"/>
      <c r="AL300" s="1"/>
      <c r="AT300" s="1"/>
      <c r="AU300" s="6"/>
      <c r="AV300" s="6"/>
      <c r="AW300" s="6"/>
      <c r="AX300" s="6"/>
      <c r="AY300" s="6"/>
      <c r="BA300" s="1"/>
      <c r="BB300" s="6"/>
      <c r="BC300" s="6"/>
      <c r="BD300" s="6"/>
      <c r="BE300" s="6"/>
      <c r="BF300" s="6"/>
      <c r="BG300" s="6"/>
      <c r="BH300" s="6"/>
      <c r="BI300" s="6"/>
      <c r="BJ300" s="6"/>
      <c r="BK300" s="6"/>
    </row>
    <row r="301" spans="14:63" x14ac:dyDescent="0.25">
      <c r="N301" s="26"/>
      <c r="O301" s="26"/>
      <c r="P301" s="26"/>
      <c r="Q301" s="26"/>
      <c r="R301" s="26"/>
      <c r="AL301" s="1"/>
      <c r="AT301" s="1"/>
      <c r="AU301" s="6"/>
      <c r="AV301" s="6"/>
      <c r="AW301" s="6"/>
      <c r="AX301" s="6"/>
      <c r="AY301" s="6"/>
      <c r="BA301" s="1"/>
      <c r="BB301" s="6"/>
      <c r="BC301" s="6"/>
      <c r="BD301" s="6"/>
      <c r="BE301" s="6"/>
      <c r="BF301" s="6"/>
      <c r="BG301" s="6"/>
      <c r="BH301" s="6"/>
      <c r="BI301" s="6"/>
      <c r="BJ301" s="6"/>
      <c r="BK301" s="6"/>
    </row>
    <row r="302" spans="14:63" x14ac:dyDescent="0.25">
      <c r="N302" s="26"/>
      <c r="O302" s="26"/>
      <c r="P302" s="26"/>
      <c r="Q302" s="26"/>
      <c r="R302" s="26"/>
      <c r="AL302" s="1"/>
      <c r="AT302" s="1"/>
      <c r="AU302" s="6"/>
      <c r="AV302" s="6"/>
      <c r="AW302" s="6"/>
      <c r="AX302" s="6"/>
      <c r="AY302" s="6"/>
      <c r="BA302" s="1"/>
      <c r="BB302" s="6"/>
      <c r="BC302" s="6"/>
      <c r="BD302" s="6"/>
      <c r="BE302" s="6"/>
      <c r="BF302" s="6"/>
      <c r="BG302" s="6"/>
      <c r="BH302" s="6"/>
      <c r="BI302" s="6"/>
      <c r="BJ302" s="6"/>
      <c r="BK302" s="6"/>
    </row>
    <row r="303" spans="14:63" x14ac:dyDescent="0.25">
      <c r="N303" s="26"/>
      <c r="O303" s="26"/>
      <c r="P303" s="26"/>
      <c r="Q303" s="26"/>
      <c r="R303" s="26"/>
      <c r="AL303" s="1"/>
      <c r="AT303" s="1"/>
      <c r="AU303" s="6"/>
      <c r="AV303" s="6"/>
      <c r="AW303" s="6"/>
      <c r="AX303" s="6"/>
      <c r="AY303" s="6"/>
      <c r="BA303" s="1"/>
      <c r="BB303" s="6"/>
      <c r="BC303" s="6"/>
      <c r="BD303" s="6"/>
      <c r="BE303" s="6"/>
      <c r="BF303" s="6"/>
      <c r="BG303" s="6"/>
      <c r="BH303" s="6"/>
      <c r="BI303" s="6"/>
      <c r="BJ303" s="6"/>
      <c r="BK303" s="6"/>
    </row>
    <row r="304" spans="14:63" x14ac:dyDescent="0.25">
      <c r="N304" s="26"/>
      <c r="O304" s="26"/>
      <c r="P304" s="26"/>
      <c r="Q304" s="26"/>
      <c r="R304" s="26"/>
      <c r="AL304" s="1"/>
      <c r="AT304" s="1"/>
      <c r="AU304" s="6"/>
      <c r="AV304" s="6"/>
      <c r="AW304" s="6"/>
      <c r="AX304" s="6"/>
      <c r="AY304" s="6"/>
      <c r="BA304" s="1"/>
      <c r="BB304" s="6"/>
      <c r="BC304" s="6"/>
      <c r="BD304" s="6"/>
      <c r="BE304" s="6"/>
      <c r="BF304" s="6"/>
      <c r="BG304" s="6"/>
      <c r="BH304" s="6"/>
      <c r="BI304" s="6"/>
      <c r="BJ304" s="6"/>
      <c r="BK304" s="6"/>
    </row>
    <row r="305" spans="14:63" x14ac:dyDescent="0.25">
      <c r="N305" s="26"/>
      <c r="O305" s="26"/>
      <c r="P305" s="26"/>
      <c r="Q305" s="26"/>
      <c r="R305" s="26"/>
      <c r="AL305" s="1"/>
      <c r="AT305" s="1"/>
      <c r="AU305" s="6"/>
      <c r="AV305" s="6"/>
      <c r="AW305" s="6"/>
      <c r="AX305" s="6"/>
      <c r="AY305" s="6"/>
      <c r="BA305" s="1"/>
      <c r="BB305" s="6"/>
      <c r="BC305" s="6"/>
      <c r="BD305" s="6"/>
      <c r="BE305" s="6"/>
      <c r="BF305" s="6"/>
      <c r="BG305" s="6"/>
      <c r="BH305" s="6"/>
      <c r="BI305" s="6"/>
      <c r="BJ305" s="6"/>
      <c r="BK305" s="6"/>
    </row>
    <row r="306" spans="14:63" x14ac:dyDescent="0.25">
      <c r="N306" s="26"/>
      <c r="O306" s="26"/>
      <c r="P306" s="26"/>
      <c r="Q306" s="26"/>
      <c r="R306" s="26"/>
      <c r="AL306" s="1"/>
      <c r="AT306" s="1"/>
      <c r="AU306" s="6"/>
      <c r="AV306" s="6"/>
      <c r="AW306" s="6"/>
      <c r="AX306" s="6"/>
      <c r="AY306" s="6"/>
      <c r="BA306" s="1"/>
      <c r="BB306" s="6"/>
      <c r="BC306" s="6"/>
      <c r="BD306" s="6"/>
      <c r="BE306" s="6"/>
      <c r="BF306" s="6"/>
      <c r="BG306" s="6"/>
      <c r="BH306" s="6"/>
      <c r="BI306" s="6"/>
      <c r="BJ306" s="6"/>
      <c r="BK306" s="6"/>
    </row>
    <row r="307" spans="14:63" x14ac:dyDescent="0.25">
      <c r="N307" s="26"/>
      <c r="O307" s="26"/>
      <c r="P307" s="26"/>
      <c r="Q307" s="26"/>
      <c r="R307" s="26"/>
      <c r="AL307" s="1"/>
      <c r="AT307" s="1"/>
      <c r="AU307" s="6"/>
      <c r="AV307" s="6"/>
      <c r="AW307" s="6"/>
      <c r="AX307" s="6"/>
      <c r="AY307" s="6"/>
      <c r="BA307" s="1"/>
      <c r="BB307" s="6"/>
      <c r="BC307" s="6"/>
      <c r="BD307" s="6"/>
      <c r="BE307" s="6"/>
      <c r="BF307" s="6"/>
      <c r="BG307" s="6"/>
      <c r="BH307" s="6"/>
      <c r="BI307" s="6"/>
      <c r="BJ307" s="6"/>
      <c r="BK307" s="6"/>
    </row>
    <row r="308" spans="14:63" x14ac:dyDescent="0.25">
      <c r="N308" s="26"/>
      <c r="O308" s="26"/>
      <c r="P308" s="26"/>
      <c r="Q308" s="26"/>
      <c r="R308" s="26"/>
      <c r="AL308" s="1"/>
      <c r="AT308" s="1"/>
      <c r="AU308" s="6"/>
      <c r="AV308" s="6"/>
      <c r="AW308" s="6"/>
      <c r="AX308" s="6"/>
      <c r="AY308" s="6"/>
      <c r="BA308" s="1"/>
      <c r="BB308" s="6"/>
      <c r="BC308" s="6"/>
      <c r="BD308" s="6"/>
      <c r="BE308" s="6"/>
      <c r="BF308" s="6"/>
      <c r="BG308" s="6"/>
      <c r="BH308" s="6"/>
      <c r="BI308" s="6"/>
      <c r="BJ308" s="6"/>
      <c r="BK308" s="6"/>
    </row>
    <row r="309" spans="14:63" x14ac:dyDescent="0.25">
      <c r="N309" s="26"/>
      <c r="O309" s="26"/>
      <c r="P309" s="26"/>
      <c r="Q309" s="26"/>
      <c r="R309" s="26"/>
      <c r="AL309" s="1"/>
      <c r="AT309" s="1"/>
      <c r="AU309" s="6"/>
      <c r="AV309" s="6"/>
      <c r="AW309" s="6"/>
      <c r="AX309" s="6"/>
      <c r="AY309" s="6"/>
      <c r="BA309" s="1"/>
      <c r="BB309" s="6"/>
      <c r="BC309" s="6"/>
      <c r="BD309" s="6"/>
      <c r="BE309" s="6"/>
      <c r="BF309" s="6"/>
      <c r="BG309" s="6"/>
      <c r="BH309" s="6"/>
      <c r="BI309" s="6"/>
      <c r="BJ309" s="6"/>
      <c r="BK309" s="6"/>
    </row>
    <row r="310" spans="14:63" x14ac:dyDescent="0.25">
      <c r="N310" s="26"/>
      <c r="O310" s="26"/>
      <c r="P310" s="26"/>
      <c r="Q310" s="26"/>
      <c r="R310" s="26"/>
      <c r="AL310" s="1"/>
      <c r="AT310" s="1"/>
      <c r="AU310" s="6"/>
      <c r="AV310" s="6"/>
      <c r="AW310" s="6"/>
      <c r="AX310" s="6"/>
      <c r="AY310" s="6"/>
      <c r="BA310" s="1"/>
      <c r="BB310" s="6"/>
      <c r="BC310" s="6"/>
      <c r="BD310" s="6"/>
      <c r="BE310" s="6"/>
      <c r="BF310" s="6"/>
      <c r="BG310" s="6"/>
      <c r="BH310" s="6"/>
      <c r="BI310" s="6"/>
      <c r="BJ310" s="6"/>
      <c r="BK310" s="6"/>
    </row>
    <row r="311" spans="14:63" x14ac:dyDescent="0.25">
      <c r="N311" s="26"/>
      <c r="O311" s="26"/>
      <c r="P311" s="26"/>
      <c r="Q311" s="26"/>
      <c r="R311" s="26"/>
      <c r="AL311" s="1"/>
      <c r="AT311" s="1"/>
      <c r="AU311" s="6"/>
      <c r="AV311" s="6"/>
      <c r="AW311" s="6"/>
      <c r="AX311" s="6"/>
      <c r="AY311" s="6"/>
      <c r="BA311" s="1"/>
      <c r="BB311" s="6"/>
      <c r="BC311" s="6"/>
      <c r="BD311" s="6"/>
      <c r="BE311" s="6"/>
      <c r="BF311" s="6"/>
      <c r="BG311" s="6"/>
      <c r="BH311" s="6"/>
      <c r="BI311" s="6"/>
      <c r="BJ311" s="6"/>
      <c r="BK311" s="6"/>
    </row>
    <row r="312" spans="14:63" x14ac:dyDescent="0.25">
      <c r="N312" s="26"/>
      <c r="O312" s="26"/>
      <c r="P312" s="26"/>
      <c r="Q312" s="26"/>
      <c r="R312" s="26"/>
      <c r="AL312" s="1"/>
      <c r="AT312" s="1"/>
      <c r="AU312" s="6"/>
      <c r="AV312" s="6"/>
      <c r="AW312" s="6"/>
      <c r="AX312" s="6"/>
      <c r="AY312" s="6"/>
      <c r="BA312" s="1"/>
      <c r="BB312" s="6"/>
      <c r="BC312" s="6"/>
      <c r="BD312" s="6"/>
      <c r="BE312" s="6"/>
      <c r="BF312" s="6"/>
      <c r="BG312" s="6"/>
      <c r="BH312" s="6"/>
      <c r="BI312" s="6"/>
      <c r="BJ312" s="6"/>
      <c r="BK312" s="6"/>
    </row>
    <row r="313" spans="14:63" x14ac:dyDescent="0.25">
      <c r="N313" s="26"/>
      <c r="O313" s="26"/>
      <c r="P313" s="26"/>
      <c r="Q313" s="26"/>
      <c r="R313" s="26"/>
      <c r="AL313" s="1"/>
      <c r="AT313" s="1"/>
      <c r="AU313" s="6"/>
      <c r="AV313" s="6"/>
      <c r="AW313" s="6"/>
      <c r="AX313" s="6"/>
      <c r="AY313" s="6"/>
      <c r="BA313" s="1"/>
      <c r="BB313" s="6"/>
      <c r="BC313" s="6"/>
      <c r="BD313" s="6"/>
      <c r="BE313" s="6"/>
      <c r="BF313" s="6"/>
      <c r="BG313" s="6"/>
      <c r="BH313" s="6"/>
      <c r="BI313" s="6"/>
      <c r="BJ313" s="6"/>
      <c r="BK313" s="6"/>
    </row>
    <row r="314" spans="14:63" x14ac:dyDescent="0.25">
      <c r="N314" s="26"/>
      <c r="O314" s="26"/>
      <c r="P314" s="26"/>
      <c r="Q314" s="26"/>
      <c r="R314" s="26"/>
      <c r="AL314" s="1"/>
      <c r="AT314" s="1"/>
      <c r="AU314" s="6"/>
      <c r="AV314" s="6"/>
      <c r="AW314" s="6"/>
      <c r="AX314" s="6"/>
      <c r="AY314" s="6"/>
      <c r="BA314" s="1"/>
      <c r="BB314" s="6"/>
      <c r="BC314" s="6"/>
      <c r="BD314" s="6"/>
      <c r="BE314" s="6"/>
      <c r="BF314" s="6"/>
      <c r="BG314" s="6"/>
      <c r="BH314" s="6"/>
      <c r="BI314" s="6"/>
      <c r="BJ314" s="6"/>
      <c r="BK314" s="6"/>
    </row>
    <row r="315" spans="14:63" x14ac:dyDescent="0.25">
      <c r="N315" s="26"/>
      <c r="O315" s="26"/>
      <c r="P315" s="26"/>
      <c r="Q315" s="26"/>
      <c r="R315" s="26"/>
      <c r="AL315" s="1"/>
      <c r="AT315" s="1"/>
      <c r="AU315" s="6"/>
      <c r="AV315" s="6"/>
      <c r="AW315" s="6"/>
      <c r="AX315" s="6"/>
      <c r="AY315" s="6"/>
      <c r="BA315" s="1"/>
      <c r="BB315" s="6"/>
      <c r="BC315" s="6"/>
      <c r="BD315" s="6"/>
      <c r="BE315" s="6"/>
      <c r="BF315" s="6"/>
      <c r="BG315" s="6"/>
      <c r="BH315" s="6"/>
      <c r="BI315" s="6"/>
      <c r="BJ315" s="6"/>
      <c r="BK315" s="6"/>
    </row>
    <row r="316" spans="14:63" x14ac:dyDescent="0.25">
      <c r="N316" s="26"/>
      <c r="O316" s="26"/>
      <c r="P316" s="26"/>
      <c r="Q316" s="26"/>
      <c r="R316" s="26"/>
      <c r="AL316" s="1"/>
      <c r="AT316" s="1"/>
      <c r="AU316" s="6"/>
      <c r="AV316" s="6"/>
      <c r="AW316" s="6"/>
      <c r="AX316" s="6"/>
      <c r="AY316" s="6"/>
      <c r="BA316" s="1"/>
      <c r="BB316" s="6"/>
      <c r="BC316" s="6"/>
      <c r="BD316" s="6"/>
      <c r="BE316" s="6"/>
      <c r="BF316" s="6"/>
      <c r="BG316" s="6"/>
      <c r="BH316" s="6"/>
      <c r="BI316" s="6"/>
      <c r="BJ316" s="6"/>
      <c r="BK316" s="6"/>
    </row>
    <row r="317" spans="14:63" x14ac:dyDescent="0.25">
      <c r="N317" s="26"/>
      <c r="O317" s="26"/>
      <c r="P317" s="26"/>
      <c r="Q317" s="26"/>
      <c r="R317" s="26"/>
      <c r="AL317" s="1"/>
      <c r="AT317" s="1"/>
      <c r="AU317" s="6"/>
      <c r="AV317" s="6"/>
      <c r="AW317" s="6"/>
      <c r="AX317" s="6"/>
      <c r="AY317" s="6"/>
      <c r="BA317" s="1"/>
      <c r="BB317" s="6"/>
      <c r="BC317" s="6"/>
      <c r="BD317" s="6"/>
      <c r="BE317" s="6"/>
      <c r="BF317" s="6"/>
      <c r="BG317" s="6"/>
      <c r="BH317" s="6"/>
      <c r="BI317" s="6"/>
      <c r="BJ317" s="6"/>
      <c r="BK317" s="6"/>
    </row>
    <row r="318" spans="14:63" x14ac:dyDescent="0.25">
      <c r="N318" s="26"/>
      <c r="O318" s="26"/>
      <c r="P318" s="26"/>
      <c r="Q318" s="26"/>
      <c r="R318" s="26"/>
      <c r="AL318" s="1"/>
      <c r="AT318" s="1"/>
      <c r="AU318" s="6"/>
      <c r="AV318" s="6"/>
      <c r="AW318" s="6"/>
      <c r="AX318" s="6"/>
      <c r="AY318" s="6"/>
      <c r="BA318" s="1"/>
      <c r="BB318" s="6"/>
      <c r="BC318" s="6"/>
      <c r="BD318" s="6"/>
      <c r="BE318" s="6"/>
      <c r="BF318" s="6"/>
      <c r="BG318" s="6"/>
      <c r="BH318" s="6"/>
      <c r="BI318" s="6"/>
      <c r="BJ318" s="6"/>
      <c r="BK318" s="6"/>
    </row>
    <row r="319" spans="14:63" x14ac:dyDescent="0.25">
      <c r="N319" s="26"/>
      <c r="O319" s="26"/>
      <c r="P319" s="26"/>
      <c r="Q319" s="26"/>
      <c r="R319" s="26"/>
      <c r="AL319" s="1"/>
      <c r="AT319" s="1"/>
      <c r="AU319" s="6"/>
      <c r="AV319" s="6"/>
      <c r="AW319" s="6"/>
      <c r="AX319" s="6"/>
      <c r="AY319" s="6"/>
      <c r="BA319" s="1"/>
      <c r="BB319" s="6"/>
      <c r="BC319" s="6"/>
      <c r="BD319" s="6"/>
      <c r="BE319" s="6"/>
      <c r="BF319" s="6"/>
      <c r="BG319" s="6"/>
      <c r="BH319" s="6"/>
      <c r="BI319" s="6"/>
      <c r="BJ319" s="6"/>
      <c r="BK319" s="6"/>
    </row>
    <row r="320" spans="14:63" x14ac:dyDescent="0.25">
      <c r="N320" s="26"/>
      <c r="O320" s="26"/>
      <c r="P320" s="26"/>
      <c r="Q320" s="26"/>
      <c r="R320" s="26"/>
      <c r="AL320" s="1"/>
      <c r="AT320" s="1"/>
      <c r="AU320" s="6"/>
      <c r="AV320" s="6"/>
      <c r="AW320" s="6"/>
      <c r="AX320" s="6"/>
      <c r="AY320" s="6"/>
      <c r="BA320" s="1"/>
      <c r="BB320" s="6"/>
      <c r="BC320" s="6"/>
      <c r="BD320" s="6"/>
      <c r="BE320" s="6"/>
      <c r="BF320" s="6"/>
      <c r="BG320" s="6"/>
      <c r="BH320" s="6"/>
      <c r="BI320" s="6"/>
      <c r="BJ320" s="6"/>
      <c r="BK320" s="6"/>
    </row>
    <row r="321" spans="14:63" x14ac:dyDescent="0.25">
      <c r="N321" s="26"/>
      <c r="O321" s="26"/>
      <c r="P321" s="26"/>
      <c r="Q321" s="26"/>
      <c r="R321" s="26"/>
      <c r="AL321" s="1"/>
      <c r="AT321" s="1"/>
      <c r="AU321" s="6"/>
      <c r="AV321" s="6"/>
      <c r="AW321" s="6"/>
      <c r="AX321" s="6"/>
      <c r="AY321" s="6"/>
      <c r="BA321" s="1"/>
      <c r="BB321" s="6"/>
      <c r="BC321" s="6"/>
      <c r="BD321" s="6"/>
      <c r="BE321" s="6"/>
      <c r="BF321" s="6"/>
      <c r="BG321" s="6"/>
      <c r="BH321" s="6"/>
      <c r="BI321" s="6"/>
      <c r="BJ321" s="6"/>
      <c r="BK321" s="6"/>
    </row>
    <row r="322" spans="14:63" x14ac:dyDescent="0.25">
      <c r="N322" s="26"/>
      <c r="O322" s="26"/>
      <c r="P322" s="26"/>
      <c r="Q322" s="26"/>
      <c r="R322" s="26"/>
      <c r="AL322" s="1"/>
      <c r="AT322" s="1"/>
      <c r="AU322" s="6"/>
      <c r="AV322" s="6"/>
      <c r="AW322" s="6"/>
      <c r="AX322" s="6"/>
      <c r="AY322" s="6"/>
      <c r="BA322" s="1"/>
      <c r="BB322" s="6"/>
      <c r="BC322" s="6"/>
      <c r="BD322" s="6"/>
      <c r="BE322" s="6"/>
      <c r="BF322" s="6"/>
      <c r="BG322" s="6"/>
      <c r="BH322" s="6"/>
      <c r="BI322" s="6"/>
      <c r="BJ322" s="6"/>
      <c r="BK322" s="6"/>
    </row>
    <row r="323" spans="14:63" x14ac:dyDescent="0.25">
      <c r="N323" s="26"/>
      <c r="O323" s="26"/>
      <c r="P323" s="26"/>
      <c r="Q323" s="26"/>
      <c r="R323" s="26"/>
      <c r="AL323" s="1"/>
      <c r="AT323" s="1"/>
      <c r="AU323" s="6"/>
      <c r="AV323" s="6"/>
      <c r="AW323" s="6"/>
      <c r="AX323" s="6"/>
      <c r="AY323" s="6"/>
      <c r="BA323" s="1"/>
      <c r="BB323" s="6"/>
      <c r="BC323" s="6"/>
      <c r="BD323" s="6"/>
      <c r="BE323" s="6"/>
      <c r="BF323" s="6"/>
      <c r="BG323" s="6"/>
      <c r="BH323" s="6"/>
      <c r="BI323" s="6"/>
      <c r="BJ323" s="6"/>
      <c r="BK323" s="6"/>
    </row>
    <row r="324" spans="14:63" x14ac:dyDescent="0.25">
      <c r="N324" s="26"/>
      <c r="O324" s="26"/>
      <c r="P324" s="26"/>
      <c r="Q324" s="26"/>
      <c r="R324" s="26"/>
      <c r="AL324" s="1"/>
      <c r="AT324" s="1"/>
      <c r="AU324" s="6"/>
      <c r="AV324" s="6"/>
      <c r="AW324" s="6"/>
      <c r="AX324" s="6"/>
      <c r="AY324" s="6"/>
      <c r="BA324" s="1"/>
      <c r="BB324" s="6"/>
      <c r="BC324" s="6"/>
      <c r="BD324" s="6"/>
      <c r="BE324" s="6"/>
      <c r="BF324" s="6"/>
      <c r="BG324" s="6"/>
      <c r="BH324" s="6"/>
      <c r="BI324" s="6"/>
      <c r="BJ324" s="6"/>
      <c r="BK324" s="6"/>
    </row>
    <row r="325" spans="14:63" x14ac:dyDescent="0.25">
      <c r="N325" s="26"/>
      <c r="O325" s="26"/>
      <c r="P325" s="26"/>
      <c r="Q325" s="26"/>
      <c r="R325" s="26"/>
      <c r="AL325" s="1"/>
      <c r="AT325" s="1"/>
      <c r="AU325" s="6"/>
      <c r="AV325" s="6"/>
      <c r="AW325" s="6"/>
      <c r="AX325" s="6"/>
      <c r="AY325" s="6"/>
      <c r="BA325" s="1"/>
      <c r="BB325" s="6"/>
      <c r="BC325" s="6"/>
      <c r="BD325" s="6"/>
      <c r="BE325" s="6"/>
      <c r="BF325" s="6"/>
      <c r="BG325" s="6"/>
      <c r="BH325" s="6"/>
      <c r="BI325" s="6"/>
      <c r="BJ325" s="6"/>
      <c r="BK325" s="6"/>
    </row>
    <row r="326" spans="14:63" x14ac:dyDescent="0.25">
      <c r="N326" s="26"/>
      <c r="O326" s="26"/>
      <c r="P326" s="26"/>
      <c r="Q326" s="26"/>
      <c r="R326" s="26"/>
      <c r="AL326" s="1"/>
      <c r="AT326" s="1"/>
      <c r="AU326" s="6"/>
      <c r="AV326" s="6"/>
      <c r="AW326" s="6"/>
      <c r="AX326" s="6"/>
      <c r="AY326" s="6"/>
      <c r="BA326" s="1"/>
      <c r="BB326" s="6"/>
      <c r="BC326" s="6"/>
      <c r="BD326" s="6"/>
      <c r="BE326" s="6"/>
      <c r="BF326" s="6"/>
      <c r="BG326" s="6"/>
      <c r="BH326" s="6"/>
      <c r="BI326" s="6"/>
      <c r="BJ326" s="6"/>
      <c r="BK326" s="6"/>
    </row>
    <row r="327" spans="14:63" x14ac:dyDescent="0.25">
      <c r="N327" s="26"/>
      <c r="O327" s="26"/>
      <c r="P327" s="26"/>
      <c r="Q327" s="26"/>
      <c r="R327" s="26"/>
      <c r="AL327" s="1"/>
      <c r="AT327" s="1"/>
      <c r="AU327" s="6"/>
      <c r="AV327" s="6"/>
      <c r="AW327" s="6"/>
      <c r="AX327" s="6"/>
      <c r="AY327" s="6"/>
      <c r="BA327" s="1"/>
      <c r="BB327" s="6"/>
      <c r="BC327" s="6"/>
      <c r="BD327" s="6"/>
      <c r="BE327" s="6"/>
      <c r="BF327" s="6"/>
      <c r="BG327" s="6"/>
      <c r="BH327" s="6"/>
      <c r="BI327" s="6"/>
      <c r="BJ327" s="6"/>
      <c r="BK327" s="6"/>
    </row>
    <row r="328" spans="14:63" x14ac:dyDescent="0.25">
      <c r="N328" s="26"/>
      <c r="O328" s="26"/>
      <c r="P328" s="26"/>
      <c r="Q328" s="26"/>
      <c r="R328" s="26"/>
      <c r="AL328" s="1"/>
      <c r="AT328" s="1"/>
      <c r="AU328" s="6"/>
      <c r="AV328" s="6"/>
      <c r="AW328" s="6"/>
      <c r="AX328" s="6"/>
      <c r="AY328" s="6"/>
      <c r="BA328" s="1"/>
      <c r="BB328" s="6"/>
      <c r="BC328" s="6"/>
      <c r="BD328" s="6"/>
      <c r="BE328" s="6"/>
      <c r="BF328" s="6"/>
      <c r="BG328" s="6"/>
      <c r="BH328" s="6"/>
      <c r="BI328" s="6"/>
      <c r="BJ328" s="6"/>
      <c r="BK328" s="6"/>
    </row>
    <row r="329" spans="14:63" x14ac:dyDescent="0.25">
      <c r="N329" s="26"/>
      <c r="O329" s="26"/>
      <c r="P329" s="26"/>
      <c r="Q329" s="26"/>
      <c r="R329" s="26"/>
      <c r="AL329" s="1"/>
      <c r="AT329" s="1"/>
      <c r="AU329" s="6"/>
      <c r="AV329" s="6"/>
      <c r="AW329" s="6"/>
      <c r="AX329" s="6"/>
      <c r="AY329" s="6"/>
      <c r="BA329" s="1"/>
      <c r="BB329" s="6"/>
      <c r="BC329" s="6"/>
      <c r="BD329" s="6"/>
      <c r="BE329" s="6"/>
      <c r="BF329" s="6"/>
      <c r="BG329" s="6"/>
      <c r="BH329" s="6"/>
      <c r="BI329" s="6"/>
      <c r="BJ329" s="6"/>
      <c r="BK329" s="6"/>
    </row>
    <row r="330" spans="14:63" x14ac:dyDescent="0.25">
      <c r="N330" s="26"/>
      <c r="O330" s="26"/>
      <c r="P330" s="26"/>
      <c r="Q330" s="26"/>
      <c r="R330" s="26"/>
      <c r="AL330" s="1"/>
      <c r="AT330" s="1"/>
      <c r="AU330" s="6"/>
      <c r="AV330" s="6"/>
      <c r="AW330" s="6"/>
      <c r="AX330" s="6"/>
      <c r="AY330" s="6"/>
      <c r="BA330" s="1"/>
      <c r="BB330" s="6"/>
      <c r="BC330" s="6"/>
      <c r="BD330" s="6"/>
      <c r="BE330" s="6"/>
      <c r="BF330" s="6"/>
      <c r="BG330" s="6"/>
      <c r="BH330" s="6"/>
      <c r="BI330" s="6"/>
      <c r="BJ330" s="6"/>
      <c r="BK330" s="6"/>
    </row>
    <row r="331" spans="14:63" x14ac:dyDescent="0.25">
      <c r="N331" s="26"/>
      <c r="O331" s="26"/>
      <c r="P331" s="26"/>
      <c r="Q331" s="26"/>
      <c r="R331" s="26"/>
      <c r="AL331" s="1"/>
      <c r="AT331" s="1"/>
      <c r="AU331" s="6"/>
      <c r="AV331" s="6"/>
      <c r="AW331" s="6"/>
      <c r="AX331" s="6"/>
      <c r="AY331" s="6"/>
      <c r="BA331" s="1"/>
      <c r="BB331" s="6"/>
      <c r="BC331" s="6"/>
      <c r="BD331" s="6"/>
      <c r="BE331" s="6"/>
      <c r="BF331" s="6"/>
      <c r="BG331" s="6"/>
      <c r="BH331" s="6"/>
      <c r="BI331" s="6"/>
      <c r="BJ331" s="6"/>
      <c r="BK331" s="6"/>
    </row>
    <row r="332" spans="14:63" x14ac:dyDescent="0.25">
      <c r="N332" s="26"/>
      <c r="O332" s="26"/>
      <c r="P332" s="26"/>
      <c r="Q332" s="26"/>
      <c r="R332" s="26"/>
      <c r="AL332" s="1"/>
      <c r="AT332" s="1"/>
      <c r="AU332" s="6"/>
      <c r="AV332" s="6"/>
      <c r="AW332" s="6"/>
      <c r="AX332" s="6"/>
      <c r="AY332" s="6"/>
      <c r="BA332" s="1"/>
      <c r="BB332" s="6"/>
      <c r="BC332" s="6"/>
      <c r="BD332" s="6"/>
      <c r="BE332" s="6"/>
      <c r="BF332" s="6"/>
      <c r="BG332" s="6"/>
      <c r="BH332" s="6"/>
      <c r="BI332" s="6"/>
      <c r="BJ332" s="6"/>
      <c r="BK332" s="6"/>
    </row>
    <row r="333" spans="14:63" x14ac:dyDescent="0.25">
      <c r="N333" s="26"/>
      <c r="O333" s="26"/>
      <c r="P333" s="26"/>
      <c r="Q333" s="26"/>
      <c r="R333" s="26"/>
      <c r="AL333" s="1"/>
      <c r="AT333" s="1"/>
      <c r="AU333" s="6"/>
      <c r="AV333" s="6"/>
      <c r="AW333" s="6"/>
      <c r="AX333" s="6"/>
      <c r="AY333" s="6"/>
      <c r="BA333" s="1"/>
      <c r="BB333" s="6"/>
      <c r="BC333" s="6"/>
      <c r="BD333" s="6"/>
      <c r="BE333" s="6"/>
      <c r="BF333" s="6"/>
      <c r="BG333" s="6"/>
      <c r="BH333" s="6"/>
      <c r="BI333" s="6"/>
      <c r="BJ333" s="6"/>
      <c r="BK333" s="6"/>
    </row>
    <row r="334" spans="14:63" x14ac:dyDescent="0.25">
      <c r="N334" s="26"/>
      <c r="O334" s="26"/>
      <c r="P334" s="26"/>
      <c r="Q334" s="26"/>
      <c r="R334" s="26"/>
      <c r="AL334" s="1"/>
      <c r="AT334" s="1"/>
      <c r="AU334" s="6"/>
      <c r="AV334" s="6"/>
      <c r="AW334" s="6"/>
      <c r="AX334" s="6"/>
      <c r="AY334" s="6"/>
      <c r="BA334" s="1"/>
      <c r="BB334" s="6"/>
      <c r="BC334" s="6"/>
      <c r="BD334" s="6"/>
      <c r="BE334" s="6"/>
      <c r="BF334" s="6"/>
      <c r="BG334" s="6"/>
      <c r="BH334" s="6"/>
      <c r="BI334" s="6"/>
      <c r="BJ334" s="6"/>
      <c r="BK334" s="6"/>
    </row>
    <row r="335" spans="14:63" x14ac:dyDescent="0.25">
      <c r="N335" s="26"/>
      <c r="O335" s="26"/>
      <c r="P335" s="26"/>
      <c r="Q335" s="26"/>
      <c r="R335" s="26"/>
      <c r="AL335" s="1"/>
      <c r="AT335" s="1"/>
      <c r="AU335" s="6"/>
      <c r="AV335" s="6"/>
      <c r="AW335" s="6"/>
      <c r="AX335" s="6"/>
      <c r="AY335" s="6"/>
      <c r="BA335" s="1"/>
      <c r="BB335" s="6"/>
      <c r="BC335" s="6"/>
      <c r="BD335" s="6"/>
      <c r="BE335" s="6"/>
      <c r="BF335" s="6"/>
      <c r="BG335" s="6"/>
      <c r="BH335" s="6"/>
      <c r="BI335" s="6"/>
      <c r="BJ335" s="6"/>
      <c r="BK335" s="6"/>
    </row>
    <row r="336" spans="14:63" x14ac:dyDescent="0.25">
      <c r="N336" s="26"/>
      <c r="O336" s="26"/>
      <c r="P336" s="26"/>
      <c r="Q336" s="26"/>
      <c r="R336" s="26"/>
      <c r="AL336" s="1"/>
      <c r="AT336" s="1"/>
      <c r="AU336" s="6"/>
      <c r="AV336" s="6"/>
      <c r="AW336" s="6"/>
      <c r="AX336" s="6"/>
      <c r="AY336" s="6"/>
      <c r="BA336" s="1"/>
      <c r="BB336" s="6"/>
      <c r="BC336" s="6"/>
      <c r="BD336" s="6"/>
      <c r="BE336" s="6"/>
      <c r="BF336" s="6"/>
      <c r="BG336" s="6"/>
      <c r="BH336" s="6"/>
      <c r="BI336" s="6"/>
      <c r="BJ336" s="6"/>
      <c r="BK336" s="6"/>
    </row>
    <row r="337" spans="14:63" x14ac:dyDescent="0.25">
      <c r="N337" s="26"/>
      <c r="O337" s="26"/>
      <c r="P337" s="26"/>
      <c r="Q337" s="26"/>
      <c r="R337" s="26"/>
      <c r="AL337" s="1"/>
      <c r="AT337" s="1"/>
      <c r="AU337" s="6"/>
      <c r="AV337" s="6"/>
      <c r="AW337" s="6"/>
      <c r="AX337" s="6"/>
      <c r="AY337" s="6"/>
      <c r="BA337" s="1"/>
      <c r="BB337" s="6"/>
      <c r="BC337" s="6"/>
      <c r="BD337" s="6"/>
      <c r="BE337" s="6"/>
      <c r="BF337" s="6"/>
      <c r="BG337" s="6"/>
      <c r="BH337" s="6"/>
      <c r="BI337" s="6"/>
      <c r="BJ337" s="6"/>
      <c r="BK337" s="6"/>
    </row>
    <row r="338" spans="14:63" x14ac:dyDescent="0.25">
      <c r="N338" s="26"/>
      <c r="O338" s="26"/>
      <c r="P338" s="26"/>
      <c r="Q338" s="26"/>
      <c r="R338" s="26"/>
      <c r="AL338" s="1"/>
      <c r="AT338" s="1"/>
      <c r="AU338" s="6"/>
      <c r="AV338" s="6"/>
      <c r="AW338" s="6"/>
      <c r="AX338" s="6"/>
      <c r="AY338" s="6"/>
      <c r="BA338" s="1"/>
      <c r="BB338" s="6"/>
      <c r="BC338" s="6"/>
      <c r="BD338" s="6"/>
      <c r="BE338" s="6"/>
      <c r="BF338" s="6"/>
      <c r="BG338" s="6"/>
      <c r="BH338" s="6"/>
      <c r="BI338" s="6"/>
      <c r="BJ338" s="6"/>
      <c r="BK338" s="6"/>
    </row>
    <row r="339" spans="14:63" x14ac:dyDescent="0.25">
      <c r="N339" s="26"/>
      <c r="O339" s="26"/>
      <c r="P339" s="26"/>
      <c r="Q339" s="26"/>
      <c r="R339" s="26"/>
      <c r="AL339" s="1"/>
      <c r="AT339" s="1"/>
      <c r="AU339" s="6"/>
      <c r="AV339" s="6"/>
      <c r="AW339" s="6"/>
      <c r="AX339" s="6"/>
      <c r="AY339" s="6"/>
      <c r="BA339" s="1"/>
      <c r="BB339" s="6"/>
      <c r="BC339" s="6"/>
      <c r="BD339" s="6"/>
      <c r="BE339" s="6"/>
      <c r="BF339" s="6"/>
      <c r="BG339" s="6"/>
      <c r="BH339" s="6"/>
      <c r="BI339" s="6"/>
      <c r="BJ339" s="6"/>
      <c r="BK339" s="6"/>
    </row>
    <row r="340" spans="14:63" x14ac:dyDescent="0.25">
      <c r="N340" s="26"/>
      <c r="O340" s="26"/>
      <c r="P340" s="26"/>
      <c r="Q340" s="26"/>
      <c r="R340" s="26"/>
      <c r="AL340" s="1"/>
      <c r="AT340" s="1"/>
      <c r="AU340" s="6"/>
      <c r="AV340" s="6"/>
      <c r="AW340" s="6"/>
      <c r="AX340" s="6"/>
      <c r="AY340" s="6"/>
      <c r="BA340" s="1"/>
      <c r="BB340" s="6"/>
      <c r="BC340" s="6"/>
      <c r="BD340" s="6"/>
      <c r="BE340" s="6"/>
      <c r="BF340" s="6"/>
      <c r="BG340" s="6"/>
      <c r="BH340" s="6"/>
      <c r="BI340" s="6"/>
      <c r="BJ340" s="6"/>
      <c r="BK340" s="6"/>
    </row>
    <row r="341" spans="14:63" x14ac:dyDescent="0.25">
      <c r="N341" s="26"/>
      <c r="O341" s="26"/>
      <c r="P341" s="26"/>
      <c r="Q341" s="26"/>
      <c r="R341" s="26"/>
      <c r="AL341" s="1"/>
      <c r="AT341" s="1"/>
      <c r="AU341" s="6"/>
      <c r="AV341" s="6"/>
      <c r="AW341" s="6"/>
      <c r="AX341" s="6"/>
      <c r="AY341" s="6"/>
      <c r="BA341" s="1"/>
      <c r="BB341" s="6"/>
      <c r="BC341" s="6"/>
      <c r="BD341" s="6"/>
      <c r="BE341" s="6"/>
      <c r="BF341" s="6"/>
      <c r="BG341" s="6"/>
      <c r="BH341" s="6"/>
      <c r="BI341" s="6"/>
      <c r="BJ341" s="6"/>
      <c r="BK341" s="6"/>
    </row>
    <row r="342" spans="14:63" x14ac:dyDescent="0.25">
      <c r="N342" s="26"/>
      <c r="O342" s="26"/>
      <c r="P342" s="26"/>
      <c r="Q342" s="26"/>
      <c r="R342" s="26"/>
      <c r="AL342" s="1"/>
      <c r="AT342" s="1"/>
      <c r="AU342" s="6"/>
      <c r="AV342" s="6"/>
      <c r="AW342" s="6"/>
      <c r="AX342" s="6"/>
      <c r="AY342" s="6"/>
      <c r="BA342" s="1"/>
      <c r="BB342" s="6"/>
      <c r="BC342" s="6"/>
      <c r="BD342" s="6"/>
      <c r="BE342" s="6"/>
      <c r="BF342" s="6"/>
      <c r="BG342" s="6"/>
      <c r="BH342" s="6"/>
      <c r="BI342" s="6"/>
      <c r="BJ342" s="6"/>
      <c r="BK342" s="6"/>
    </row>
    <row r="343" spans="14:63" x14ac:dyDescent="0.25">
      <c r="N343" s="26"/>
      <c r="O343" s="26"/>
      <c r="P343" s="26"/>
      <c r="Q343" s="26"/>
      <c r="R343" s="26"/>
      <c r="AL343" s="1"/>
      <c r="AT343" s="1"/>
      <c r="AU343" s="6"/>
      <c r="AV343" s="6"/>
      <c r="AW343" s="6"/>
      <c r="AX343" s="6"/>
      <c r="AY343" s="6"/>
      <c r="BA343" s="1"/>
      <c r="BB343" s="6"/>
      <c r="BC343" s="6"/>
      <c r="BD343" s="6"/>
      <c r="BE343" s="6"/>
      <c r="BF343" s="6"/>
      <c r="BG343" s="6"/>
      <c r="BH343" s="6"/>
      <c r="BI343" s="6"/>
      <c r="BJ343" s="6"/>
      <c r="BK343" s="6"/>
    </row>
    <row r="344" spans="14:63" x14ac:dyDescent="0.25">
      <c r="N344" s="26"/>
      <c r="O344" s="26"/>
      <c r="P344" s="26"/>
      <c r="Q344" s="26"/>
      <c r="R344" s="26"/>
      <c r="AL344" s="1"/>
      <c r="AT344" s="1"/>
      <c r="AU344" s="6"/>
      <c r="AV344" s="6"/>
      <c r="AW344" s="6"/>
      <c r="AX344" s="6"/>
      <c r="AY344" s="6"/>
      <c r="BA344" s="1"/>
      <c r="BB344" s="6"/>
      <c r="BC344" s="6"/>
      <c r="BD344" s="6"/>
      <c r="BE344" s="6"/>
      <c r="BF344" s="6"/>
      <c r="BG344" s="6"/>
      <c r="BH344" s="6"/>
      <c r="BI344" s="6"/>
      <c r="BJ344" s="6"/>
      <c r="BK344" s="6"/>
    </row>
    <row r="345" spans="14:63" x14ac:dyDescent="0.25">
      <c r="N345" s="26"/>
      <c r="O345" s="26"/>
      <c r="P345" s="26"/>
      <c r="Q345" s="26"/>
      <c r="R345" s="26"/>
      <c r="AL345" s="1"/>
      <c r="AT345" s="1"/>
      <c r="AU345" s="6"/>
      <c r="AV345" s="6"/>
      <c r="AW345" s="6"/>
      <c r="AX345" s="6"/>
      <c r="AY345" s="6"/>
      <c r="BA345" s="1"/>
      <c r="BB345" s="6"/>
      <c r="BC345" s="6"/>
      <c r="BD345" s="6"/>
      <c r="BE345" s="6"/>
      <c r="BF345" s="6"/>
      <c r="BG345" s="6"/>
      <c r="BH345" s="6"/>
      <c r="BI345" s="6"/>
      <c r="BJ345" s="6"/>
      <c r="BK345" s="6"/>
    </row>
    <row r="346" spans="14:63" x14ac:dyDescent="0.25">
      <c r="N346" s="26"/>
      <c r="O346" s="26"/>
      <c r="P346" s="26"/>
      <c r="Q346" s="26"/>
      <c r="R346" s="26"/>
      <c r="AL346" s="1"/>
      <c r="AT346" s="1"/>
      <c r="AU346" s="6"/>
      <c r="AV346" s="6"/>
      <c r="AW346" s="6"/>
      <c r="AX346" s="6"/>
      <c r="AY346" s="6"/>
      <c r="BA346" s="1"/>
      <c r="BB346" s="6"/>
      <c r="BC346" s="6"/>
      <c r="BD346" s="6"/>
      <c r="BE346" s="6"/>
      <c r="BF346" s="6"/>
      <c r="BG346" s="6"/>
      <c r="BH346" s="6"/>
      <c r="BI346" s="6"/>
      <c r="BJ346" s="6"/>
      <c r="BK346" s="6"/>
    </row>
    <row r="347" spans="14:63" x14ac:dyDescent="0.25">
      <c r="N347" s="26"/>
      <c r="O347" s="26"/>
      <c r="P347" s="26"/>
      <c r="Q347" s="26"/>
      <c r="R347" s="26"/>
      <c r="AL347" s="1"/>
      <c r="AT347" s="1"/>
      <c r="AU347" s="6"/>
      <c r="AV347" s="6"/>
      <c r="AW347" s="6"/>
      <c r="AX347" s="6"/>
      <c r="AY347" s="6"/>
      <c r="BA347" s="1"/>
      <c r="BB347" s="6"/>
      <c r="BC347" s="6"/>
      <c r="BD347" s="6"/>
      <c r="BE347" s="6"/>
      <c r="BF347" s="6"/>
      <c r="BG347" s="6"/>
      <c r="BH347" s="6"/>
      <c r="BI347" s="6"/>
      <c r="BJ347" s="6"/>
      <c r="BK347" s="6"/>
    </row>
    <row r="348" spans="14:63" x14ac:dyDescent="0.25">
      <c r="N348" s="26"/>
      <c r="O348" s="26"/>
      <c r="P348" s="26"/>
      <c r="Q348" s="26"/>
      <c r="R348" s="26"/>
      <c r="AL348" s="1"/>
      <c r="AT348" s="1"/>
      <c r="AU348" s="6"/>
      <c r="AV348" s="6"/>
      <c r="AW348" s="6"/>
      <c r="AX348" s="6"/>
      <c r="AY348" s="6"/>
      <c r="BA348" s="1"/>
      <c r="BB348" s="6"/>
      <c r="BC348" s="6"/>
      <c r="BD348" s="6"/>
      <c r="BE348" s="6"/>
      <c r="BF348" s="6"/>
      <c r="BG348" s="6"/>
      <c r="BH348" s="6"/>
      <c r="BI348" s="6"/>
      <c r="BJ348" s="6"/>
      <c r="BK348" s="6"/>
    </row>
    <row r="349" spans="14:63" x14ac:dyDescent="0.25">
      <c r="N349" s="26"/>
      <c r="O349" s="26"/>
      <c r="P349" s="26"/>
      <c r="Q349" s="26"/>
      <c r="R349" s="26"/>
      <c r="AL349" s="1"/>
      <c r="AT349" s="1"/>
      <c r="AU349" s="6"/>
      <c r="AV349" s="6"/>
      <c r="AW349" s="6"/>
      <c r="AX349" s="6"/>
      <c r="AY349" s="6"/>
      <c r="BA349" s="1"/>
      <c r="BB349" s="6"/>
      <c r="BC349" s="6"/>
      <c r="BD349" s="6"/>
      <c r="BE349" s="6"/>
      <c r="BF349" s="6"/>
      <c r="BG349" s="6"/>
      <c r="BH349" s="6"/>
      <c r="BI349" s="6"/>
      <c r="BJ349" s="6"/>
      <c r="BK349" s="6"/>
    </row>
    <row r="350" spans="14:63" x14ac:dyDescent="0.25">
      <c r="N350" s="26"/>
      <c r="O350" s="26"/>
      <c r="P350" s="26"/>
      <c r="Q350" s="26"/>
      <c r="R350" s="26"/>
      <c r="AL350" s="1"/>
      <c r="AT350" s="1"/>
      <c r="AU350" s="6"/>
      <c r="AV350" s="6"/>
      <c r="AW350" s="6"/>
      <c r="AX350" s="6"/>
      <c r="AY350" s="6"/>
      <c r="BA350" s="1"/>
      <c r="BB350" s="6"/>
      <c r="BC350" s="6"/>
      <c r="BD350" s="6"/>
      <c r="BE350" s="6"/>
      <c r="BF350" s="6"/>
      <c r="BG350" s="6"/>
      <c r="BH350" s="6"/>
      <c r="BI350" s="6"/>
      <c r="BJ350" s="6"/>
      <c r="BK350" s="6"/>
    </row>
    <row r="351" spans="14:63" x14ac:dyDescent="0.25">
      <c r="N351" s="26"/>
      <c r="O351" s="26"/>
      <c r="P351" s="26"/>
      <c r="Q351" s="26"/>
      <c r="R351" s="26"/>
      <c r="AL351" s="1"/>
      <c r="AT351" s="1"/>
      <c r="AU351" s="6"/>
      <c r="AV351" s="6"/>
      <c r="AW351" s="6"/>
      <c r="AX351" s="6"/>
      <c r="AY351" s="6"/>
      <c r="BA351" s="1"/>
      <c r="BB351" s="6"/>
      <c r="BC351" s="6"/>
      <c r="BD351" s="6"/>
      <c r="BE351" s="6"/>
      <c r="BF351" s="6"/>
      <c r="BG351" s="6"/>
      <c r="BH351" s="6"/>
      <c r="BI351" s="6"/>
      <c r="BJ351" s="6"/>
      <c r="BK351" s="6"/>
    </row>
    <row r="352" spans="14:63" x14ac:dyDescent="0.25">
      <c r="N352" s="26"/>
      <c r="O352" s="26"/>
      <c r="P352" s="26"/>
      <c r="Q352" s="26"/>
      <c r="R352" s="26"/>
      <c r="AL352" s="1"/>
      <c r="AT352" s="1"/>
      <c r="AU352" s="6"/>
      <c r="AV352" s="6"/>
      <c r="AW352" s="6"/>
      <c r="AX352" s="6"/>
      <c r="AY352" s="6"/>
      <c r="BA352" s="1"/>
      <c r="BB352" s="6"/>
      <c r="BC352" s="6"/>
      <c r="BD352" s="6"/>
      <c r="BE352" s="6"/>
      <c r="BF352" s="6"/>
      <c r="BG352" s="6"/>
      <c r="BH352" s="6"/>
      <c r="BI352" s="6"/>
      <c r="BJ352" s="6"/>
      <c r="BK352" s="6"/>
    </row>
    <row r="353" spans="14:63" x14ac:dyDescent="0.25">
      <c r="N353" s="26"/>
      <c r="O353" s="26"/>
      <c r="P353" s="26"/>
      <c r="Q353" s="26"/>
      <c r="R353" s="26"/>
      <c r="AL353" s="1"/>
      <c r="AT353" s="1"/>
      <c r="AU353" s="6"/>
      <c r="AV353" s="6"/>
      <c r="AW353" s="6"/>
      <c r="AX353" s="6"/>
      <c r="AY353" s="6"/>
      <c r="BA353" s="1"/>
      <c r="BB353" s="6"/>
      <c r="BC353" s="6"/>
      <c r="BD353" s="6"/>
      <c r="BE353" s="6"/>
      <c r="BF353" s="6"/>
      <c r="BG353" s="6"/>
      <c r="BH353" s="6"/>
      <c r="BI353" s="6"/>
      <c r="BJ353" s="6"/>
      <c r="BK353" s="6"/>
    </row>
    <row r="354" spans="14:63" x14ac:dyDescent="0.25">
      <c r="N354" s="26"/>
      <c r="O354" s="26"/>
      <c r="P354" s="26"/>
      <c r="Q354" s="26"/>
      <c r="R354" s="26"/>
      <c r="AL354" s="1"/>
      <c r="AT354" s="1"/>
      <c r="AU354" s="6"/>
      <c r="AV354" s="6"/>
      <c r="AW354" s="6"/>
      <c r="AX354" s="6"/>
      <c r="AY354" s="6"/>
      <c r="BA354" s="1"/>
      <c r="BB354" s="6"/>
      <c r="BC354" s="6"/>
      <c r="BD354" s="6"/>
      <c r="BE354" s="6"/>
      <c r="BF354" s="6"/>
      <c r="BG354" s="6"/>
      <c r="BH354" s="6"/>
      <c r="BI354" s="6"/>
      <c r="BJ354" s="6"/>
      <c r="BK354" s="6"/>
    </row>
    <row r="355" spans="14:63" x14ac:dyDescent="0.25">
      <c r="N355" s="26"/>
      <c r="O355" s="26"/>
      <c r="P355" s="26"/>
      <c r="Q355" s="26"/>
      <c r="R355" s="26"/>
      <c r="AL355" s="1"/>
      <c r="AT355" s="1"/>
      <c r="AU355" s="6"/>
      <c r="AV355" s="6"/>
      <c r="AW355" s="6"/>
      <c r="AX355" s="6"/>
      <c r="AY355" s="6"/>
      <c r="BA355" s="1"/>
      <c r="BB355" s="6"/>
      <c r="BC355" s="6"/>
      <c r="BD355" s="6"/>
      <c r="BE355" s="6"/>
      <c r="BF355" s="6"/>
      <c r="BG355" s="6"/>
      <c r="BH355" s="6"/>
      <c r="BI355" s="6"/>
      <c r="BJ355" s="6"/>
      <c r="BK355" s="6"/>
    </row>
    <row r="356" spans="14:63" x14ac:dyDescent="0.25">
      <c r="N356" s="26"/>
      <c r="O356" s="26"/>
      <c r="P356" s="26"/>
      <c r="Q356" s="26"/>
      <c r="R356" s="26"/>
      <c r="AL356" s="1"/>
      <c r="AT356" s="1"/>
      <c r="AU356" s="6"/>
      <c r="AV356" s="6"/>
      <c r="AW356" s="6"/>
      <c r="AX356" s="6"/>
      <c r="AY356" s="6"/>
      <c r="BA356" s="1"/>
      <c r="BB356" s="6"/>
      <c r="BC356" s="6"/>
      <c r="BD356" s="6"/>
      <c r="BE356" s="6"/>
      <c r="BF356" s="6"/>
      <c r="BG356" s="6"/>
      <c r="BH356" s="6"/>
      <c r="BI356" s="6"/>
      <c r="BJ356" s="6"/>
      <c r="BK356" s="6"/>
    </row>
    <row r="357" spans="14:63" x14ac:dyDescent="0.25">
      <c r="N357" s="26"/>
      <c r="O357" s="26"/>
      <c r="P357" s="26"/>
      <c r="Q357" s="26"/>
      <c r="R357" s="26"/>
      <c r="AL357" s="1"/>
      <c r="AT357" s="1"/>
      <c r="AU357" s="6"/>
      <c r="AV357" s="6"/>
      <c r="AW357" s="6"/>
      <c r="AX357" s="6"/>
      <c r="AY357" s="6"/>
      <c r="BA357" s="1"/>
      <c r="BB357" s="6"/>
      <c r="BC357" s="6"/>
      <c r="BD357" s="6"/>
      <c r="BE357" s="6"/>
      <c r="BF357" s="6"/>
      <c r="BG357" s="6"/>
      <c r="BH357" s="6"/>
      <c r="BI357" s="6"/>
      <c r="BJ357" s="6"/>
      <c r="BK357" s="6"/>
    </row>
    <row r="358" spans="14:63" x14ac:dyDescent="0.25">
      <c r="N358" s="26"/>
      <c r="O358" s="26"/>
      <c r="P358" s="26"/>
      <c r="Q358" s="26"/>
      <c r="R358" s="26"/>
      <c r="AL358" s="1"/>
      <c r="AT358" s="1"/>
      <c r="AU358" s="6"/>
      <c r="AV358" s="6"/>
      <c r="AW358" s="6"/>
      <c r="AX358" s="6"/>
      <c r="AY358" s="6"/>
      <c r="BA358" s="1"/>
      <c r="BB358" s="6"/>
      <c r="BC358" s="6"/>
      <c r="BD358" s="6"/>
      <c r="BE358" s="6"/>
      <c r="BF358" s="6"/>
      <c r="BG358" s="6"/>
      <c r="BH358" s="6"/>
      <c r="BI358" s="6"/>
      <c r="BJ358" s="6"/>
      <c r="BK358" s="6"/>
    </row>
    <row r="359" spans="14:63" x14ac:dyDescent="0.25">
      <c r="N359" s="26"/>
      <c r="O359" s="26"/>
      <c r="P359" s="26"/>
      <c r="Q359" s="26"/>
      <c r="R359" s="26"/>
      <c r="AL359" s="1"/>
      <c r="AT359" s="1"/>
      <c r="AU359" s="6"/>
      <c r="AV359" s="6"/>
      <c r="AW359" s="6"/>
      <c r="AX359" s="6"/>
      <c r="AY359" s="6"/>
      <c r="BA359" s="1"/>
      <c r="BB359" s="6"/>
      <c r="BC359" s="6"/>
      <c r="BD359" s="6"/>
      <c r="BE359" s="6"/>
      <c r="BF359" s="6"/>
      <c r="BG359" s="6"/>
      <c r="BH359" s="6"/>
      <c r="BI359" s="6"/>
      <c r="BJ359" s="6"/>
      <c r="BK359" s="6"/>
    </row>
    <row r="360" spans="14:63" x14ac:dyDescent="0.25">
      <c r="N360" s="26"/>
      <c r="O360" s="26"/>
      <c r="P360" s="26"/>
      <c r="Q360" s="26"/>
      <c r="R360" s="26"/>
      <c r="AL360" s="1"/>
      <c r="AT360" s="1"/>
      <c r="AU360" s="6"/>
      <c r="AV360" s="6"/>
      <c r="AW360" s="6"/>
      <c r="AX360" s="6"/>
      <c r="AY360" s="6"/>
      <c r="BA360" s="1"/>
      <c r="BB360" s="6"/>
      <c r="BC360" s="6"/>
      <c r="BD360" s="6"/>
      <c r="BE360" s="6"/>
      <c r="BF360" s="6"/>
      <c r="BG360" s="6"/>
      <c r="BH360" s="6"/>
      <c r="BI360" s="6"/>
      <c r="BJ360" s="6"/>
      <c r="BK360" s="6"/>
    </row>
    <row r="361" spans="14:63" x14ac:dyDescent="0.25">
      <c r="N361" s="26"/>
      <c r="O361" s="26"/>
      <c r="P361" s="26"/>
      <c r="Q361" s="26"/>
      <c r="R361" s="26"/>
      <c r="AL361" s="1"/>
      <c r="AT361" s="1"/>
      <c r="AU361" s="6"/>
      <c r="AV361" s="6"/>
      <c r="AW361" s="6"/>
      <c r="AX361" s="6"/>
      <c r="AY361" s="6"/>
      <c r="BA361" s="1"/>
      <c r="BB361" s="6"/>
      <c r="BC361" s="6"/>
      <c r="BD361" s="6"/>
      <c r="BE361" s="6"/>
      <c r="BF361" s="6"/>
      <c r="BG361" s="6"/>
      <c r="BH361" s="6"/>
      <c r="BI361" s="6"/>
      <c r="BJ361" s="6"/>
      <c r="BK361" s="6"/>
    </row>
    <row r="362" spans="14:63" x14ac:dyDescent="0.25">
      <c r="N362" s="26"/>
      <c r="O362" s="26"/>
      <c r="P362" s="26"/>
      <c r="Q362" s="26"/>
      <c r="R362" s="26"/>
      <c r="AL362" s="1"/>
      <c r="AT362" s="1"/>
      <c r="AU362" s="6"/>
      <c r="AV362" s="6"/>
      <c r="AW362" s="6"/>
      <c r="AX362" s="6"/>
      <c r="AY362" s="6"/>
      <c r="BA362" s="1"/>
      <c r="BB362" s="6"/>
      <c r="BC362" s="6"/>
      <c r="BD362" s="6"/>
      <c r="BE362" s="6"/>
      <c r="BF362" s="6"/>
      <c r="BG362" s="6"/>
      <c r="BH362" s="6"/>
      <c r="BI362" s="6"/>
      <c r="BJ362" s="6"/>
      <c r="BK362" s="6"/>
    </row>
    <row r="363" spans="14:63" x14ac:dyDescent="0.25">
      <c r="N363" s="26"/>
      <c r="O363" s="26"/>
      <c r="P363" s="26"/>
      <c r="Q363" s="26"/>
      <c r="R363" s="26"/>
      <c r="AL363" s="1"/>
      <c r="AT363" s="1"/>
      <c r="AU363" s="6"/>
      <c r="AV363" s="6"/>
      <c r="AW363" s="6"/>
      <c r="AX363" s="6"/>
      <c r="AY363" s="6"/>
      <c r="BA363" s="1"/>
      <c r="BB363" s="6"/>
      <c r="BC363" s="6"/>
      <c r="BD363" s="6"/>
      <c r="BE363" s="6"/>
      <c r="BF363" s="6"/>
      <c r="BG363" s="6"/>
      <c r="BH363" s="6"/>
      <c r="BI363" s="6"/>
      <c r="BJ363" s="6"/>
      <c r="BK363" s="6"/>
    </row>
    <row r="364" spans="14:63" x14ac:dyDescent="0.25">
      <c r="N364" s="26"/>
      <c r="O364" s="26"/>
      <c r="P364" s="26"/>
      <c r="Q364" s="26"/>
      <c r="R364" s="26"/>
      <c r="AL364" s="1"/>
      <c r="AT364" s="1"/>
      <c r="AU364" s="6"/>
      <c r="AV364" s="6"/>
      <c r="AW364" s="6"/>
      <c r="AX364" s="6"/>
      <c r="AY364" s="6"/>
      <c r="BA364" s="1"/>
      <c r="BB364" s="6"/>
      <c r="BC364" s="6"/>
      <c r="BD364" s="6"/>
      <c r="BE364" s="6"/>
      <c r="BF364" s="6"/>
      <c r="BG364" s="6"/>
      <c r="BH364" s="6"/>
      <c r="BI364" s="6"/>
      <c r="BJ364" s="6"/>
      <c r="BK364" s="6"/>
    </row>
    <row r="365" spans="14:63" x14ac:dyDescent="0.25">
      <c r="N365" s="26"/>
      <c r="O365" s="26"/>
      <c r="P365" s="26"/>
      <c r="Q365" s="26"/>
      <c r="R365" s="26"/>
      <c r="AL365" s="1"/>
      <c r="AT365" s="1"/>
      <c r="AU365" s="6"/>
      <c r="AV365" s="6"/>
      <c r="AW365" s="6"/>
      <c r="AX365" s="6"/>
      <c r="AY365" s="6"/>
      <c r="BA365" s="1"/>
      <c r="BB365" s="6"/>
      <c r="BC365" s="6"/>
      <c r="BD365" s="6"/>
      <c r="BE365" s="6"/>
      <c r="BF365" s="6"/>
      <c r="BG365" s="6"/>
      <c r="BH365" s="6"/>
      <c r="BI365" s="6"/>
      <c r="BJ365" s="6"/>
      <c r="BK365" s="6"/>
    </row>
    <row r="366" spans="14:63" x14ac:dyDescent="0.25">
      <c r="N366" s="26"/>
      <c r="O366" s="26"/>
      <c r="P366" s="26"/>
      <c r="Q366" s="26"/>
      <c r="R366" s="26"/>
      <c r="AL366" s="1"/>
      <c r="AT366" s="1"/>
      <c r="AU366" s="6"/>
      <c r="AV366" s="6"/>
      <c r="AW366" s="6"/>
      <c r="AX366" s="6"/>
      <c r="AY366" s="6"/>
      <c r="BA366" s="1"/>
      <c r="BB366" s="6"/>
      <c r="BC366" s="6"/>
      <c r="BD366" s="6"/>
      <c r="BE366" s="6"/>
      <c r="BF366" s="6"/>
      <c r="BG366" s="6"/>
      <c r="BH366" s="6"/>
      <c r="BI366" s="6"/>
      <c r="BJ366" s="6"/>
      <c r="BK366" s="6"/>
    </row>
    <row r="367" spans="14:63" x14ac:dyDescent="0.25">
      <c r="N367" s="26"/>
      <c r="O367" s="26"/>
      <c r="P367" s="26"/>
      <c r="Q367" s="26"/>
      <c r="R367" s="26"/>
      <c r="AL367" s="1"/>
      <c r="AT367" s="1"/>
      <c r="AU367" s="6"/>
      <c r="AV367" s="6"/>
      <c r="AW367" s="6"/>
      <c r="AX367" s="6"/>
      <c r="AY367" s="6"/>
      <c r="BA367" s="1"/>
      <c r="BB367" s="6"/>
      <c r="BC367" s="6"/>
      <c r="BD367" s="6"/>
      <c r="BE367" s="6"/>
      <c r="BF367" s="6"/>
      <c r="BG367" s="6"/>
      <c r="BH367" s="6"/>
      <c r="BI367" s="6"/>
      <c r="BJ367" s="6"/>
      <c r="BK367" s="6"/>
    </row>
    <row r="368" spans="14:63" x14ac:dyDescent="0.25">
      <c r="N368" s="26"/>
      <c r="O368" s="26"/>
      <c r="P368" s="26"/>
      <c r="Q368" s="26"/>
      <c r="R368" s="26"/>
      <c r="AL368" s="1"/>
      <c r="AT368" s="1"/>
      <c r="AU368" s="6"/>
      <c r="AV368" s="6"/>
      <c r="AW368" s="6"/>
      <c r="AX368" s="6"/>
      <c r="AY368" s="6"/>
      <c r="BA368" s="1"/>
      <c r="BB368" s="6"/>
      <c r="BC368" s="6"/>
      <c r="BD368" s="6"/>
      <c r="BE368" s="6"/>
      <c r="BF368" s="6"/>
      <c r="BG368" s="6"/>
      <c r="BH368" s="6"/>
      <c r="BI368" s="6"/>
      <c r="BJ368" s="6"/>
      <c r="BK368" s="6"/>
    </row>
    <row r="369" spans="14:63" x14ac:dyDescent="0.25">
      <c r="N369" s="26"/>
      <c r="O369" s="26"/>
      <c r="P369" s="26"/>
      <c r="Q369" s="26"/>
      <c r="R369" s="26"/>
      <c r="AL369" s="1"/>
      <c r="AT369" s="1"/>
      <c r="AU369" s="6"/>
      <c r="AV369" s="6"/>
      <c r="AW369" s="6"/>
      <c r="AX369" s="6"/>
      <c r="AY369" s="6"/>
      <c r="BA369" s="1"/>
      <c r="BB369" s="6"/>
      <c r="BC369" s="6"/>
      <c r="BD369" s="6"/>
      <c r="BE369" s="6"/>
      <c r="BF369" s="6"/>
      <c r="BG369" s="6"/>
      <c r="BH369" s="6"/>
      <c r="BI369" s="6"/>
      <c r="BJ369" s="6"/>
      <c r="BK369" s="6"/>
    </row>
    <row r="370" spans="14:63" x14ac:dyDescent="0.25">
      <c r="N370" s="26"/>
      <c r="O370" s="26"/>
      <c r="P370" s="26"/>
      <c r="Q370" s="26"/>
      <c r="R370" s="26"/>
      <c r="AL370" s="1"/>
      <c r="AT370" s="1"/>
      <c r="AU370" s="6"/>
      <c r="AV370" s="6"/>
      <c r="AW370" s="6"/>
      <c r="AX370" s="6"/>
      <c r="AY370" s="6"/>
      <c r="BA370" s="1"/>
      <c r="BB370" s="6"/>
      <c r="BC370" s="6"/>
      <c r="BD370" s="6"/>
      <c r="BE370" s="6"/>
      <c r="BF370" s="6"/>
      <c r="BG370" s="6"/>
      <c r="BH370" s="6"/>
      <c r="BI370" s="6"/>
      <c r="BJ370" s="6"/>
      <c r="BK370" s="6"/>
    </row>
    <row r="371" spans="14:63" x14ac:dyDescent="0.25">
      <c r="N371" s="26"/>
      <c r="O371" s="26"/>
      <c r="P371" s="26"/>
      <c r="Q371" s="26"/>
      <c r="R371" s="26"/>
      <c r="AL371" s="1"/>
      <c r="AT371" s="1"/>
      <c r="AU371" s="6"/>
      <c r="AV371" s="6"/>
      <c r="AW371" s="6"/>
      <c r="AX371" s="6"/>
      <c r="AY371" s="6"/>
      <c r="BA371" s="1"/>
      <c r="BB371" s="6"/>
      <c r="BC371" s="6"/>
      <c r="BD371" s="6"/>
      <c r="BE371" s="6"/>
      <c r="BF371" s="6"/>
      <c r="BG371" s="6"/>
      <c r="BH371" s="6"/>
      <c r="BI371" s="6"/>
      <c r="BJ371" s="6"/>
      <c r="BK371" s="6"/>
    </row>
    <row r="372" spans="14:63" x14ac:dyDescent="0.25">
      <c r="N372" s="26"/>
      <c r="O372" s="26"/>
      <c r="P372" s="26"/>
      <c r="Q372" s="26"/>
      <c r="R372" s="26"/>
      <c r="AL372" s="1"/>
      <c r="AT372" s="1"/>
      <c r="AU372" s="6"/>
      <c r="AV372" s="6"/>
      <c r="AW372" s="6"/>
      <c r="AX372" s="6"/>
      <c r="AY372" s="6"/>
      <c r="BA372" s="1"/>
      <c r="BB372" s="6"/>
      <c r="BC372" s="6"/>
      <c r="BD372" s="6"/>
      <c r="BE372" s="6"/>
      <c r="BF372" s="6"/>
      <c r="BG372" s="6"/>
      <c r="BH372" s="6"/>
      <c r="BI372" s="6"/>
      <c r="BJ372" s="6"/>
      <c r="BK372" s="6"/>
    </row>
    <row r="373" spans="14:63" x14ac:dyDescent="0.25">
      <c r="N373" s="26"/>
      <c r="O373" s="26"/>
      <c r="P373" s="26"/>
      <c r="Q373" s="26"/>
      <c r="R373" s="26"/>
      <c r="AL373" s="1"/>
      <c r="AT373" s="1"/>
      <c r="AU373" s="6"/>
      <c r="AV373" s="6"/>
      <c r="AW373" s="6"/>
      <c r="AX373" s="6"/>
      <c r="AY373" s="6"/>
      <c r="BA373" s="1"/>
      <c r="BB373" s="6"/>
      <c r="BC373" s="6"/>
      <c r="BD373" s="6"/>
      <c r="BE373" s="6"/>
      <c r="BF373" s="6"/>
      <c r="BG373" s="6"/>
      <c r="BH373" s="6"/>
      <c r="BI373" s="6"/>
      <c r="BJ373" s="6"/>
      <c r="BK373" s="6"/>
    </row>
    <row r="374" spans="14:63" x14ac:dyDescent="0.25">
      <c r="N374" s="26"/>
      <c r="O374" s="26"/>
      <c r="P374" s="26"/>
      <c r="Q374" s="26"/>
      <c r="R374" s="26"/>
      <c r="AL374" s="1"/>
      <c r="AT374" s="1"/>
      <c r="AU374" s="6"/>
      <c r="AV374" s="6"/>
      <c r="AW374" s="6"/>
      <c r="AX374" s="6"/>
      <c r="AY374" s="6"/>
      <c r="BA374" s="1"/>
      <c r="BB374" s="6"/>
      <c r="BC374" s="6"/>
      <c r="BD374" s="6"/>
      <c r="BE374" s="6"/>
      <c r="BF374" s="6"/>
      <c r="BG374" s="6"/>
      <c r="BH374" s="6"/>
      <c r="BI374" s="6"/>
      <c r="BJ374" s="6"/>
      <c r="BK374" s="6"/>
    </row>
    <row r="375" spans="14:63" x14ac:dyDescent="0.25">
      <c r="N375" s="26"/>
      <c r="O375" s="26"/>
      <c r="P375" s="26"/>
      <c r="Q375" s="26"/>
      <c r="R375" s="26"/>
      <c r="AL375" s="1"/>
      <c r="AT375" s="1"/>
      <c r="AU375" s="6"/>
      <c r="AV375" s="6"/>
      <c r="AW375" s="6"/>
      <c r="AX375" s="6"/>
      <c r="AY375" s="6"/>
      <c r="BA375" s="1"/>
      <c r="BB375" s="6"/>
      <c r="BC375" s="6"/>
      <c r="BD375" s="6"/>
      <c r="BE375" s="6"/>
      <c r="BF375" s="6"/>
      <c r="BG375" s="6"/>
      <c r="BH375" s="6"/>
      <c r="BI375" s="6"/>
      <c r="BJ375" s="6"/>
      <c r="BK375" s="6"/>
    </row>
    <row r="376" spans="14:63" x14ac:dyDescent="0.25">
      <c r="N376" s="26"/>
      <c r="O376" s="26"/>
      <c r="P376" s="26"/>
      <c r="Q376" s="26"/>
      <c r="R376" s="26"/>
      <c r="AL376" s="1"/>
      <c r="AT376" s="1"/>
      <c r="AU376" s="6"/>
      <c r="AV376" s="6"/>
      <c r="AW376" s="6"/>
      <c r="AX376" s="6"/>
      <c r="AY376" s="6"/>
      <c r="BA376" s="1"/>
      <c r="BB376" s="6"/>
      <c r="BC376" s="6"/>
      <c r="BD376" s="6"/>
      <c r="BE376" s="6"/>
      <c r="BF376" s="6"/>
      <c r="BG376" s="6"/>
      <c r="BH376" s="6"/>
      <c r="BI376" s="6"/>
      <c r="BJ376" s="6"/>
      <c r="BK376" s="6"/>
    </row>
    <row r="377" spans="14:63" x14ac:dyDescent="0.25">
      <c r="N377" s="26"/>
      <c r="O377" s="26"/>
      <c r="P377" s="26"/>
      <c r="Q377" s="26"/>
      <c r="R377" s="26"/>
      <c r="AL377" s="1"/>
      <c r="AT377" s="1"/>
      <c r="AU377" s="6"/>
      <c r="AV377" s="6"/>
      <c r="AW377" s="6"/>
      <c r="AX377" s="6"/>
      <c r="AY377" s="6"/>
      <c r="BA377" s="1"/>
      <c r="BB377" s="6"/>
      <c r="BC377" s="6"/>
      <c r="BD377" s="6"/>
      <c r="BE377" s="6"/>
      <c r="BF377" s="6"/>
      <c r="BG377" s="6"/>
      <c r="BH377" s="6"/>
      <c r="BI377" s="6"/>
      <c r="BJ377" s="6"/>
      <c r="BK377" s="6"/>
    </row>
    <row r="378" spans="14:63" x14ac:dyDescent="0.25">
      <c r="N378" s="26"/>
      <c r="O378" s="26"/>
      <c r="P378" s="26"/>
      <c r="Q378" s="26"/>
      <c r="R378" s="26"/>
      <c r="AL378" s="1"/>
      <c r="AT378" s="1"/>
      <c r="AU378" s="6"/>
      <c r="AV378" s="6"/>
      <c r="AW378" s="6"/>
      <c r="AX378" s="6"/>
      <c r="AY378" s="6"/>
      <c r="BA378" s="1"/>
      <c r="BB378" s="6"/>
      <c r="BC378" s="6"/>
      <c r="BD378" s="6"/>
      <c r="BE378" s="6"/>
      <c r="BF378" s="6"/>
      <c r="BG378" s="6"/>
      <c r="BH378" s="6"/>
      <c r="BI378" s="6"/>
      <c r="BJ378" s="6"/>
      <c r="BK378" s="6"/>
    </row>
    <row r="379" spans="14:63" x14ac:dyDescent="0.25">
      <c r="N379" s="26"/>
      <c r="O379" s="26"/>
      <c r="P379" s="26"/>
      <c r="Q379" s="26"/>
      <c r="R379" s="26"/>
      <c r="AL379" s="1"/>
      <c r="AT379" s="1"/>
      <c r="AU379" s="6"/>
      <c r="AV379" s="6"/>
      <c r="AW379" s="6"/>
      <c r="AX379" s="6"/>
      <c r="AY379" s="6"/>
      <c r="BA379" s="1"/>
      <c r="BB379" s="6"/>
      <c r="BC379" s="6"/>
      <c r="BD379" s="6"/>
      <c r="BE379" s="6"/>
      <c r="BF379" s="6"/>
      <c r="BG379" s="6"/>
      <c r="BH379" s="6"/>
      <c r="BI379" s="6"/>
      <c r="BJ379" s="6"/>
      <c r="BK379" s="6"/>
    </row>
    <row r="380" spans="14:63" x14ac:dyDescent="0.25">
      <c r="N380" s="26"/>
      <c r="O380" s="26"/>
      <c r="P380" s="26"/>
      <c r="Q380" s="26"/>
      <c r="R380" s="26"/>
      <c r="AL380" s="1"/>
      <c r="AT380" s="1"/>
      <c r="AU380" s="6"/>
      <c r="AV380" s="6"/>
      <c r="AW380" s="6"/>
      <c r="AX380" s="6"/>
      <c r="AY380" s="6"/>
      <c r="BA380" s="1"/>
      <c r="BB380" s="6"/>
      <c r="BC380" s="6"/>
      <c r="BD380" s="6"/>
      <c r="BE380" s="6"/>
      <c r="BF380" s="6"/>
      <c r="BG380" s="6"/>
      <c r="BH380" s="6"/>
      <c r="BI380" s="6"/>
      <c r="BJ380" s="6"/>
      <c r="BK380" s="6"/>
    </row>
    <row r="381" spans="14:63" x14ac:dyDescent="0.25">
      <c r="N381" s="26"/>
      <c r="O381" s="26"/>
      <c r="P381" s="26"/>
      <c r="Q381" s="26"/>
      <c r="R381" s="26"/>
      <c r="AL381" s="1"/>
      <c r="AT381" s="1"/>
      <c r="AU381" s="6"/>
      <c r="AV381" s="6"/>
      <c r="AW381" s="6"/>
      <c r="AX381" s="6"/>
      <c r="AY381" s="6"/>
      <c r="BA381" s="1"/>
      <c r="BB381" s="6"/>
      <c r="BC381" s="6"/>
      <c r="BD381" s="6"/>
      <c r="BE381" s="6"/>
      <c r="BF381" s="6"/>
      <c r="BG381" s="6"/>
      <c r="BH381" s="6"/>
      <c r="BI381" s="6"/>
      <c r="BJ381" s="6"/>
      <c r="BK381" s="6"/>
    </row>
    <row r="382" spans="14:63" x14ac:dyDescent="0.25">
      <c r="N382" s="26"/>
      <c r="O382" s="26"/>
      <c r="P382" s="26"/>
      <c r="Q382" s="26"/>
      <c r="R382" s="26"/>
      <c r="AL382" s="1"/>
      <c r="AT382" s="1"/>
      <c r="AU382" s="6"/>
      <c r="AV382" s="6"/>
      <c r="AW382" s="6"/>
      <c r="AX382" s="6"/>
      <c r="AY382" s="6"/>
      <c r="BA382" s="1"/>
      <c r="BB382" s="6"/>
      <c r="BC382" s="6"/>
      <c r="BD382" s="6"/>
      <c r="BE382" s="6"/>
      <c r="BF382" s="6"/>
      <c r="BG382" s="6"/>
      <c r="BH382" s="6"/>
      <c r="BI382" s="6"/>
      <c r="BJ382" s="6"/>
      <c r="BK382" s="6"/>
    </row>
    <row r="383" spans="14:63" x14ac:dyDescent="0.25">
      <c r="N383" s="26"/>
      <c r="O383" s="26"/>
      <c r="P383" s="26"/>
      <c r="Q383" s="26"/>
      <c r="R383" s="26"/>
      <c r="AL383" s="1"/>
      <c r="AT383" s="1"/>
      <c r="AU383" s="6"/>
      <c r="AV383" s="6"/>
      <c r="AW383" s="6"/>
      <c r="AX383" s="6"/>
      <c r="AY383" s="6"/>
      <c r="BA383" s="1"/>
      <c r="BB383" s="6"/>
      <c r="BC383" s="6"/>
      <c r="BD383" s="6"/>
      <c r="BE383" s="6"/>
      <c r="BF383" s="6"/>
      <c r="BG383" s="6"/>
      <c r="BH383" s="6"/>
      <c r="BI383" s="6"/>
      <c r="BJ383" s="6"/>
      <c r="BK383" s="6"/>
    </row>
    <row r="384" spans="14:63" x14ac:dyDescent="0.25">
      <c r="N384" s="26"/>
      <c r="O384" s="26"/>
      <c r="P384" s="26"/>
      <c r="Q384" s="26"/>
      <c r="R384" s="26"/>
      <c r="AL384" s="1"/>
      <c r="AT384" s="1"/>
      <c r="AU384" s="6"/>
      <c r="AV384" s="6"/>
      <c r="AW384" s="6"/>
      <c r="AX384" s="6"/>
      <c r="AY384" s="6"/>
      <c r="BA384" s="1"/>
      <c r="BB384" s="6"/>
      <c r="BC384" s="6"/>
      <c r="BD384" s="6"/>
      <c r="BE384" s="6"/>
      <c r="BF384" s="6"/>
      <c r="BG384" s="6"/>
      <c r="BH384" s="6"/>
      <c r="BI384" s="6"/>
      <c r="BJ384" s="6"/>
      <c r="BK384" s="6"/>
    </row>
    <row r="385" spans="14:63" x14ac:dyDescent="0.25">
      <c r="N385" s="26"/>
      <c r="O385" s="26"/>
      <c r="P385" s="26"/>
      <c r="Q385" s="26"/>
      <c r="R385" s="26"/>
      <c r="AL385" s="1"/>
      <c r="AT385" s="1"/>
      <c r="AU385" s="6"/>
      <c r="AV385" s="6"/>
      <c r="AW385" s="6"/>
      <c r="AX385" s="6"/>
      <c r="AY385" s="6"/>
      <c r="BA385" s="1"/>
      <c r="BB385" s="6"/>
      <c r="BC385" s="6"/>
      <c r="BD385" s="6"/>
      <c r="BE385" s="6"/>
      <c r="BF385" s="6"/>
      <c r="BG385" s="6"/>
      <c r="BH385" s="6"/>
      <c r="BI385" s="6"/>
      <c r="BJ385" s="6"/>
      <c r="BK385" s="6"/>
    </row>
    <row r="386" spans="14:63" x14ac:dyDescent="0.25">
      <c r="N386" s="26"/>
      <c r="O386" s="26"/>
      <c r="P386" s="26"/>
      <c r="Q386" s="26"/>
      <c r="R386" s="26"/>
      <c r="AL386" s="1"/>
      <c r="AT386" s="1"/>
      <c r="AU386" s="6"/>
      <c r="AV386" s="6"/>
      <c r="AW386" s="6"/>
      <c r="AX386" s="6"/>
      <c r="AY386" s="6"/>
      <c r="BA386" s="1"/>
      <c r="BB386" s="6"/>
      <c r="BC386" s="6"/>
      <c r="BD386" s="6"/>
      <c r="BE386" s="6"/>
      <c r="BF386" s="6"/>
      <c r="BG386" s="6"/>
      <c r="BH386" s="6"/>
      <c r="BI386" s="6"/>
      <c r="BJ386" s="6"/>
      <c r="BK386" s="6"/>
    </row>
    <row r="387" spans="14:63" x14ac:dyDescent="0.25">
      <c r="N387" s="26"/>
      <c r="O387" s="26"/>
      <c r="P387" s="26"/>
      <c r="Q387" s="26"/>
      <c r="R387" s="26"/>
      <c r="AL387" s="1"/>
      <c r="AT387" s="1"/>
      <c r="AU387" s="6"/>
      <c r="AV387" s="6"/>
      <c r="AW387" s="6"/>
      <c r="AX387" s="6"/>
      <c r="AY387" s="6"/>
      <c r="BA387" s="1"/>
      <c r="BB387" s="6"/>
      <c r="BC387" s="6"/>
      <c r="BD387" s="6"/>
      <c r="BE387" s="6"/>
      <c r="BF387" s="6"/>
      <c r="BG387" s="6"/>
      <c r="BH387" s="6"/>
      <c r="BI387" s="6"/>
      <c r="BJ387" s="6"/>
      <c r="BK387" s="6"/>
    </row>
    <row r="388" spans="14:63" x14ac:dyDescent="0.25">
      <c r="N388" s="26"/>
      <c r="O388" s="26"/>
      <c r="P388" s="26"/>
      <c r="Q388" s="26"/>
      <c r="R388" s="26"/>
      <c r="AL388" s="1"/>
      <c r="AT388" s="1"/>
      <c r="AU388" s="6"/>
      <c r="AV388" s="6"/>
      <c r="AW388" s="6"/>
      <c r="AX388" s="6"/>
      <c r="AY388" s="6"/>
      <c r="BA388" s="1"/>
      <c r="BB388" s="6"/>
      <c r="BC388" s="6"/>
      <c r="BD388" s="6"/>
      <c r="BE388" s="6"/>
      <c r="BF388" s="6"/>
      <c r="BG388" s="6"/>
      <c r="BH388" s="6"/>
      <c r="BI388" s="6"/>
      <c r="BJ388" s="6"/>
      <c r="BK388" s="6"/>
    </row>
    <row r="389" spans="14:63" x14ac:dyDescent="0.25">
      <c r="N389" s="26"/>
      <c r="O389" s="26"/>
      <c r="P389" s="26"/>
      <c r="Q389" s="26"/>
      <c r="R389" s="26"/>
      <c r="AL389" s="1"/>
      <c r="AT389" s="1"/>
      <c r="AU389" s="6"/>
      <c r="AV389" s="6"/>
      <c r="AW389" s="6"/>
      <c r="AX389" s="6"/>
      <c r="AY389" s="6"/>
      <c r="BA389" s="1"/>
      <c r="BB389" s="6"/>
      <c r="BC389" s="6"/>
      <c r="BD389" s="6"/>
      <c r="BE389" s="6"/>
      <c r="BF389" s="6"/>
      <c r="BG389" s="6"/>
      <c r="BH389" s="6"/>
      <c r="BI389" s="6"/>
      <c r="BJ389" s="6"/>
      <c r="BK389" s="6"/>
    </row>
    <row r="390" spans="14:63" x14ac:dyDescent="0.25">
      <c r="N390" s="26"/>
      <c r="O390" s="26"/>
      <c r="P390" s="26"/>
      <c r="Q390" s="26"/>
      <c r="R390" s="26"/>
      <c r="AL390" s="1"/>
      <c r="AT390" s="1"/>
      <c r="AU390" s="6"/>
      <c r="AV390" s="6"/>
      <c r="AW390" s="6"/>
      <c r="AX390" s="6"/>
      <c r="AY390" s="6"/>
      <c r="BA390" s="1"/>
      <c r="BB390" s="6"/>
      <c r="BC390" s="6"/>
      <c r="BD390" s="6"/>
      <c r="BE390" s="6"/>
      <c r="BF390" s="6"/>
      <c r="BG390" s="6"/>
      <c r="BH390" s="6"/>
      <c r="BI390" s="6"/>
      <c r="BJ390" s="6"/>
      <c r="BK390" s="6"/>
    </row>
    <row r="391" spans="14:63" x14ac:dyDescent="0.25">
      <c r="N391" s="26"/>
      <c r="O391" s="26"/>
      <c r="P391" s="26"/>
      <c r="Q391" s="26"/>
      <c r="R391" s="26"/>
      <c r="AL391" s="1"/>
      <c r="AT391" s="1"/>
      <c r="AU391" s="6"/>
      <c r="AV391" s="6"/>
      <c r="AW391" s="6"/>
      <c r="AX391" s="6"/>
      <c r="AY391" s="6"/>
      <c r="BA391" s="1"/>
      <c r="BB391" s="6"/>
      <c r="BC391" s="6"/>
      <c r="BD391" s="6"/>
      <c r="BE391" s="6"/>
      <c r="BF391" s="6"/>
      <c r="BG391" s="6"/>
      <c r="BH391" s="6"/>
      <c r="BI391" s="6"/>
      <c r="BJ391" s="6"/>
      <c r="BK391" s="6"/>
    </row>
    <row r="392" spans="14:63" x14ac:dyDescent="0.25">
      <c r="N392" s="26"/>
      <c r="O392" s="26"/>
      <c r="P392" s="26"/>
      <c r="Q392" s="26"/>
      <c r="R392" s="26"/>
      <c r="AL392" s="1"/>
      <c r="AT392" s="1"/>
      <c r="AU392" s="6"/>
      <c r="AV392" s="6"/>
      <c r="AW392" s="6"/>
      <c r="AX392" s="6"/>
      <c r="AY392" s="6"/>
      <c r="BA392" s="1"/>
      <c r="BB392" s="6"/>
      <c r="BC392" s="6"/>
      <c r="BD392" s="6"/>
      <c r="BE392" s="6"/>
      <c r="BF392" s="6"/>
      <c r="BG392" s="6"/>
      <c r="BH392" s="6"/>
      <c r="BI392" s="6"/>
      <c r="BJ392" s="6"/>
      <c r="BK392" s="6"/>
    </row>
    <row r="393" spans="14:63" x14ac:dyDescent="0.25">
      <c r="N393" s="26"/>
      <c r="O393" s="26"/>
      <c r="P393" s="26"/>
      <c r="Q393" s="26"/>
      <c r="R393" s="26"/>
      <c r="AL393" s="1"/>
      <c r="AT393" s="1"/>
      <c r="AU393" s="6"/>
      <c r="AV393" s="6"/>
      <c r="AW393" s="6"/>
      <c r="AX393" s="6"/>
      <c r="AY393" s="6"/>
      <c r="BA393" s="1"/>
      <c r="BB393" s="6"/>
      <c r="BC393" s="6"/>
      <c r="BD393" s="6"/>
      <c r="BE393" s="6"/>
      <c r="BF393" s="6"/>
      <c r="BG393" s="6"/>
      <c r="BH393" s="6"/>
      <c r="BI393" s="6"/>
      <c r="BJ393" s="6"/>
      <c r="BK393" s="6"/>
    </row>
    <row r="394" spans="14:63" x14ac:dyDescent="0.25">
      <c r="N394" s="26"/>
      <c r="O394" s="26"/>
      <c r="P394" s="26"/>
      <c r="Q394" s="26"/>
      <c r="R394" s="26"/>
      <c r="AL394" s="1"/>
      <c r="AT394" s="1"/>
      <c r="AU394" s="6"/>
      <c r="AV394" s="6"/>
      <c r="AW394" s="6"/>
      <c r="AX394" s="6"/>
      <c r="AY394" s="6"/>
      <c r="BA394" s="1"/>
      <c r="BB394" s="6"/>
      <c r="BC394" s="6"/>
      <c r="BD394" s="6"/>
      <c r="BE394" s="6"/>
      <c r="BF394" s="6"/>
      <c r="BG394" s="6"/>
      <c r="BH394" s="6"/>
      <c r="BI394" s="6"/>
      <c r="BJ394" s="6"/>
      <c r="BK394" s="6"/>
    </row>
    <row r="395" spans="14:63" x14ac:dyDescent="0.25">
      <c r="N395" s="26"/>
      <c r="O395" s="26"/>
      <c r="P395" s="26"/>
      <c r="Q395" s="26"/>
      <c r="R395" s="26"/>
      <c r="AL395" s="1"/>
      <c r="AT395" s="1"/>
      <c r="AU395" s="6"/>
      <c r="AV395" s="6"/>
      <c r="AW395" s="6"/>
      <c r="AX395" s="6"/>
      <c r="AY395" s="6"/>
      <c r="BA395" s="1"/>
      <c r="BB395" s="6"/>
      <c r="BC395" s="6"/>
      <c r="BD395" s="6"/>
      <c r="BE395" s="6"/>
      <c r="BF395" s="6"/>
      <c r="BG395" s="6"/>
      <c r="BH395" s="6"/>
      <c r="BI395" s="6"/>
      <c r="BJ395" s="6"/>
      <c r="BK395" s="6"/>
    </row>
    <row r="396" spans="14:63" x14ac:dyDescent="0.25">
      <c r="N396" s="26"/>
      <c r="O396" s="26"/>
      <c r="P396" s="26"/>
      <c r="Q396" s="26"/>
      <c r="R396" s="26"/>
      <c r="AL396" s="1"/>
      <c r="AT396" s="1"/>
      <c r="AU396" s="6"/>
      <c r="AV396" s="6"/>
      <c r="AW396" s="6"/>
      <c r="AX396" s="6"/>
      <c r="AY396" s="6"/>
      <c r="BA396" s="1"/>
      <c r="BB396" s="6"/>
      <c r="BC396" s="6"/>
      <c r="BD396" s="6"/>
      <c r="BE396" s="6"/>
      <c r="BF396" s="6"/>
      <c r="BG396" s="6"/>
      <c r="BH396" s="6"/>
      <c r="BI396" s="6"/>
      <c r="BJ396" s="6"/>
      <c r="BK396" s="6"/>
    </row>
    <row r="397" spans="14:63" x14ac:dyDescent="0.25">
      <c r="N397" s="26"/>
      <c r="O397" s="26"/>
      <c r="P397" s="26"/>
      <c r="Q397" s="26"/>
      <c r="R397" s="26"/>
      <c r="AL397" s="1"/>
      <c r="AT397" s="1"/>
      <c r="AU397" s="6"/>
      <c r="AV397" s="6"/>
      <c r="AW397" s="6"/>
      <c r="AX397" s="6"/>
      <c r="AY397" s="6"/>
      <c r="BA397" s="1"/>
      <c r="BB397" s="6"/>
      <c r="BC397" s="6"/>
      <c r="BD397" s="6"/>
      <c r="BE397" s="6"/>
      <c r="BF397" s="6"/>
      <c r="BG397" s="6"/>
      <c r="BH397" s="6"/>
      <c r="BI397" s="6"/>
      <c r="BJ397" s="6"/>
      <c r="BK397" s="6"/>
    </row>
    <row r="398" spans="14:63" x14ac:dyDescent="0.25">
      <c r="N398" s="26"/>
      <c r="O398" s="26"/>
      <c r="P398" s="26"/>
      <c r="Q398" s="26"/>
      <c r="R398" s="26"/>
      <c r="AL398" s="1"/>
      <c r="AT398" s="1"/>
      <c r="AU398" s="6"/>
      <c r="AV398" s="6"/>
      <c r="AW398" s="6"/>
      <c r="AX398" s="6"/>
      <c r="AY398" s="6"/>
      <c r="BA398" s="1"/>
      <c r="BB398" s="6"/>
      <c r="BC398" s="6"/>
      <c r="BD398" s="6"/>
      <c r="BE398" s="6"/>
      <c r="BF398" s="6"/>
      <c r="BG398" s="6"/>
      <c r="BH398" s="6"/>
      <c r="BI398" s="6"/>
      <c r="BJ398" s="6"/>
      <c r="BK398" s="6"/>
    </row>
    <row r="399" spans="14:63" x14ac:dyDescent="0.25">
      <c r="N399" s="26"/>
      <c r="O399" s="26"/>
      <c r="P399" s="26"/>
      <c r="Q399" s="26"/>
      <c r="R399" s="26"/>
      <c r="AL399" s="1"/>
      <c r="AT399" s="1"/>
      <c r="AU399" s="6"/>
      <c r="AV399" s="6"/>
      <c r="AW399" s="6"/>
      <c r="AX399" s="6"/>
      <c r="AY399" s="6"/>
      <c r="BA399" s="1"/>
      <c r="BB399" s="6"/>
      <c r="BC399" s="6"/>
      <c r="BD399" s="6"/>
      <c r="BE399" s="6"/>
      <c r="BF399" s="6"/>
      <c r="BG399" s="6"/>
      <c r="BH399" s="6"/>
      <c r="BI399" s="6"/>
      <c r="BJ399" s="6"/>
      <c r="BK399" s="6"/>
    </row>
    <row r="400" spans="14:63" x14ac:dyDescent="0.25">
      <c r="N400" s="26"/>
      <c r="O400" s="26"/>
      <c r="P400" s="26"/>
      <c r="Q400" s="26"/>
      <c r="R400" s="26"/>
      <c r="AL400" s="1"/>
      <c r="AT400" s="1"/>
      <c r="AU400" s="6"/>
      <c r="AV400" s="6"/>
      <c r="AW400" s="6"/>
      <c r="AX400" s="6"/>
      <c r="AY400" s="6"/>
      <c r="BA400" s="1"/>
      <c r="BB400" s="6"/>
      <c r="BC400" s="6"/>
      <c r="BD400" s="6"/>
      <c r="BE400" s="6"/>
      <c r="BF400" s="6"/>
      <c r="BG400" s="6"/>
      <c r="BH400" s="6"/>
      <c r="BI400" s="6"/>
      <c r="BJ400" s="6"/>
      <c r="BK400" s="6"/>
    </row>
    <row r="401" spans="14:63" x14ac:dyDescent="0.25">
      <c r="N401" s="26"/>
      <c r="O401" s="26"/>
      <c r="P401" s="26"/>
      <c r="Q401" s="26"/>
      <c r="R401" s="26"/>
      <c r="AL401" s="1"/>
      <c r="AT401" s="1"/>
      <c r="AU401" s="6"/>
      <c r="AV401" s="6"/>
      <c r="AW401" s="6"/>
      <c r="AX401" s="6"/>
      <c r="AY401" s="6"/>
      <c r="BA401" s="1"/>
      <c r="BB401" s="6"/>
      <c r="BC401" s="6"/>
      <c r="BD401" s="6"/>
      <c r="BE401" s="6"/>
      <c r="BF401" s="6"/>
      <c r="BG401" s="6"/>
      <c r="BH401" s="6"/>
      <c r="BI401" s="6"/>
      <c r="BJ401" s="6"/>
      <c r="BK401" s="6"/>
    </row>
    <row r="402" spans="14:63" x14ac:dyDescent="0.25">
      <c r="N402" s="26"/>
      <c r="O402" s="26"/>
      <c r="P402" s="26"/>
      <c r="Q402" s="26"/>
      <c r="R402" s="26"/>
      <c r="AL402" s="1"/>
      <c r="AT402" s="1"/>
      <c r="AU402" s="6"/>
      <c r="AV402" s="6"/>
      <c r="AW402" s="6"/>
      <c r="AX402" s="6"/>
      <c r="AY402" s="6"/>
      <c r="BA402" s="1"/>
      <c r="BB402" s="6"/>
      <c r="BC402" s="6"/>
      <c r="BD402" s="6"/>
      <c r="BE402" s="6"/>
      <c r="BF402" s="6"/>
      <c r="BG402" s="6"/>
      <c r="BH402" s="6"/>
      <c r="BI402" s="6"/>
      <c r="BJ402" s="6"/>
      <c r="BK402" s="6"/>
    </row>
    <row r="403" spans="14:63" x14ac:dyDescent="0.25">
      <c r="N403" s="26"/>
      <c r="O403" s="26"/>
      <c r="P403" s="26"/>
      <c r="Q403" s="26"/>
      <c r="R403" s="26"/>
      <c r="AL403" s="1"/>
      <c r="AT403" s="1"/>
      <c r="AU403" s="6"/>
      <c r="AV403" s="6"/>
      <c r="AW403" s="6"/>
      <c r="AX403" s="6"/>
      <c r="AY403" s="6"/>
      <c r="BA403" s="1"/>
      <c r="BB403" s="6"/>
      <c r="BC403" s="6"/>
      <c r="BD403" s="6"/>
      <c r="BE403" s="6"/>
      <c r="BF403" s="6"/>
      <c r="BG403" s="6"/>
      <c r="BH403" s="6"/>
      <c r="BI403" s="6"/>
      <c r="BJ403" s="6"/>
      <c r="BK403" s="6"/>
    </row>
    <row r="404" spans="14:63" x14ac:dyDescent="0.25">
      <c r="N404" s="26"/>
      <c r="O404" s="26"/>
      <c r="P404" s="26"/>
      <c r="Q404" s="26"/>
      <c r="R404" s="26"/>
      <c r="AL404" s="1"/>
      <c r="AT404" s="1"/>
      <c r="AU404" s="6"/>
      <c r="AV404" s="6"/>
      <c r="AW404" s="6"/>
      <c r="AX404" s="6"/>
      <c r="AY404" s="6"/>
      <c r="BA404" s="1"/>
      <c r="BB404" s="6"/>
      <c r="BC404" s="6"/>
      <c r="BD404" s="6"/>
      <c r="BE404" s="6"/>
      <c r="BF404" s="6"/>
      <c r="BG404" s="6"/>
      <c r="BH404" s="6"/>
      <c r="BI404" s="6"/>
      <c r="BJ404" s="6"/>
      <c r="BK404" s="6"/>
    </row>
    <row r="405" spans="14:63" x14ac:dyDescent="0.25">
      <c r="N405" s="26"/>
      <c r="O405" s="26"/>
      <c r="P405" s="26"/>
      <c r="Q405" s="26"/>
      <c r="R405" s="26"/>
      <c r="AL405" s="1"/>
      <c r="AT405" s="1"/>
      <c r="AU405" s="6"/>
      <c r="AV405" s="6"/>
      <c r="AW405" s="6"/>
      <c r="AX405" s="6"/>
      <c r="AY405" s="6"/>
      <c r="BA405" s="1"/>
      <c r="BB405" s="6"/>
      <c r="BC405" s="6"/>
      <c r="BD405" s="6"/>
      <c r="BE405" s="6"/>
      <c r="BF405" s="6"/>
      <c r="BG405" s="6"/>
      <c r="BH405" s="6"/>
      <c r="BI405" s="6"/>
      <c r="BJ405" s="6"/>
      <c r="BK405" s="6"/>
    </row>
    <row r="406" spans="14:63" x14ac:dyDescent="0.25">
      <c r="N406" s="26"/>
      <c r="O406" s="26"/>
      <c r="P406" s="26"/>
      <c r="Q406" s="26"/>
      <c r="R406" s="26"/>
      <c r="AL406" s="1"/>
      <c r="AT406" s="1"/>
      <c r="AU406" s="6"/>
      <c r="AV406" s="6"/>
      <c r="AW406" s="6"/>
      <c r="AX406" s="6"/>
      <c r="AY406" s="6"/>
      <c r="BA406" s="1"/>
      <c r="BB406" s="6"/>
      <c r="BC406" s="6"/>
      <c r="BD406" s="6"/>
      <c r="BE406" s="6"/>
      <c r="BF406" s="6"/>
      <c r="BG406" s="6"/>
      <c r="BH406" s="6"/>
      <c r="BI406" s="6"/>
      <c r="BJ406" s="6"/>
      <c r="BK406" s="6"/>
    </row>
    <row r="407" spans="14:63" x14ac:dyDescent="0.25">
      <c r="N407" s="26"/>
      <c r="O407" s="26"/>
      <c r="P407" s="26"/>
      <c r="Q407" s="26"/>
      <c r="R407" s="26"/>
      <c r="AL407" s="1"/>
      <c r="AT407" s="1"/>
      <c r="AU407" s="6"/>
      <c r="AV407" s="6"/>
      <c r="AW407" s="6"/>
      <c r="AX407" s="6"/>
      <c r="AY407" s="6"/>
      <c r="BA407" s="1"/>
      <c r="BB407" s="6"/>
      <c r="BC407" s="6"/>
      <c r="BD407" s="6"/>
      <c r="BE407" s="6"/>
      <c r="BF407" s="6"/>
      <c r="BG407" s="6"/>
      <c r="BH407" s="6"/>
      <c r="BI407" s="6"/>
      <c r="BJ407" s="6"/>
      <c r="BK407" s="6"/>
    </row>
    <row r="408" spans="14:63" x14ac:dyDescent="0.25">
      <c r="N408" s="26"/>
      <c r="O408" s="26"/>
      <c r="P408" s="26"/>
      <c r="Q408" s="26"/>
      <c r="R408" s="26"/>
      <c r="AL408" s="1"/>
      <c r="AT408" s="1"/>
      <c r="AU408" s="6"/>
      <c r="AV408" s="6"/>
      <c r="AW408" s="6"/>
      <c r="AX408" s="6"/>
      <c r="AY408" s="6"/>
      <c r="BA408" s="1"/>
      <c r="BB408" s="6"/>
      <c r="BC408" s="6"/>
      <c r="BD408" s="6"/>
      <c r="BE408" s="6"/>
      <c r="BF408" s="6"/>
      <c r="BG408" s="6"/>
      <c r="BH408" s="6"/>
      <c r="BI408" s="6"/>
      <c r="BJ408" s="6"/>
      <c r="BK408" s="6"/>
    </row>
    <row r="409" spans="14:63" x14ac:dyDescent="0.25">
      <c r="N409" s="26"/>
      <c r="O409" s="26"/>
      <c r="P409" s="26"/>
      <c r="Q409" s="26"/>
      <c r="R409" s="26"/>
      <c r="AL409" s="1"/>
      <c r="AT409" s="1"/>
      <c r="AU409" s="6"/>
      <c r="AV409" s="6"/>
      <c r="AW409" s="6"/>
      <c r="AX409" s="6"/>
      <c r="AY409" s="6"/>
      <c r="BA409" s="1"/>
      <c r="BB409" s="6"/>
      <c r="BC409" s="6"/>
      <c r="BD409" s="6"/>
      <c r="BE409" s="6"/>
      <c r="BF409" s="6"/>
      <c r="BG409" s="6"/>
      <c r="BH409" s="6"/>
      <c r="BI409" s="6"/>
      <c r="BJ409" s="6"/>
      <c r="BK409" s="6"/>
    </row>
    <row r="410" spans="14:63" x14ac:dyDescent="0.25">
      <c r="N410" s="26"/>
      <c r="O410" s="26"/>
      <c r="P410" s="26"/>
      <c r="Q410" s="26"/>
      <c r="R410" s="26"/>
      <c r="AL410" s="1"/>
      <c r="AT410" s="1"/>
      <c r="AU410" s="6"/>
      <c r="AV410" s="6"/>
      <c r="AW410" s="6"/>
      <c r="AX410" s="6"/>
      <c r="AY410" s="6"/>
      <c r="BA410" s="1"/>
      <c r="BB410" s="6"/>
      <c r="BC410" s="6"/>
      <c r="BD410" s="6"/>
      <c r="BE410" s="6"/>
      <c r="BF410" s="6"/>
      <c r="BG410" s="6"/>
      <c r="BH410" s="6"/>
      <c r="BI410" s="6"/>
      <c r="BJ410" s="6"/>
      <c r="BK410" s="6"/>
    </row>
    <row r="411" spans="14:63" x14ac:dyDescent="0.25">
      <c r="N411" s="26"/>
      <c r="O411" s="26"/>
      <c r="P411" s="26"/>
      <c r="Q411" s="26"/>
      <c r="R411" s="26"/>
      <c r="AL411" s="1"/>
      <c r="AT411" s="1"/>
      <c r="AU411" s="6"/>
      <c r="AV411" s="6"/>
      <c r="AW411" s="6"/>
      <c r="AX411" s="6"/>
      <c r="AY411" s="6"/>
      <c r="BA411" s="1"/>
      <c r="BB411" s="6"/>
      <c r="BC411" s="6"/>
      <c r="BD411" s="6"/>
      <c r="BE411" s="6"/>
      <c r="BF411" s="6"/>
      <c r="BG411" s="6"/>
      <c r="BH411" s="6"/>
      <c r="BI411" s="6"/>
      <c r="BJ411" s="6"/>
      <c r="BK411" s="6"/>
    </row>
    <row r="412" spans="14:63" x14ac:dyDescent="0.25">
      <c r="N412" s="26"/>
      <c r="O412" s="26"/>
      <c r="P412" s="26"/>
      <c r="Q412" s="26"/>
      <c r="R412" s="26"/>
      <c r="AL412" s="1"/>
      <c r="AT412" s="1"/>
      <c r="AU412" s="6"/>
      <c r="AV412" s="6"/>
      <c r="AW412" s="6"/>
      <c r="AX412" s="6"/>
      <c r="AY412" s="6"/>
      <c r="BA412" s="1"/>
      <c r="BB412" s="6"/>
      <c r="BC412" s="6"/>
      <c r="BD412" s="6"/>
      <c r="BE412" s="6"/>
      <c r="BF412" s="6"/>
      <c r="BG412" s="6"/>
      <c r="BH412" s="6"/>
      <c r="BI412" s="6"/>
      <c r="BJ412" s="6"/>
      <c r="BK412" s="6"/>
    </row>
    <row r="413" spans="14:63" x14ac:dyDescent="0.25">
      <c r="N413" s="26"/>
      <c r="O413" s="26"/>
      <c r="P413" s="26"/>
      <c r="Q413" s="26"/>
      <c r="R413" s="26"/>
      <c r="AL413" s="1"/>
      <c r="AT413" s="1"/>
      <c r="AU413" s="6"/>
      <c r="AV413" s="6"/>
      <c r="AW413" s="6"/>
      <c r="AX413" s="6"/>
      <c r="AY413" s="6"/>
      <c r="BA413" s="1"/>
      <c r="BB413" s="6"/>
      <c r="BC413" s="6"/>
      <c r="BD413" s="6"/>
      <c r="BE413" s="6"/>
      <c r="BF413" s="6"/>
      <c r="BG413" s="6"/>
      <c r="BH413" s="6"/>
      <c r="BI413" s="6"/>
      <c r="BJ413" s="6"/>
      <c r="BK413" s="6"/>
    </row>
    <row r="414" spans="14:63" x14ac:dyDescent="0.25">
      <c r="N414" s="26"/>
      <c r="O414" s="26"/>
      <c r="P414" s="26"/>
      <c r="Q414" s="26"/>
      <c r="R414" s="26"/>
      <c r="AL414" s="1"/>
      <c r="AT414" s="1"/>
      <c r="AU414" s="6"/>
      <c r="AV414" s="6"/>
      <c r="AW414" s="6"/>
      <c r="AX414" s="6"/>
      <c r="AY414" s="6"/>
      <c r="BA414" s="1"/>
      <c r="BB414" s="6"/>
      <c r="BC414" s="6"/>
      <c r="BD414" s="6"/>
      <c r="BE414" s="6"/>
      <c r="BF414" s="6"/>
      <c r="BG414" s="6"/>
      <c r="BH414" s="6"/>
      <c r="BI414" s="6"/>
      <c r="BJ414" s="6"/>
      <c r="BK414" s="6"/>
    </row>
    <row r="415" spans="14:63" x14ac:dyDescent="0.25">
      <c r="N415" s="26"/>
      <c r="O415" s="26"/>
      <c r="P415" s="26"/>
      <c r="Q415" s="26"/>
      <c r="R415" s="26"/>
      <c r="AL415" s="1"/>
      <c r="AT415" s="1"/>
      <c r="AU415" s="6"/>
      <c r="AV415" s="6"/>
      <c r="AW415" s="6"/>
      <c r="AX415" s="6"/>
      <c r="AY415" s="6"/>
      <c r="BA415" s="1"/>
      <c r="BB415" s="6"/>
      <c r="BC415" s="6"/>
      <c r="BD415" s="6"/>
      <c r="BE415" s="6"/>
      <c r="BF415" s="6"/>
      <c r="BG415" s="6"/>
      <c r="BH415" s="6"/>
      <c r="BI415" s="6"/>
      <c r="BJ415" s="6"/>
      <c r="BK415" s="6"/>
    </row>
    <row r="416" spans="14:63" x14ac:dyDescent="0.25">
      <c r="N416" s="26"/>
      <c r="O416" s="26"/>
      <c r="P416" s="26"/>
      <c r="Q416" s="26"/>
      <c r="R416" s="26"/>
      <c r="AL416" s="1"/>
      <c r="AT416" s="1"/>
      <c r="AU416" s="6"/>
      <c r="AV416" s="6"/>
      <c r="AW416" s="6"/>
      <c r="AX416" s="6"/>
      <c r="AY416" s="6"/>
      <c r="BA416" s="1"/>
      <c r="BB416" s="6"/>
      <c r="BC416" s="6"/>
      <c r="BD416" s="6"/>
      <c r="BE416" s="6"/>
      <c r="BF416" s="6"/>
      <c r="BG416" s="6"/>
      <c r="BH416" s="6"/>
      <c r="BI416" s="6"/>
      <c r="BJ416" s="6"/>
      <c r="BK416" s="6"/>
    </row>
    <row r="417" spans="14:63" x14ac:dyDescent="0.25">
      <c r="N417" s="26"/>
      <c r="O417" s="26"/>
      <c r="P417" s="26"/>
      <c r="Q417" s="26"/>
      <c r="R417" s="26"/>
      <c r="AL417" s="1"/>
      <c r="AT417" s="1"/>
      <c r="AU417" s="6"/>
      <c r="AV417" s="6"/>
      <c r="AW417" s="6"/>
      <c r="AX417" s="6"/>
      <c r="AY417" s="6"/>
      <c r="BA417" s="1"/>
      <c r="BB417" s="6"/>
      <c r="BC417" s="6"/>
      <c r="BD417" s="6"/>
      <c r="BE417" s="6"/>
      <c r="BF417" s="6"/>
      <c r="BG417" s="6"/>
      <c r="BH417" s="6"/>
      <c r="BI417" s="6"/>
      <c r="BJ417" s="6"/>
      <c r="BK417" s="6"/>
    </row>
    <row r="418" spans="14:63" x14ac:dyDescent="0.25">
      <c r="N418" s="26"/>
      <c r="O418" s="26"/>
      <c r="P418" s="26"/>
      <c r="Q418" s="26"/>
      <c r="R418" s="26"/>
      <c r="AL418" s="1"/>
      <c r="AT418" s="1"/>
      <c r="AU418" s="6"/>
      <c r="AV418" s="6"/>
      <c r="AW418" s="6"/>
      <c r="AX418" s="6"/>
      <c r="AY418" s="6"/>
      <c r="BA418" s="1"/>
      <c r="BB418" s="6"/>
      <c r="BC418" s="6"/>
      <c r="BD418" s="6"/>
      <c r="BE418" s="6"/>
      <c r="BF418" s="6"/>
      <c r="BG418" s="6"/>
      <c r="BH418" s="6"/>
      <c r="BI418" s="6"/>
      <c r="BJ418" s="6"/>
      <c r="BK418" s="6"/>
    </row>
    <row r="419" spans="14:63" x14ac:dyDescent="0.25">
      <c r="N419" s="26"/>
      <c r="O419" s="26"/>
      <c r="P419" s="26"/>
      <c r="Q419" s="26"/>
      <c r="R419" s="26"/>
      <c r="AL419" s="1"/>
      <c r="AT419" s="1"/>
      <c r="AU419" s="6"/>
      <c r="AV419" s="6"/>
      <c r="AW419" s="6"/>
      <c r="AX419" s="6"/>
      <c r="AY419" s="6"/>
      <c r="BA419" s="1"/>
      <c r="BB419" s="6"/>
      <c r="BC419" s="6"/>
      <c r="BD419" s="6"/>
      <c r="BE419" s="6"/>
      <c r="BF419" s="6"/>
      <c r="BG419" s="6"/>
      <c r="BH419" s="6"/>
      <c r="BI419" s="6"/>
      <c r="BJ419" s="6"/>
      <c r="BK419" s="6"/>
    </row>
    <row r="420" spans="14:63" x14ac:dyDescent="0.25">
      <c r="N420" s="26"/>
      <c r="O420" s="26"/>
      <c r="P420" s="26"/>
      <c r="Q420" s="26"/>
      <c r="R420" s="26"/>
      <c r="AL420" s="1"/>
      <c r="AT420" s="1"/>
      <c r="AU420" s="6"/>
      <c r="AV420" s="6"/>
      <c r="AW420" s="6"/>
      <c r="AX420" s="6"/>
      <c r="AY420" s="6"/>
      <c r="BA420" s="1"/>
      <c r="BB420" s="6"/>
      <c r="BC420" s="6"/>
      <c r="BD420" s="6"/>
      <c r="BE420" s="6"/>
      <c r="BF420" s="6"/>
      <c r="BG420" s="6"/>
      <c r="BH420" s="6"/>
      <c r="BI420" s="6"/>
      <c r="BJ420" s="6"/>
      <c r="BK420" s="6"/>
    </row>
    <row r="421" spans="14:63" x14ac:dyDescent="0.25">
      <c r="N421" s="26"/>
      <c r="O421" s="26"/>
      <c r="P421" s="26"/>
      <c r="Q421" s="26"/>
      <c r="R421" s="26"/>
      <c r="AL421" s="1"/>
      <c r="AT421" s="1"/>
      <c r="AU421" s="6"/>
      <c r="AV421" s="6"/>
      <c r="AW421" s="6"/>
      <c r="AX421" s="6"/>
      <c r="AY421" s="6"/>
      <c r="BA421" s="1"/>
      <c r="BB421" s="6"/>
      <c r="BC421" s="6"/>
      <c r="BD421" s="6"/>
      <c r="BE421" s="6"/>
      <c r="BF421" s="6"/>
      <c r="BG421" s="6"/>
      <c r="BH421" s="6"/>
      <c r="BI421" s="6"/>
      <c r="BJ421" s="6"/>
      <c r="BK421" s="6"/>
    </row>
    <row r="422" spans="14:63" x14ac:dyDescent="0.25">
      <c r="N422" s="26"/>
      <c r="O422" s="26"/>
      <c r="P422" s="26"/>
      <c r="Q422" s="26"/>
      <c r="R422" s="26"/>
      <c r="AL422" s="1"/>
      <c r="AT422" s="1"/>
      <c r="AU422" s="6"/>
      <c r="AV422" s="6"/>
      <c r="AW422" s="6"/>
      <c r="AX422" s="6"/>
      <c r="AY422" s="6"/>
      <c r="BA422" s="1"/>
      <c r="BB422" s="6"/>
      <c r="BC422" s="6"/>
      <c r="BD422" s="6"/>
      <c r="BE422" s="6"/>
      <c r="BF422" s="6"/>
      <c r="BG422" s="6"/>
      <c r="BH422" s="6"/>
      <c r="BI422" s="6"/>
      <c r="BJ422" s="6"/>
      <c r="BK422" s="6"/>
    </row>
    <row r="423" spans="14:63" x14ac:dyDescent="0.25">
      <c r="N423" s="26"/>
      <c r="O423" s="26"/>
      <c r="P423" s="26"/>
      <c r="Q423" s="26"/>
      <c r="R423" s="26"/>
      <c r="AL423" s="1"/>
      <c r="AT423" s="1"/>
      <c r="AU423" s="6"/>
      <c r="AV423" s="6"/>
      <c r="AW423" s="6"/>
      <c r="AX423" s="6"/>
      <c r="AY423" s="6"/>
      <c r="BA423" s="1"/>
      <c r="BB423" s="6"/>
      <c r="BC423" s="6"/>
      <c r="BD423" s="6"/>
      <c r="BE423" s="6"/>
      <c r="BF423" s="6"/>
      <c r="BG423" s="6"/>
      <c r="BH423" s="6"/>
      <c r="BI423" s="6"/>
      <c r="BJ423" s="6"/>
      <c r="BK423" s="6"/>
    </row>
    <row r="424" spans="14:63" x14ac:dyDescent="0.25">
      <c r="N424" s="26"/>
      <c r="O424" s="26"/>
      <c r="P424" s="26"/>
      <c r="Q424" s="26"/>
      <c r="R424" s="26"/>
      <c r="AL424" s="1"/>
      <c r="AT424" s="1"/>
      <c r="AU424" s="6"/>
      <c r="AV424" s="6"/>
      <c r="AW424" s="6"/>
      <c r="AX424" s="6"/>
      <c r="AY424" s="6"/>
      <c r="BA424" s="1"/>
      <c r="BB424" s="6"/>
      <c r="BC424" s="6"/>
      <c r="BD424" s="6"/>
      <c r="BE424" s="6"/>
      <c r="BF424" s="6"/>
      <c r="BG424" s="6"/>
      <c r="BH424" s="6"/>
      <c r="BI424" s="6"/>
      <c r="BJ424" s="6"/>
      <c r="BK424" s="6"/>
    </row>
    <row r="425" spans="14:63" x14ac:dyDescent="0.25">
      <c r="N425" s="26"/>
      <c r="O425" s="26"/>
      <c r="P425" s="26"/>
      <c r="Q425" s="26"/>
      <c r="R425" s="26"/>
      <c r="AL425" s="1"/>
      <c r="AT425" s="1"/>
      <c r="AU425" s="6"/>
      <c r="AV425" s="6"/>
      <c r="AW425" s="6"/>
      <c r="AX425" s="6"/>
      <c r="AY425" s="6"/>
      <c r="BA425" s="1"/>
      <c r="BB425" s="6"/>
      <c r="BC425" s="6"/>
      <c r="BD425" s="6"/>
      <c r="BE425" s="6"/>
      <c r="BF425" s="6"/>
      <c r="BG425" s="6"/>
      <c r="BH425" s="6"/>
      <c r="BI425" s="6"/>
      <c r="BJ425" s="6"/>
      <c r="BK425" s="6"/>
    </row>
    <row r="426" spans="14:63" x14ac:dyDescent="0.25">
      <c r="N426" s="26"/>
      <c r="O426" s="26"/>
      <c r="P426" s="26"/>
      <c r="Q426" s="26"/>
      <c r="R426" s="26"/>
      <c r="AL426" s="1"/>
      <c r="AT426" s="1"/>
      <c r="AU426" s="6"/>
      <c r="AV426" s="6"/>
      <c r="AW426" s="6"/>
      <c r="AX426" s="6"/>
      <c r="AY426" s="6"/>
      <c r="BA426" s="1"/>
      <c r="BB426" s="6"/>
      <c r="BC426" s="6"/>
      <c r="BD426" s="6"/>
      <c r="BE426" s="6"/>
      <c r="BF426" s="6"/>
      <c r="BG426" s="6"/>
      <c r="BH426" s="6"/>
      <c r="BI426" s="6"/>
      <c r="BJ426" s="6"/>
      <c r="BK426" s="6"/>
    </row>
    <row r="427" spans="14:63" x14ac:dyDescent="0.25">
      <c r="N427" s="26"/>
      <c r="O427" s="26"/>
      <c r="P427" s="26"/>
      <c r="Q427" s="26"/>
      <c r="R427" s="26"/>
      <c r="AL427" s="1"/>
      <c r="AT427" s="1"/>
      <c r="AU427" s="6"/>
      <c r="AV427" s="6"/>
      <c r="AW427" s="6"/>
      <c r="AX427" s="6"/>
      <c r="AY427" s="6"/>
      <c r="BA427" s="1"/>
      <c r="BB427" s="6"/>
      <c r="BC427" s="6"/>
      <c r="BD427" s="6"/>
      <c r="BE427" s="6"/>
      <c r="BF427" s="6"/>
      <c r="BG427" s="6"/>
      <c r="BH427" s="6"/>
      <c r="BI427" s="6"/>
      <c r="BJ427" s="6"/>
      <c r="BK427" s="6"/>
    </row>
    <row r="428" spans="14:63" x14ac:dyDescent="0.25">
      <c r="N428" s="26"/>
      <c r="O428" s="26"/>
      <c r="P428" s="26"/>
      <c r="Q428" s="26"/>
      <c r="R428" s="26"/>
      <c r="AL428" s="1"/>
      <c r="AT428" s="1"/>
      <c r="AU428" s="6"/>
      <c r="AV428" s="6"/>
      <c r="AW428" s="6"/>
      <c r="AX428" s="6"/>
      <c r="AY428" s="6"/>
      <c r="BA428" s="1"/>
      <c r="BB428" s="6"/>
      <c r="BC428" s="6"/>
      <c r="BD428" s="6"/>
      <c r="BE428" s="6"/>
      <c r="BF428" s="6"/>
      <c r="BG428" s="6"/>
      <c r="BH428" s="6"/>
      <c r="BI428" s="6"/>
      <c r="BJ428" s="6"/>
      <c r="BK428" s="6"/>
    </row>
    <row r="429" spans="14:63" x14ac:dyDescent="0.25">
      <c r="N429" s="26"/>
      <c r="O429" s="26"/>
      <c r="P429" s="26"/>
      <c r="Q429" s="26"/>
      <c r="R429" s="26"/>
      <c r="AL429" s="1"/>
      <c r="AT429" s="1"/>
      <c r="AU429" s="6"/>
      <c r="AV429" s="6"/>
      <c r="AW429" s="6"/>
      <c r="AX429" s="6"/>
      <c r="AY429" s="6"/>
      <c r="BA429" s="1"/>
      <c r="BB429" s="6"/>
      <c r="BC429" s="6"/>
      <c r="BD429" s="6"/>
      <c r="BE429" s="6"/>
      <c r="BF429" s="6"/>
      <c r="BG429" s="6"/>
      <c r="BH429" s="6"/>
      <c r="BI429" s="6"/>
      <c r="BJ429" s="6"/>
      <c r="BK429" s="6"/>
    </row>
    <row r="430" spans="14:63" x14ac:dyDescent="0.25">
      <c r="N430" s="26"/>
      <c r="O430" s="26"/>
      <c r="P430" s="26"/>
      <c r="Q430" s="26"/>
      <c r="R430" s="26"/>
      <c r="AL430" s="1"/>
      <c r="AT430" s="1"/>
      <c r="AU430" s="6"/>
      <c r="AV430" s="6"/>
      <c r="AW430" s="6"/>
      <c r="AX430" s="6"/>
      <c r="AY430" s="6"/>
      <c r="BA430" s="1"/>
      <c r="BB430" s="6"/>
      <c r="BC430" s="6"/>
      <c r="BD430" s="6"/>
      <c r="BE430" s="6"/>
      <c r="BF430" s="6"/>
      <c r="BG430" s="6"/>
      <c r="BH430" s="6"/>
      <c r="BI430" s="6"/>
      <c r="BJ430" s="6"/>
      <c r="BK430" s="6"/>
    </row>
    <row r="431" spans="14:63" x14ac:dyDescent="0.25">
      <c r="N431" s="26"/>
      <c r="O431" s="26"/>
      <c r="P431" s="26"/>
      <c r="Q431" s="26"/>
      <c r="R431" s="26"/>
      <c r="AL431" s="1"/>
      <c r="AT431" s="1"/>
      <c r="AU431" s="6"/>
      <c r="AV431" s="6"/>
      <c r="AW431" s="6"/>
      <c r="AX431" s="6"/>
      <c r="AY431" s="6"/>
      <c r="BA431" s="1"/>
      <c r="BB431" s="6"/>
      <c r="BC431" s="6"/>
      <c r="BD431" s="6"/>
      <c r="BE431" s="6"/>
      <c r="BF431" s="6"/>
      <c r="BG431" s="6"/>
      <c r="BH431" s="6"/>
      <c r="BI431" s="6"/>
      <c r="BJ431" s="6"/>
      <c r="BK431" s="6"/>
    </row>
    <row r="432" spans="14:63" x14ac:dyDescent="0.25">
      <c r="N432" s="26"/>
      <c r="O432" s="26"/>
      <c r="P432" s="26"/>
      <c r="Q432" s="26"/>
      <c r="R432" s="26"/>
      <c r="AL432" s="1"/>
      <c r="AT432" s="1"/>
      <c r="AU432" s="6"/>
      <c r="AV432" s="6"/>
      <c r="AW432" s="6"/>
      <c r="AX432" s="6"/>
      <c r="AY432" s="6"/>
      <c r="BA432" s="1"/>
      <c r="BB432" s="6"/>
      <c r="BC432" s="6"/>
      <c r="BD432" s="6"/>
      <c r="BE432" s="6"/>
      <c r="BF432" s="6"/>
      <c r="BG432" s="6"/>
      <c r="BH432" s="6"/>
      <c r="BI432" s="6"/>
      <c r="BJ432" s="6"/>
      <c r="BK432" s="6"/>
    </row>
    <row r="433" spans="14:63" x14ac:dyDescent="0.25">
      <c r="N433" s="26"/>
      <c r="O433" s="26"/>
      <c r="P433" s="26"/>
      <c r="Q433" s="26"/>
      <c r="R433" s="26"/>
      <c r="AL433" s="1"/>
      <c r="AT433" s="1"/>
      <c r="AU433" s="6"/>
      <c r="AV433" s="6"/>
      <c r="AW433" s="6"/>
      <c r="AX433" s="6"/>
      <c r="AY433" s="6"/>
      <c r="BA433" s="1"/>
      <c r="BB433" s="6"/>
      <c r="BC433" s="6"/>
      <c r="BD433" s="6"/>
      <c r="BE433" s="6"/>
      <c r="BF433" s="6"/>
      <c r="BG433" s="6"/>
      <c r="BH433" s="6"/>
      <c r="BI433" s="6"/>
      <c r="BJ433" s="6"/>
      <c r="BK433" s="6"/>
    </row>
    <row r="434" spans="14:63" x14ac:dyDescent="0.25">
      <c r="N434" s="26"/>
      <c r="O434" s="26"/>
      <c r="P434" s="26"/>
      <c r="Q434" s="26"/>
      <c r="R434" s="26"/>
      <c r="AL434" s="1"/>
      <c r="AT434" s="1"/>
      <c r="AU434" s="6"/>
      <c r="AV434" s="6"/>
      <c r="AW434" s="6"/>
      <c r="AX434" s="6"/>
      <c r="AY434" s="6"/>
      <c r="BA434" s="1"/>
      <c r="BB434" s="6"/>
      <c r="BC434" s="6"/>
      <c r="BD434" s="6"/>
      <c r="BE434" s="6"/>
      <c r="BF434" s="6"/>
      <c r="BG434" s="6"/>
      <c r="BH434" s="6"/>
      <c r="BI434" s="6"/>
      <c r="BJ434" s="6"/>
      <c r="BK434" s="6"/>
    </row>
    <row r="435" spans="14:63" x14ac:dyDescent="0.25">
      <c r="N435" s="26"/>
      <c r="O435" s="26"/>
      <c r="P435" s="26"/>
      <c r="Q435" s="26"/>
      <c r="R435" s="26"/>
      <c r="AL435" s="1"/>
      <c r="AT435" s="1"/>
      <c r="AU435" s="6"/>
      <c r="AV435" s="6"/>
      <c r="AW435" s="6"/>
      <c r="AX435" s="6"/>
      <c r="AY435" s="6"/>
      <c r="BA435" s="1"/>
      <c r="BB435" s="6"/>
      <c r="BC435" s="6"/>
      <c r="BD435" s="6"/>
      <c r="BE435" s="6"/>
      <c r="BF435" s="6"/>
      <c r="BG435" s="6"/>
      <c r="BH435" s="6"/>
      <c r="BI435" s="6"/>
      <c r="BJ435" s="6"/>
      <c r="BK435" s="6"/>
    </row>
    <row r="436" spans="14:63" x14ac:dyDescent="0.25">
      <c r="N436" s="26"/>
      <c r="O436" s="26"/>
      <c r="P436" s="26"/>
      <c r="Q436" s="26"/>
      <c r="R436" s="26"/>
      <c r="AL436" s="1"/>
      <c r="AT436" s="1"/>
      <c r="AU436" s="6"/>
      <c r="AV436" s="6"/>
      <c r="AW436" s="6"/>
      <c r="AX436" s="6"/>
      <c r="AY436" s="6"/>
      <c r="BA436" s="1"/>
      <c r="BB436" s="6"/>
      <c r="BC436" s="6"/>
      <c r="BD436" s="6"/>
      <c r="BE436" s="6"/>
      <c r="BF436" s="6"/>
      <c r="BG436" s="6"/>
      <c r="BH436" s="6"/>
      <c r="BI436" s="6"/>
      <c r="BJ436" s="6"/>
      <c r="BK436" s="6"/>
    </row>
    <row r="437" spans="14:63" x14ac:dyDescent="0.25">
      <c r="N437" s="26"/>
      <c r="O437" s="26"/>
      <c r="P437" s="26"/>
      <c r="Q437" s="26"/>
      <c r="R437" s="26"/>
      <c r="AL437" s="1"/>
      <c r="AT437" s="1"/>
      <c r="AU437" s="6"/>
      <c r="AV437" s="6"/>
      <c r="AW437" s="6"/>
      <c r="AX437" s="6"/>
      <c r="AY437" s="6"/>
      <c r="BA437" s="1"/>
      <c r="BB437" s="6"/>
      <c r="BC437" s="6"/>
      <c r="BD437" s="6"/>
      <c r="BE437" s="6"/>
      <c r="BF437" s="6"/>
      <c r="BG437" s="6"/>
      <c r="BH437" s="6"/>
      <c r="BI437" s="6"/>
      <c r="BJ437" s="6"/>
      <c r="BK437" s="6"/>
    </row>
    <row r="438" spans="14:63" x14ac:dyDescent="0.25">
      <c r="N438" s="26"/>
      <c r="O438" s="26"/>
      <c r="P438" s="26"/>
      <c r="Q438" s="26"/>
      <c r="R438" s="26"/>
      <c r="AL438" s="1"/>
      <c r="AT438" s="1"/>
      <c r="AU438" s="6"/>
      <c r="AV438" s="6"/>
      <c r="AW438" s="6"/>
      <c r="AX438" s="6"/>
      <c r="AY438" s="6"/>
      <c r="BA438" s="1"/>
      <c r="BB438" s="6"/>
      <c r="BC438" s="6"/>
      <c r="BD438" s="6"/>
      <c r="BE438" s="6"/>
      <c r="BF438" s="6"/>
      <c r="BG438" s="6"/>
      <c r="BH438" s="6"/>
      <c r="BI438" s="6"/>
      <c r="BJ438" s="6"/>
      <c r="BK438" s="6"/>
    </row>
    <row r="439" spans="14:63" x14ac:dyDescent="0.25">
      <c r="N439" s="26"/>
      <c r="O439" s="26"/>
      <c r="P439" s="26"/>
      <c r="Q439" s="26"/>
      <c r="R439" s="26"/>
      <c r="AL439" s="1"/>
      <c r="AT439" s="1"/>
      <c r="AU439" s="6"/>
      <c r="AV439" s="6"/>
      <c r="AW439" s="6"/>
      <c r="AX439" s="6"/>
      <c r="AY439" s="6"/>
      <c r="BA439" s="1"/>
      <c r="BB439" s="6"/>
      <c r="BC439" s="6"/>
      <c r="BD439" s="6"/>
      <c r="BE439" s="6"/>
      <c r="BF439" s="6"/>
      <c r="BG439" s="6"/>
      <c r="BH439" s="6"/>
      <c r="BI439" s="6"/>
      <c r="BJ439" s="6"/>
      <c r="BK439" s="6"/>
    </row>
    <row r="440" spans="14:63" x14ac:dyDescent="0.25">
      <c r="N440" s="26"/>
      <c r="O440" s="26"/>
      <c r="P440" s="26"/>
      <c r="Q440" s="26"/>
      <c r="R440" s="26"/>
      <c r="AL440" s="1"/>
      <c r="AT440" s="1"/>
      <c r="AU440" s="6"/>
      <c r="AV440" s="6"/>
      <c r="AW440" s="6"/>
      <c r="AX440" s="6"/>
      <c r="AY440" s="6"/>
      <c r="BA440" s="1"/>
      <c r="BB440" s="6"/>
      <c r="BC440" s="6"/>
      <c r="BD440" s="6"/>
      <c r="BE440" s="6"/>
      <c r="BF440" s="6"/>
      <c r="BG440" s="6"/>
      <c r="BH440" s="6"/>
      <c r="BI440" s="6"/>
      <c r="BJ440" s="6"/>
      <c r="BK440" s="6"/>
    </row>
    <row r="441" spans="14:63" x14ac:dyDescent="0.25">
      <c r="N441" s="26"/>
      <c r="O441" s="26"/>
      <c r="P441" s="26"/>
      <c r="Q441" s="26"/>
      <c r="R441" s="26"/>
      <c r="AL441" s="1"/>
      <c r="AT441" s="1"/>
      <c r="AU441" s="6"/>
      <c r="AV441" s="6"/>
      <c r="AW441" s="6"/>
      <c r="AX441" s="6"/>
      <c r="AY441" s="6"/>
      <c r="BA441" s="1"/>
      <c r="BB441" s="6"/>
      <c r="BC441" s="6"/>
      <c r="BD441" s="6"/>
      <c r="BE441" s="6"/>
      <c r="BF441" s="6"/>
      <c r="BG441" s="6"/>
      <c r="BH441" s="6"/>
      <c r="BI441" s="6"/>
      <c r="BJ441" s="6"/>
      <c r="BK441" s="6"/>
    </row>
    <row r="442" spans="14:63" x14ac:dyDescent="0.25">
      <c r="N442" s="26"/>
      <c r="O442" s="26"/>
      <c r="P442" s="26"/>
      <c r="Q442" s="26"/>
      <c r="R442" s="26"/>
      <c r="AL442" s="1"/>
      <c r="AT442" s="1"/>
      <c r="AU442" s="6"/>
      <c r="AV442" s="6"/>
      <c r="AW442" s="6"/>
      <c r="AX442" s="6"/>
      <c r="AY442" s="6"/>
      <c r="BA442" s="1"/>
      <c r="BB442" s="6"/>
      <c r="BC442" s="6"/>
      <c r="BD442" s="6"/>
      <c r="BE442" s="6"/>
      <c r="BF442" s="6"/>
      <c r="BG442" s="6"/>
      <c r="BH442" s="6"/>
      <c r="BI442" s="6"/>
      <c r="BJ442" s="6"/>
      <c r="BK442" s="6"/>
    </row>
    <row r="443" spans="14:63" x14ac:dyDescent="0.25">
      <c r="N443" s="26"/>
      <c r="O443" s="26"/>
      <c r="P443" s="26"/>
      <c r="Q443" s="26"/>
      <c r="R443" s="26"/>
      <c r="AL443" s="1"/>
      <c r="AT443" s="1"/>
      <c r="AU443" s="6"/>
      <c r="AV443" s="6"/>
      <c r="AW443" s="6"/>
      <c r="AX443" s="6"/>
      <c r="AY443" s="6"/>
      <c r="BA443" s="1"/>
      <c r="BB443" s="6"/>
      <c r="BC443" s="6"/>
      <c r="BD443" s="6"/>
      <c r="BE443" s="6"/>
      <c r="BF443" s="6"/>
      <c r="BG443" s="6"/>
      <c r="BH443" s="6"/>
      <c r="BI443" s="6"/>
      <c r="BJ443" s="6"/>
      <c r="BK443" s="6"/>
    </row>
    <row r="444" spans="14:63" x14ac:dyDescent="0.25">
      <c r="N444" s="26"/>
      <c r="O444" s="26"/>
      <c r="P444" s="26"/>
      <c r="Q444" s="26"/>
      <c r="R444" s="26"/>
      <c r="AL444" s="1"/>
      <c r="AT444" s="1"/>
      <c r="AU444" s="6"/>
      <c r="AV444" s="6"/>
      <c r="AW444" s="6"/>
      <c r="AX444" s="6"/>
      <c r="AY444" s="6"/>
      <c r="BA444" s="1"/>
      <c r="BB444" s="6"/>
      <c r="BC444" s="6"/>
      <c r="BD444" s="6"/>
      <c r="BE444" s="6"/>
      <c r="BF444" s="6"/>
      <c r="BG444" s="6"/>
      <c r="BH444" s="6"/>
      <c r="BI444" s="6"/>
      <c r="BJ444" s="6"/>
      <c r="BK444" s="6"/>
    </row>
    <row r="445" spans="14:63" x14ac:dyDescent="0.25">
      <c r="N445" s="26"/>
      <c r="O445" s="26"/>
      <c r="P445" s="26"/>
      <c r="Q445" s="26"/>
      <c r="R445" s="26"/>
      <c r="AL445" s="1"/>
      <c r="AT445" s="1"/>
      <c r="AU445" s="6"/>
      <c r="AV445" s="6"/>
      <c r="AW445" s="6"/>
      <c r="AX445" s="6"/>
      <c r="AY445" s="6"/>
      <c r="BA445" s="1"/>
      <c r="BB445" s="6"/>
      <c r="BC445" s="6"/>
      <c r="BD445" s="6"/>
      <c r="BE445" s="6"/>
      <c r="BF445" s="6"/>
      <c r="BG445" s="6"/>
      <c r="BH445" s="6"/>
      <c r="BI445" s="6"/>
      <c r="BJ445" s="6"/>
      <c r="BK445" s="6"/>
    </row>
    <row r="446" spans="14:63" x14ac:dyDescent="0.25">
      <c r="N446" s="26"/>
      <c r="O446" s="26"/>
      <c r="P446" s="26"/>
      <c r="Q446" s="26"/>
      <c r="R446" s="26"/>
      <c r="AL446" s="1"/>
      <c r="AT446" s="1"/>
      <c r="AU446" s="6"/>
      <c r="AV446" s="6"/>
      <c r="AW446" s="6"/>
      <c r="AX446" s="6"/>
      <c r="AY446" s="6"/>
      <c r="BA446" s="1"/>
      <c r="BB446" s="6"/>
      <c r="BC446" s="6"/>
      <c r="BD446" s="6"/>
      <c r="BE446" s="6"/>
      <c r="BF446" s="6"/>
      <c r="BG446" s="6"/>
      <c r="BH446" s="6"/>
      <c r="BI446" s="6"/>
      <c r="BJ446" s="6"/>
      <c r="BK446" s="6"/>
    </row>
    <row r="447" spans="14:63" x14ac:dyDescent="0.25">
      <c r="N447" s="26"/>
      <c r="O447" s="26"/>
      <c r="P447" s="26"/>
      <c r="Q447" s="26"/>
      <c r="R447" s="26"/>
      <c r="AL447" s="1"/>
      <c r="AT447" s="1"/>
      <c r="AU447" s="6"/>
      <c r="AV447" s="6"/>
      <c r="AW447" s="6"/>
      <c r="AX447" s="6"/>
      <c r="AY447" s="6"/>
      <c r="BA447" s="1"/>
      <c r="BB447" s="6"/>
      <c r="BC447" s="6"/>
      <c r="BD447" s="6"/>
      <c r="BE447" s="6"/>
      <c r="BF447" s="6"/>
      <c r="BG447" s="6"/>
      <c r="BH447" s="6"/>
      <c r="BI447" s="6"/>
      <c r="BJ447" s="6"/>
      <c r="BK447" s="6"/>
    </row>
    <row r="448" spans="14:63" x14ac:dyDescent="0.25">
      <c r="N448" s="26"/>
      <c r="O448" s="26"/>
      <c r="P448" s="26"/>
      <c r="Q448" s="26"/>
      <c r="R448" s="26"/>
      <c r="AL448" s="1"/>
      <c r="AT448" s="1"/>
      <c r="AU448" s="6"/>
      <c r="AV448" s="6"/>
      <c r="AW448" s="6"/>
      <c r="AX448" s="6"/>
      <c r="AY448" s="6"/>
      <c r="BA448" s="1"/>
      <c r="BB448" s="6"/>
      <c r="BC448" s="6"/>
      <c r="BD448" s="6"/>
      <c r="BE448" s="6"/>
      <c r="BF448" s="6"/>
      <c r="BG448" s="6"/>
      <c r="BH448" s="6"/>
      <c r="BI448" s="6"/>
      <c r="BJ448" s="6"/>
      <c r="BK448" s="6"/>
    </row>
    <row r="449" spans="14:63" x14ac:dyDescent="0.25">
      <c r="N449" s="26"/>
      <c r="O449" s="26"/>
      <c r="P449" s="26"/>
      <c r="Q449" s="26"/>
      <c r="R449" s="26"/>
      <c r="AL449" s="1"/>
      <c r="AT449" s="1"/>
      <c r="AU449" s="6"/>
      <c r="AV449" s="6"/>
      <c r="AW449" s="6"/>
      <c r="AX449" s="6"/>
      <c r="AY449" s="6"/>
      <c r="BA449" s="1"/>
      <c r="BB449" s="6"/>
      <c r="BC449" s="6"/>
      <c r="BD449" s="6"/>
      <c r="BE449" s="6"/>
      <c r="BF449" s="6"/>
      <c r="BG449" s="6"/>
      <c r="BH449" s="6"/>
      <c r="BI449" s="6"/>
      <c r="BJ449" s="6"/>
      <c r="BK449" s="6"/>
    </row>
    <row r="450" spans="14:63" x14ac:dyDescent="0.25">
      <c r="N450" s="26"/>
      <c r="O450" s="26"/>
      <c r="P450" s="26"/>
      <c r="Q450" s="26"/>
      <c r="R450" s="26"/>
      <c r="AL450" s="1"/>
      <c r="AT450" s="1"/>
      <c r="AU450" s="6"/>
      <c r="AV450" s="6"/>
      <c r="AW450" s="6"/>
      <c r="AX450" s="6"/>
      <c r="AY450" s="6"/>
      <c r="BA450" s="1"/>
      <c r="BB450" s="6"/>
      <c r="BC450" s="6"/>
      <c r="BD450" s="6"/>
      <c r="BE450" s="6"/>
      <c r="BF450" s="6"/>
      <c r="BG450" s="6"/>
      <c r="BH450" s="6"/>
      <c r="BI450" s="6"/>
      <c r="BJ450" s="6"/>
      <c r="BK450" s="6"/>
    </row>
    <row r="451" spans="14:63" x14ac:dyDescent="0.25">
      <c r="N451" s="26"/>
      <c r="O451" s="26"/>
      <c r="P451" s="26"/>
      <c r="Q451" s="26"/>
      <c r="R451" s="26"/>
      <c r="AL451" s="1"/>
      <c r="AT451" s="1"/>
      <c r="AU451" s="6"/>
      <c r="AV451" s="6"/>
      <c r="AW451" s="6"/>
      <c r="AX451" s="6"/>
      <c r="AY451" s="6"/>
      <c r="BA451" s="1"/>
      <c r="BB451" s="6"/>
      <c r="BC451" s="6"/>
      <c r="BD451" s="6"/>
      <c r="BE451" s="6"/>
      <c r="BF451" s="6"/>
      <c r="BG451" s="6"/>
      <c r="BH451" s="6"/>
      <c r="BI451" s="6"/>
      <c r="BJ451" s="6"/>
      <c r="BK451" s="6"/>
    </row>
    <row r="452" spans="14:63" x14ac:dyDescent="0.25">
      <c r="N452" s="26"/>
      <c r="O452" s="26"/>
      <c r="P452" s="26"/>
      <c r="Q452" s="26"/>
      <c r="R452" s="26"/>
      <c r="AL452" s="1"/>
      <c r="AT452" s="1"/>
      <c r="AU452" s="6"/>
      <c r="AV452" s="6"/>
      <c r="AW452" s="6"/>
      <c r="AX452" s="6"/>
      <c r="AY452" s="6"/>
      <c r="BA452" s="1"/>
      <c r="BB452" s="6"/>
      <c r="BC452" s="6"/>
      <c r="BD452" s="6"/>
      <c r="BE452" s="6"/>
      <c r="BF452" s="6"/>
      <c r="BG452" s="6"/>
      <c r="BH452" s="6"/>
      <c r="BI452" s="6"/>
      <c r="BJ452" s="6"/>
      <c r="BK452" s="6"/>
    </row>
    <row r="453" spans="14:63" x14ac:dyDescent="0.25">
      <c r="N453" s="26"/>
      <c r="O453" s="26"/>
      <c r="P453" s="26"/>
      <c r="Q453" s="26"/>
      <c r="R453" s="26"/>
      <c r="AL453" s="1"/>
      <c r="AT453" s="1"/>
      <c r="AU453" s="6"/>
      <c r="AV453" s="6"/>
      <c r="AW453" s="6"/>
      <c r="AX453" s="6"/>
      <c r="AY453" s="6"/>
      <c r="BA453" s="1"/>
      <c r="BB453" s="6"/>
      <c r="BC453" s="6"/>
      <c r="BD453" s="6"/>
      <c r="BE453" s="6"/>
      <c r="BF453" s="6"/>
      <c r="BG453" s="6"/>
      <c r="BH453" s="6"/>
      <c r="BI453" s="6"/>
      <c r="BJ453" s="6"/>
      <c r="BK453" s="6"/>
    </row>
    <row r="454" spans="14:63" x14ac:dyDescent="0.25">
      <c r="N454" s="26"/>
      <c r="O454" s="26"/>
      <c r="P454" s="26"/>
      <c r="Q454" s="26"/>
      <c r="R454" s="26"/>
      <c r="AL454" s="1"/>
      <c r="AT454" s="1"/>
      <c r="AU454" s="6"/>
      <c r="AV454" s="6"/>
      <c r="AW454" s="6"/>
      <c r="AX454" s="6"/>
      <c r="AY454" s="6"/>
      <c r="BA454" s="1"/>
      <c r="BB454" s="6"/>
      <c r="BC454" s="6"/>
      <c r="BD454" s="6"/>
      <c r="BE454" s="6"/>
      <c r="BF454" s="6"/>
      <c r="BG454" s="6"/>
      <c r="BH454" s="6"/>
      <c r="BI454" s="6"/>
      <c r="BJ454" s="6"/>
      <c r="BK454" s="6"/>
    </row>
    <row r="455" spans="14:63" x14ac:dyDescent="0.25">
      <c r="N455" s="26"/>
      <c r="O455" s="26"/>
      <c r="P455" s="26"/>
      <c r="Q455" s="26"/>
      <c r="R455" s="26"/>
      <c r="AL455" s="1"/>
      <c r="AT455" s="1"/>
      <c r="AU455" s="6"/>
      <c r="AV455" s="6"/>
      <c r="AW455" s="6"/>
      <c r="AX455" s="6"/>
      <c r="AY455" s="6"/>
      <c r="BA455" s="1"/>
      <c r="BB455" s="6"/>
      <c r="BC455" s="6"/>
      <c r="BD455" s="6"/>
      <c r="BE455" s="6"/>
      <c r="BF455" s="6"/>
      <c r="BG455" s="6"/>
      <c r="BH455" s="6"/>
      <c r="BI455" s="6"/>
      <c r="BJ455" s="6"/>
      <c r="BK455" s="6"/>
    </row>
    <row r="456" spans="14:63" x14ac:dyDescent="0.25">
      <c r="N456" s="26"/>
      <c r="O456" s="26"/>
      <c r="P456" s="26"/>
      <c r="Q456" s="26"/>
      <c r="R456" s="26"/>
      <c r="AL456" s="1"/>
      <c r="AT456" s="1"/>
      <c r="AU456" s="6"/>
      <c r="AV456" s="6"/>
      <c r="AW456" s="6"/>
      <c r="AX456" s="6"/>
      <c r="AY456" s="6"/>
      <c r="BA456" s="1"/>
      <c r="BB456" s="6"/>
      <c r="BC456" s="6"/>
      <c r="BD456" s="6"/>
      <c r="BE456" s="6"/>
      <c r="BF456" s="6"/>
      <c r="BG456" s="6"/>
      <c r="BH456" s="6"/>
      <c r="BI456" s="6"/>
      <c r="BJ456" s="6"/>
      <c r="BK456" s="6"/>
    </row>
    <row r="457" spans="14:63" x14ac:dyDescent="0.25">
      <c r="N457" s="26"/>
      <c r="O457" s="26"/>
      <c r="P457" s="26"/>
      <c r="Q457" s="26"/>
      <c r="R457" s="26"/>
      <c r="AL457" s="1"/>
      <c r="AT457" s="1"/>
      <c r="AU457" s="6"/>
      <c r="AV457" s="6"/>
      <c r="AW457" s="6"/>
      <c r="AX457" s="6"/>
      <c r="AY457" s="6"/>
      <c r="BA457" s="1"/>
      <c r="BB457" s="6"/>
      <c r="BC457" s="6"/>
      <c r="BD457" s="6"/>
      <c r="BE457" s="6"/>
      <c r="BF457" s="6"/>
      <c r="BG457" s="6"/>
      <c r="BH457" s="6"/>
      <c r="BI457" s="6"/>
      <c r="BJ457" s="6"/>
      <c r="BK457" s="6"/>
    </row>
    <row r="458" spans="14:63" x14ac:dyDescent="0.25">
      <c r="N458" s="26"/>
      <c r="O458" s="26"/>
      <c r="P458" s="26"/>
      <c r="Q458" s="26"/>
      <c r="R458" s="26"/>
      <c r="AL458" s="1"/>
      <c r="AT458" s="1"/>
      <c r="AU458" s="6"/>
      <c r="AV458" s="6"/>
      <c r="AW458" s="6"/>
      <c r="AX458" s="6"/>
      <c r="AY458" s="6"/>
      <c r="BA458" s="1"/>
      <c r="BB458" s="6"/>
      <c r="BC458" s="6"/>
      <c r="BD458" s="6"/>
      <c r="BE458" s="6"/>
      <c r="BF458" s="6"/>
      <c r="BG458" s="6"/>
      <c r="BH458" s="6"/>
      <c r="BI458" s="6"/>
      <c r="BJ458" s="6"/>
      <c r="BK458" s="6"/>
    </row>
    <row r="459" spans="14:63" x14ac:dyDescent="0.25">
      <c r="N459" s="26"/>
      <c r="O459" s="26"/>
      <c r="P459" s="26"/>
      <c r="Q459" s="26"/>
      <c r="R459" s="26"/>
      <c r="AL459" s="1"/>
      <c r="AT459" s="1"/>
      <c r="AU459" s="6"/>
      <c r="AV459" s="6"/>
      <c r="AW459" s="6"/>
      <c r="AX459" s="6"/>
      <c r="AY459" s="6"/>
      <c r="BA459" s="1"/>
      <c r="BB459" s="6"/>
      <c r="BC459" s="6"/>
      <c r="BD459" s="6"/>
      <c r="BE459" s="6"/>
      <c r="BF459" s="6"/>
      <c r="BG459" s="6"/>
      <c r="BH459" s="6"/>
      <c r="BI459" s="6"/>
      <c r="BJ459" s="6"/>
      <c r="BK459" s="6"/>
    </row>
    <row r="460" spans="14:63" x14ac:dyDescent="0.25">
      <c r="N460" s="26"/>
      <c r="O460" s="26"/>
      <c r="P460" s="26"/>
      <c r="Q460" s="26"/>
      <c r="R460" s="26"/>
      <c r="AL460" s="1"/>
      <c r="AT460" s="1"/>
      <c r="AU460" s="6"/>
      <c r="AV460" s="6"/>
      <c r="AW460" s="6"/>
      <c r="AX460" s="6"/>
      <c r="AY460" s="6"/>
      <c r="BA460" s="1"/>
      <c r="BB460" s="6"/>
      <c r="BC460" s="6"/>
      <c r="BD460" s="6"/>
      <c r="BE460" s="6"/>
      <c r="BF460" s="6"/>
      <c r="BG460" s="6"/>
      <c r="BH460" s="6"/>
      <c r="BI460" s="6"/>
      <c r="BJ460" s="6"/>
      <c r="BK460" s="6"/>
    </row>
    <row r="461" spans="14:63" x14ac:dyDescent="0.25">
      <c r="N461" s="26"/>
      <c r="O461" s="26"/>
      <c r="P461" s="26"/>
      <c r="Q461" s="26"/>
      <c r="R461" s="26"/>
      <c r="AL461" s="1"/>
      <c r="AT461" s="1"/>
      <c r="AU461" s="6"/>
      <c r="AV461" s="6"/>
      <c r="AW461" s="6"/>
      <c r="AX461" s="6"/>
      <c r="AY461" s="6"/>
      <c r="BA461" s="1"/>
      <c r="BB461" s="6"/>
      <c r="BC461" s="6"/>
      <c r="BD461" s="6"/>
      <c r="BE461" s="6"/>
      <c r="BF461" s="6"/>
      <c r="BG461" s="6"/>
      <c r="BH461" s="6"/>
      <c r="BI461" s="6"/>
      <c r="BJ461" s="6"/>
      <c r="BK461" s="6"/>
    </row>
    <row r="462" spans="14:63" x14ac:dyDescent="0.25">
      <c r="N462" s="26"/>
      <c r="O462" s="26"/>
      <c r="P462" s="26"/>
      <c r="Q462" s="26"/>
      <c r="R462" s="26"/>
      <c r="AL462" s="1"/>
      <c r="AT462" s="1"/>
      <c r="AU462" s="6"/>
      <c r="AV462" s="6"/>
      <c r="AW462" s="6"/>
      <c r="AX462" s="6"/>
      <c r="AY462" s="6"/>
      <c r="BA462" s="1"/>
      <c r="BB462" s="6"/>
      <c r="BC462" s="6"/>
      <c r="BD462" s="6"/>
      <c r="BE462" s="6"/>
      <c r="BF462" s="6"/>
      <c r="BG462" s="6"/>
      <c r="BH462" s="6"/>
      <c r="BI462" s="6"/>
      <c r="BJ462" s="6"/>
      <c r="BK462" s="6"/>
    </row>
    <row r="463" spans="14:63" x14ac:dyDescent="0.25">
      <c r="N463" s="26"/>
      <c r="O463" s="26"/>
      <c r="P463" s="26"/>
      <c r="Q463" s="26"/>
      <c r="R463" s="26"/>
      <c r="AL463" s="1"/>
      <c r="AT463" s="1"/>
      <c r="AU463" s="6"/>
      <c r="AV463" s="6"/>
      <c r="AW463" s="6"/>
      <c r="AX463" s="6"/>
      <c r="AY463" s="6"/>
      <c r="BA463" s="1"/>
      <c r="BB463" s="6"/>
      <c r="BC463" s="6"/>
      <c r="BD463" s="6"/>
      <c r="BE463" s="6"/>
      <c r="BF463" s="6"/>
      <c r="BG463" s="6"/>
      <c r="BH463" s="6"/>
      <c r="BI463" s="6"/>
      <c r="BJ463" s="6"/>
      <c r="BK463" s="6"/>
    </row>
    <row r="464" spans="14:63" x14ac:dyDescent="0.25">
      <c r="N464" s="26"/>
      <c r="O464" s="26"/>
      <c r="P464" s="26"/>
      <c r="Q464" s="26"/>
      <c r="R464" s="26"/>
      <c r="AL464" s="1"/>
      <c r="AT464" s="1"/>
      <c r="AU464" s="6"/>
      <c r="AV464" s="6"/>
      <c r="AW464" s="6"/>
      <c r="AX464" s="6"/>
      <c r="AY464" s="6"/>
      <c r="BA464" s="1"/>
      <c r="BB464" s="6"/>
      <c r="BC464" s="6"/>
      <c r="BD464" s="6"/>
      <c r="BE464" s="6"/>
      <c r="BF464" s="6"/>
      <c r="BG464" s="6"/>
      <c r="BH464" s="6"/>
      <c r="BI464" s="6"/>
      <c r="BJ464" s="6"/>
      <c r="BK464" s="6"/>
    </row>
    <row r="465" spans="14:63" x14ac:dyDescent="0.25">
      <c r="N465" s="26"/>
      <c r="O465" s="26"/>
      <c r="P465" s="26"/>
      <c r="Q465" s="26"/>
      <c r="R465" s="26"/>
      <c r="AL465" s="1"/>
      <c r="AT465" s="1"/>
      <c r="AU465" s="6"/>
      <c r="AV465" s="6"/>
      <c r="AW465" s="6"/>
      <c r="AX465" s="6"/>
      <c r="AY465" s="6"/>
      <c r="BA465" s="1"/>
      <c r="BB465" s="6"/>
      <c r="BC465" s="6"/>
      <c r="BD465" s="6"/>
      <c r="BE465" s="6"/>
      <c r="BF465" s="6"/>
      <c r="BG465" s="6"/>
      <c r="BH465" s="6"/>
      <c r="BI465" s="6"/>
      <c r="BJ465" s="6"/>
      <c r="BK465" s="6"/>
    </row>
    <row r="466" spans="14:63" x14ac:dyDescent="0.25">
      <c r="N466" s="26"/>
      <c r="O466" s="26"/>
      <c r="P466" s="26"/>
      <c r="Q466" s="26"/>
      <c r="R466" s="26"/>
      <c r="AL466" s="1"/>
      <c r="AT466" s="1"/>
      <c r="AU466" s="6"/>
      <c r="AV466" s="6"/>
      <c r="AW466" s="6"/>
      <c r="AX466" s="6"/>
      <c r="AY466" s="6"/>
      <c r="BA466" s="1"/>
      <c r="BB466" s="6"/>
      <c r="BC466" s="6"/>
      <c r="BD466" s="6"/>
      <c r="BE466" s="6"/>
      <c r="BF466" s="6"/>
      <c r="BG466" s="6"/>
      <c r="BH466" s="6"/>
      <c r="BI466" s="6"/>
      <c r="BJ466" s="6"/>
      <c r="BK466" s="6"/>
    </row>
    <row r="467" spans="14:63" x14ac:dyDescent="0.25">
      <c r="N467" s="26"/>
      <c r="O467" s="26"/>
      <c r="P467" s="26"/>
      <c r="Q467" s="26"/>
      <c r="R467" s="26"/>
      <c r="AL467" s="1"/>
      <c r="AT467" s="1"/>
      <c r="AU467" s="6"/>
      <c r="AV467" s="6"/>
      <c r="AW467" s="6"/>
      <c r="AX467" s="6"/>
      <c r="AY467" s="6"/>
      <c r="BA467" s="1"/>
      <c r="BB467" s="6"/>
      <c r="BC467" s="6"/>
      <c r="BD467" s="6"/>
      <c r="BE467" s="6"/>
      <c r="BF467" s="6"/>
      <c r="BG467" s="6"/>
      <c r="BH467" s="6"/>
      <c r="BI467" s="6"/>
      <c r="BJ467" s="6"/>
      <c r="BK467" s="6"/>
    </row>
    <row r="468" spans="14:63" x14ac:dyDescent="0.25">
      <c r="N468" s="26"/>
      <c r="O468" s="26"/>
      <c r="P468" s="26"/>
      <c r="Q468" s="26"/>
      <c r="R468" s="26"/>
      <c r="AL468" s="1"/>
      <c r="AT468" s="1"/>
      <c r="AU468" s="6"/>
      <c r="AV468" s="6"/>
      <c r="AW468" s="6"/>
      <c r="AX468" s="6"/>
      <c r="AY468" s="6"/>
      <c r="BA468" s="1"/>
      <c r="BB468" s="6"/>
      <c r="BC468" s="6"/>
      <c r="BD468" s="6"/>
      <c r="BE468" s="6"/>
      <c r="BF468" s="6"/>
      <c r="BG468" s="6"/>
      <c r="BH468" s="6"/>
      <c r="BI468" s="6"/>
      <c r="BJ468" s="6"/>
      <c r="BK468" s="6"/>
    </row>
    <row r="469" spans="14:63" x14ac:dyDescent="0.25">
      <c r="N469" s="26"/>
      <c r="O469" s="26"/>
      <c r="P469" s="26"/>
      <c r="Q469" s="26"/>
      <c r="R469" s="26"/>
      <c r="AL469" s="1"/>
      <c r="AT469" s="1"/>
      <c r="AU469" s="6"/>
      <c r="AV469" s="6"/>
      <c r="AW469" s="6"/>
      <c r="AX469" s="6"/>
      <c r="AY469" s="6"/>
      <c r="BA469" s="1"/>
      <c r="BB469" s="6"/>
      <c r="BC469" s="6"/>
      <c r="BD469" s="6"/>
      <c r="BE469" s="6"/>
      <c r="BF469" s="6"/>
      <c r="BG469" s="6"/>
      <c r="BH469" s="6"/>
      <c r="BI469" s="6"/>
      <c r="BJ469" s="6"/>
      <c r="BK469" s="6"/>
    </row>
    <row r="470" spans="14:63" x14ac:dyDescent="0.25">
      <c r="N470" s="26"/>
      <c r="O470" s="26"/>
      <c r="P470" s="26"/>
      <c r="Q470" s="26"/>
      <c r="R470" s="26"/>
      <c r="AL470" s="1"/>
      <c r="AT470" s="1"/>
      <c r="AU470" s="6"/>
      <c r="AV470" s="6"/>
      <c r="AW470" s="6"/>
      <c r="AX470" s="6"/>
      <c r="AY470" s="6"/>
      <c r="BA470" s="1"/>
      <c r="BB470" s="6"/>
      <c r="BC470" s="6"/>
      <c r="BD470" s="6"/>
      <c r="BE470" s="6"/>
      <c r="BF470" s="6"/>
      <c r="BG470" s="6"/>
      <c r="BH470" s="6"/>
      <c r="BI470" s="6"/>
      <c r="BJ470" s="6"/>
      <c r="BK470" s="6"/>
    </row>
    <row r="471" spans="14:63" x14ac:dyDescent="0.25">
      <c r="N471" s="26"/>
      <c r="O471" s="26"/>
      <c r="P471" s="26"/>
      <c r="Q471" s="26"/>
      <c r="R471" s="26"/>
      <c r="AL471" s="1"/>
      <c r="AT471" s="1"/>
      <c r="AU471" s="6"/>
      <c r="AV471" s="6"/>
      <c r="AW471" s="6"/>
      <c r="AX471" s="6"/>
      <c r="AY471" s="6"/>
      <c r="BA471" s="1"/>
      <c r="BB471" s="6"/>
      <c r="BC471" s="6"/>
      <c r="BD471" s="6"/>
      <c r="BE471" s="6"/>
      <c r="BF471" s="6"/>
      <c r="BG471" s="6"/>
      <c r="BH471" s="6"/>
      <c r="BI471" s="6"/>
      <c r="BJ471" s="6"/>
      <c r="BK471" s="6"/>
    </row>
    <row r="472" spans="14:63" x14ac:dyDescent="0.25">
      <c r="N472" s="26"/>
      <c r="O472" s="26"/>
      <c r="P472" s="26"/>
      <c r="Q472" s="26"/>
      <c r="R472" s="26"/>
      <c r="AL472" s="1"/>
      <c r="AT472" s="1"/>
      <c r="AU472" s="6"/>
      <c r="AV472" s="6"/>
      <c r="AW472" s="6"/>
      <c r="AX472" s="6"/>
      <c r="AY472" s="6"/>
      <c r="BA472" s="1"/>
      <c r="BB472" s="6"/>
      <c r="BC472" s="6"/>
      <c r="BD472" s="6"/>
      <c r="BE472" s="6"/>
      <c r="BF472" s="6"/>
      <c r="BG472" s="6"/>
      <c r="BH472" s="6"/>
      <c r="BI472" s="6"/>
      <c r="BJ472" s="6"/>
      <c r="BK472" s="6"/>
    </row>
    <row r="473" spans="14:63" x14ac:dyDescent="0.25">
      <c r="N473" s="26"/>
      <c r="O473" s="26"/>
      <c r="P473" s="26"/>
      <c r="Q473" s="26"/>
      <c r="R473" s="26"/>
      <c r="AL473" s="1"/>
      <c r="AT473" s="1"/>
      <c r="AU473" s="6"/>
      <c r="AV473" s="6"/>
      <c r="AW473" s="6"/>
      <c r="AX473" s="6"/>
      <c r="AY473" s="6"/>
      <c r="BA473" s="1"/>
      <c r="BB473" s="6"/>
      <c r="BC473" s="6"/>
      <c r="BD473" s="6"/>
      <c r="BE473" s="6"/>
      <c r="BF473" s="6"/>
      <c r="BG473" s="6"/>
      <c r="BH473" s="6"/>
      <c r="BI473" s="6"/>
      <c r="BJ473" s="6"/>
      <c r="BK473" s="6"/>
    </row>
    <row r="474" spans="14:63" x14ac:dyDescent="0.25">
      <c r="N474" s="26"/>
      <c r="O474" s="26"/>
      <c r="P474" s="26"/>
      <c r="Q474" s="26"/>
      <c r="R474" s="26"/>
      <c r="AL474" s="1"/>
      <c r="AT474" s="1"/>
      <c r="AU474" s="6"/>
      <c r="AV474" s="6"/>
      <c r="AW474" s="6"/>
      <c r="AX474" s="6"/>
      <c r="AY474" s="6"/>
      <c r="BA474" s="1"/>
      <c r="BB474" s="6"/>
      <c r="BC474" s="6"/>
      <c r="BD474" s="6"/>
      <c r="BE474" s="6"/>
      <c r="BF474" s="6"/>
      <c r="BG474" s="6"/>
      <c r="BH474" s="6"/>
      <c r="BI474" s="6"/>
      <c r="BJ474" s="6"/>
      <c r="BK474" s="6"/>
    </row>
    <row r="475" spans="14:63" x14ac:dyDescent="0.25">
      <c r="N475" s="26"/>
      <c r="O475" s="26"/>
      <c r="P475" s="26"/>
      <c r="Q475" s="26"/>
      <c r="R475" s="26"/>
      <c r="AL475" s="1"/>
      <c r="AT475" s="1"/>
      <c r="AU475" s="6"/>
      <c r="AV475" s="6"/>
      <c r="AW475" s="6"/>
      <c r="AX475" s="6"/>
      <c r="AY475" s="6"/>
      <c r="BA475" s="1"/>
      <c r="BB475" s="6"/>
      <c r="BC475" s="6"/>
      <c r="BD475" s="6"/>
      <c r="BE475" s="6"/>
      <c r="BF475" s="6"/>
      <c r="BG475" s="6"/>
      <c r="BH475" s="6"/>
      <c r="BI475" s="6"/>
      <c r="BJ475" s="6"/>
      <c r="BK475" s="6"/>
    </row>
    <row r="476" spans="14:63" x14ac:dyDescent="0.25">
      <c r="N476" s="26"/>
      <c r="O476" s="26"/>
      <c r="P476" s="26"/>
      <c r="Q476" s="26"/>
      <c r="R476" s="26"/>
      <c r="AL476" s="1"/>
      <c r="AT476" s="1"/>
      <c r="AU476" s="6"/>
      <c r="AV476" s="6"/>
      <c r="AW476" s="6"/>
      <c r="AX476" s="6"/>
      <c r="AY476" s="6"/>
      <c r="BA476" s="1"/>
      <c r="BB476" s="6"/>
      <c r="BC476" s="6"/>
      <c r="BD476" s="6"/>
      <c r="BE476" s="6"/>
      <c r="BF476" s="6"/>
      <c r="BG476" s="6"/>
      <c r="BH476" s="6"/>
      <c r="BI476" s="6"/>
      <c r="BJ476" s="6"/>
      <c r="BK476" s="6"/>
    </row>
    <row r="477" spans="14:63" x14ac:dyDescent="0.25">
      <c r="N477" s="26"/>
      <c r="O477" s="26"/>
      <c r="P477" s="26"/>
      <c r="Q477" s="26"/>
      <c r="R477" s="26"/>
      <c r="AL477" s="1"/>
      <c r="AT477" s="1"/>
      <c r="AU477" s="6"/>
      <c r="AV477" s="6"/>
      <c r="AW477" s="6"/>
      <c r="AX477" s="6"/>
      <c r="AY477" s="6"/>
      <c r="BA477" s="1"/>
      <c r="BB477" s="6"/>
      <c r="BC477" s="6"/>
      <c r="BD477" s="6"/>
      <c r="BE477" s="6"/>
      <c r="BF477" s="6"/>
      <c r="BG477" s="6"/>
      <c r="BH477" s="6"/>
      <c r="BI477" s="6"/>
      <c r="BJ477" s="6"/>
      <c r="BK477" s="6"/>
    </row>
    <row r="478" spans="14:63" x14ac:dyDescent="0.25">
      <c r="N478" s="26"/>
      <c r="O478" s="26"/>
      <c r="P478" s="26"/>
      <c r="Q478" s="26"/>
      <c r="R478" s="26"/>
      <c r="AL478" s="1"/>
      <c r="AT478" s="1"/>
      <c r="AU478" s="6"/>
      <c r="AV478" s="6"/>
      <c r="AW478" s="6"/>
      <c r="AX478" s="6"/>
      <c r="AY478" s="6"/>
      <c r="BA478" s="1"/>
      <c r="BB478" s="6"/>
      <c r="BC478" s="6"/>
      <c r="BD478" s="6"/>
      <c r="BE478" s="6"/>
      <c r="BF478" s="6"/>
      <c r="BG478" s="6"/>
      <c r="BH478" s="6"/>
      <c r="BI478" s="6"/>
      <c r="BJ478" s="6"/>
      <c r="BK478" s="6"/>
    </row>
    <row r="479" spans="14:63" x14ac:dyDescent="0.25">
      <c r="N479" s="26"/>
      <c r="O479" s="26"/>
      <c r="P479" s="26"/>
      <c r="Q479" s="26"/>
      <c r="R479" s="26"/>
      <c r="AL479" s="1"/>
      <c r="AT479" s="1"/>
      <c r="AU479" s="6"/>
      <c r="AV479" s="6"/>
      <c r="AW479" s="6"/>
      <c r="AX479" s="6"/>
      <c r="AY479" s="6"/>
      <c r="BA479" s="1"/>
      <c r="BB479" s="6"/>
      <c r="BC479" s="6"/>
      <c r="BD479" s="6"/>
      <c r="BE479" s="6"/>
      <c r="BF479" s="6"/>
      <c r="BG479" s="6"/>
      <c r="BH479" s="6"/>
      <c r="BI479" s="6"/>
      <c r="BJ479" s="6"/>
      <c r="BK479" s="6"/>
    </row>
    <row r="480" spans="14:63" x14ac:dyDescent="0.25">
      <c r="N480" s="26"/>
      <c r="O480" s="26"/>
      <c r="P480" s="26"/>
      <c r="Q480" s="26"/>
      <c r="R480" s="26"/>
      <c r="AL480" s="1"/>
      <c r="AT480" s="1"/>
      <c r="AU480" s="6"/>
      <c r="AV480" s="6"/>
      <c r="AW480" s="6"/>
      <c r="AX480" s="6"/>
      <c r="AY480" s="6"/>
      <c r="BA480" s="1"/>
      <c r="BB480" s="6"/>
      <c r="BC480" s="6"/>
      <c r="BD480" s="6"/>
      <c r="BE480" s="6"/>
      <c r="BF480" s="6"/>
      <c r="BG480" s="6"/>
      <c r="BH480" s="6"/>
      <c r="BI480" s="6"/>
      <c r="BJ480" s="6"/>
      <c r="BK480" s="6"/>
    </row>
    <row r="481" spans="14:63" x14ac:dyDescent="0.25">
      <c r="N481" s="26"/>
      <c r="O481" s="26"/>
      <c r="P481" s="26"/>
      <c r="Q481" s="26"/>
      <c r="R481" s="26"/>
      <c r="AL481" s="1"/>
      <c r="AT481" s="1"/>
      <c r="AU481" s="6"/>
      <c r="AV481" s="6"/>
      <c r="AW481" s="6"/>
      <c r="AX481" s="6"/>
      <c r="AY481" s="6"/>
      <c r="BA481" s="1"/>
      <c r="BB481" s="6"/>
      <c r="BC481" s="6"/>
      <c r="BD481" s="6"/>
      <c r="BE481" s="6"/>
      <c r="BF481" s="6"/>
      <c r="BG481" s="6"/>
      <c r="BH481" s="6"/>
      <c r="BI481" s="6"/>
      <c r="BJ481" s="6"/>
      <c r="BK481" s="6"/>
    </row>
    <row r="482" spans="14:63" x14ac:dyDescent="0.25">
      <c r="N482" s="26"/>
      <c r="O482" s="26"/>
      <c r="P482" s="26"/>
      <c r="Q482" s="26"/>
      <c r="R482" s="26"/>
      <c r="AL482" s="1"/>
      <c r="AT482" s="1"/>
      <c r="AU482" s="6"/>
      <c r="AV482" s="6"/>
      <c r="AW482" s="6"/>
      <c r="AX482" s="6"/>
      <c r="AY482" s="6"/>
      <c r="BA482" s="1"/>
      <c r="BB482" s="6"/>
      <c r="BC482" s="6"/>
      <c r="BD482" s="6"/>
      <c r="BE482" s="6"/>
      <c r="BF482" s="6"/>
      <c r="BG482" s="6"/>
      <c r="BH482" s="6"/>
      <c r="BI482" s="6"/>
      <c r="BJ482" s="6"/>
      <c r="BK482" s="6"/>
    </row>
    <row r="483" spans="14:63" x14ac:dyDescent="0.25">
      <c r="N483" s="26"/>
      <c r="O483" s="26"/>
      <c r="P483" s="26"/>
      <c r="Q483" s="26"/>
      <c r="R483" s="26"/>
      <c r="AL483" s="1"/>
      <c r="AT483" s="1"/>
      <c r="AU483" s="6"/>
      <c r="AV483" s="6"/>
      <c r="AW483" s="6"/>
      <c r="AX483" s="6"/>
      <c r="AY483" s="6"/>
      <c r="BA483" s="1"/>
      <c r="BB483" s="6"/>
      <c r="BC483" s="6"/>
      <c r="BD483" s="6"/>
      <c r="BE483" s="6"/>
      <c r="BF483" s="6"/>
      <c r="BG483" s="6"/>
      <c r="BH483" s="6"/>
      <c r="BI483" s="6"/>
      <c r="BJ483" s="6"/>
      <c r="BK483" s="6"/>
    </row>
    <row r="484" spans="14:63" x14ac:dyDescent="0.25">
      <c r="N484" s="26"/>
      <c r="O484" s="26"/>
      <c r="P484" s="26"/>
      <c r="Q484" s="26"/>
      <c r="R484" s="26"/>
      <c r="AL484" s="1"/>
      <c r="AT484" s="1"/>
      <c r="AU484" s="6"/>
      <c r="AV484" s="6"/>
      <c r="AW484" s="6"/>
      <c r="AX484" s="6"/>
      <c r="AY484" s="6"/>
      <c r="BA484" s="1"/>
      <c r="BB484" s="6"/>
      <c r="BC484" s="6"/>
      <c r="BD484" s="6"/>
      <c r="BE484" s="6"/>
      <c r="BF484" s="6"/>
      <c r="BG484" s="6"/>
      <c r="BH484" s="6"/>
      <c r="BI484" s="6"/>
      <c r="BJ484" s="6"/>
      <c r="BK484" s="6"/>
    </row>
    <row r="485" spans="14:63" x14ac:dyDescent="0.25">
      <c r="N485" s="26"/>
      <c r="O485" s="26"/>
      <c r="P485" s="26"/>
      <c r="Q485" s="26"/>
      <c r="R485" s="26"/>
      <c r="AL485" s="1"/>
      <c r="AT485" s="1"/>
      <c r="AU485" s="6"/>
      <c r="AV485" s="6"/>
      <c r="AW485" s="6"/>
      <c r="AX485" s="6"/>
      <c r="AY485" s="6"/>
      <c r="BA485" s="1"/>
      <c r="BB485" s="6"/>
      <c r="BC485" s="6"/>
      <c r="BD485" s="6"/>
      <c r="BE485" s="6"/>
      <c r="BF485" s="6"/>
      <c r="BG485" s="6"/>
      <c r="BH485" s="6"/>
      <c r="BI485" s="6"/>
      <c r="BJ485" s="6"/>
      <c r="BK485" s="6"/>
    </row>
    <row r="486" spans="14:63" x14ac:dyDescent="0.25">
      <c r="N486" s="26"/>
      <c r="O486" s="26"/>
      <c r="P486" s="26"/>
      <c r="Q486" s="26"/>
      <c r="R486" s="26"/>
      <c r="AL486" s="1"/>
      <c r="AT486" s="1"/>
      <c r="AU486" s="6"/>
      <c r="AV486" s="6"/>
      <c r="AW486" s="6"/>
      <c r="AX486" s="6"/>
      <c r="AY486" s="6"/>
      <c r="BA486" s="1"/>
      <c r="BB486" s="6"/>
      <c r="BC486" s="6"/>
      <c r="BD486" s="6"/>
      <c r="BE486" s="6"/>
      <c r="BF486" s="6"/>
      <c r="BG486" s="6"/>
      <c r="BH486" s="6"/>
      <c r="BI486" s="6"/>
      <c r="BJ486" s="6"/>
      <c r="BK486" s="6"/>
    </row>
    <row r="487" spans="14:63" x14ac:dyDescent="0.25">
      <c r="N487" s="26"/>
      <c r="O487" s="26"/>
      <c r="P487" s="26"/>
      <c r="Q487" s="26"/>
      <c r="R487" s="26"/>
      <c r="AL487" s="1"/>
      <c r="AT487" s="1"/>
      <c r="AU487" s="6"/>
      <c r="AV487" s="6"/>
      <c r="AW487" s="6"/>
      <c r="AX487" s="6"/>
      <c r="AY487" s="6"/>
      <c r="BA487" s="1"/>
      <c r="BB487" s="6"/>
      <c r="BC487" s="6"/>
      <c r="BD487" s="6"/>
      <c r="BE487" s="6"/>
      <c r="BF487" s="6"/>
      <c r="BG487" s="6"/>
      <c r="BH487" s="6"/>
      <c r="BI487" s="6"/>
      <c r="BJ487" s="6"/>
      <c r="BK487" s="6"/>
    </row>
    <row r="488" spans="14:63" x14ac:dyDescent="0.25">
      <c r="N488" s="26"/>
      <c r="O488" s="26"/>
      <c r="P488" s="26"/>
      <c r="Q488" s="26"/>
      <c r="R488" s="26"/>
      <c r="AL488" s="1"/>
      <c r="AT488" s="1"/>
      <c r="AU488" s="6"/>
      <c r="AV488" s="6"/>
      <c r="AW488" s="6"/>
      <c r="AX488" s="6"/>
      <c r="AY488" s="6"/>
      <c r="BA488" s="1"/>
      <c r="BB488" s="6"/>
      <c r="BC488" s="6"/>
      <c r="BD488" s="6"/>
      <c r="BE488" s="6"/>
      <c r="BF488" s="6"/>
      <c r="BG488" s="6"/>
      <c r="BH488" s="6"/>
      <c r="BI488" s="6"/>
      <c r="BJ488" s="6"/>
      <c r="BK488" s="6"/>
    </row>
    <row r="489" spans="14:63" x14ac:dyDescent="0.25">
      <c r="N489" s="26"/>
      <c r="O489" s="26"/>
      <c r="P489" s="26"/>
      <c r="Q489" s="26"/>
      <c r="R489" s="26"/>
      <c r="AL489" s="1"/>
      <c r="AT489" s="1"/>
      <c r="AU489" s="6"/>
      <c r="AV489" s="6"/>
      <c r="AW489" s="6"/>
      <c r="AX489" s="6"/>
      <c r="AY489" s="6"/>
      <c r="BA489" s="1"/>
      <c r="BB489" s="6"/>
      <c r="BC489" s="6"/>
      <c r="BD489" s="6"/>
      <c r="BE489" s="6"/>
      <c r="BF489" s="6"/>
      <c r="BG489" s="6"/>
      <c r="BH489" s="6"/>
      <c r="BI489" s="6"/>
      <c r="BJ489" s="6"/>
      <c r="BK489" s="6"/>
    </row>
    <row r="490" spans="14:63" x14ac:dyDescent="0.25">
      <c r="N490" s="26"/>
      <c r="O490" s="26"/>
      <c r="P490" s="26"/>
      <c r="Q490" s="26"/>
      <c r="R490" s="26"/>
      <c r="AL490" s="1"/>
      <c r="AT490" s="1"/>
      <c r="AU490" s="6"/>
      <c r="AV490" s="6"/>
      <c r="AW490" s="6"/>
      <c r="AX490" s="6"/>
      <c r="AY490" s="6"/>
      <c r="BA490" s="1"/>
      <c r="BB490" s="6"/>
      <c r="BC490" s="6"/>
      <c r="BD490" s="6"/>
      <c r="BE490" s="6"/>
      <c r="BF490" s="6"/>
      <c r="BG490" s="6"/>
      <c r="BH490" s="6"/>
      <c r="BI490" s="6"/>
      <c r="BJ490" s="6"/>
      <c r="BK490" s="6"/>
    </row>
    <row r="491" spans="14:63" x14ac:dyDescent="0.25">
      <c r="N491" s="26"/>
      <c r="O491" s="26"/>
      <c r="P491" s="26"/>
      <c r="Q491" s="26"/>
      <c r="R491" s="26"/>
      <c r="AL491" s="1"/>
      <c r="AT491" s="1"/>
      <c r="AU491" s="6"/>
      <c r="AV491" s="6"/>
      <c r="AW491" s="6"/>
      <c r="AX491" s="6"/>
      <c r="AY491" s="6"/>
      <c r="BA491" s="1"/>
      <c r="BB491" s="6"/>
      <c r="BC491" s="6"/>
      <c r="BD491" s="6"/>
      <c r="BE491" s="6"/>
      <c r="BF491" s="6"/>
      <c r="BG491" s="6"/>
      <c r="BH491" s="6"/>
      <c r="BI491" s="6"/>
      <c r="BJ491" s="6"/>
      <c r="BK491" s="6"/>
    </row>
    <row r="492" spans="14:63" x14ac:dyDescent="0.25">
      <c r="N492" s="26"/>
      <c r="O492" s="26"/>
      <c r="P492" s="26"/>
      <c r="Q492" s="26"/>
      <c r="R492" s="26"/>
      <c r="AL492" s="1"/>
      <c r="AT492" s="1"/>
      <c r="AU492" s="6"/>
      <c r="AV492" s="6"/>
      <c r="AW492" s="6"/>
      <c r="AX492" s="6"/>
      <c r="AY492" s="6"/>
      <c r="BA492" s="1"/>
      <c r="BB492" s="6"/>
      <c r="BC492" s="6"/>
      <c r="BD492" s="6"/>
      <c r="BE492" s="6"/>
      <c r="BF492" s="6"/>
      <c r="BG492" s="6"/>
      <c r="BH492" s="6"/>
      <c r="BI492" s="6"/>
      <c r="BJ492" s="6"/>
      <c r="BK492" s="6"/>
    </row>
    <row r="493" spans="14:63" x14ac:dyDescent="0.25">
      <c r="N493" s="26"/>
      <c r="O493" s="26"/>
      <c r="P493" s="26"/>
      <c r="Q493" s="26"/>
      <c r="R493" s="26"/>
      <c r="AL493" s="1"/>
      <c r="AT493" s="1"/>
      <c r="AU493" s="6"/>
      <c r="AV493" s="6"/>
      <c r="AW493" s="6"/>
      <c r="AX493" s="6"/>
      <c r="AY493" s="6"/>
      <c r="BA493" s="1"/>
      <c r="BB493" s="6"/>
      <c r="BC493" s="6"/>
      <c r="BD493" s="6"/>
      <c r="BE493" s="6"/>
      <c r="BF493" s="6"/>
      <c r="BG493" s="6"/>
      <c r="BH493" s="6"/>
      <c r="BI493" s="6"/>
      <c r="BJ493" s="6"/>
      <c r="BK493" s="6"/>
    </row>
    <row r="494" spans="14:63" x14ac:dyDescent="0.25">
      <c r="N494" s="26"/>
      <c r="O494" s="26"/>
      <c r="P494" s="26"/>
      <c r="Q494" s="26"/>
      <c r="R494" s="26"/>
      <c r="AL494" s="1"/>
      <c r="AT494" s="1"/>
      <c r="AU494" s="6"/>
      <c r="AV494" s="6"/>
      <c r="AW494" s="6"/>
      <c r="AX494" s="6"/>
      <c r="AY494" s="6"/>
      <c r="BA494" s="1"/>
      <c r="BB494" s="6"/>
      <c r="BC494" s="6"/>
      <c r="BD494" s="6"/>
      <c r="BE494" s="6"/>
      <c r="BF494" s="6"/>
      <c r="BG494" s="6"/>
      <c r="BH494" s="6"/>
      <c r="BI494" s="6"/>
      <c r="BJ494" s="6"/>
      <c r="BK494" s="6"/>
    </row>
    <row r="495" spans="14:63" x14ac:dyDescent="0.25">
      <c r="N495" s="26"/>
      <c r="O495" s="26"/>
      <c r="P495" s="26"/>
      <c r="Q495" s="26"/>
      <c r="R495" s="26"/>
      <c r="AL495" s="1"/>
      <c r="AT495" s="1"/>
      <c r="AU495" s="6"/>
      <c r="AV495" s="6"/>
      <c r="AW495" s="6"/>
      <c r="AX495" s="6"/>
      <c r="AY495" s="6"/>
      <c r="BA495" s="1"/>
      <c r="BB495" s="6"/>
      <c r="BC495" s="6"/>
      <c r="BD495" s="6"/>
      <c r="BE495" s="6"/>
      <c r="BF495" s="6"/>
      <c r="BG495" s="6"/>
      <c r="BH495" s="6"/>
      <c r="BI495" s="6"/>
      <c r="BJ495" s="6"/>
      <c r="BK495" s="6"/>
    </row>
    <row r="496" spans="14:63" x14ac:dyDescent="0.25">
      <c r="N496" s="26"/>
      <c r="O496" s="26"/>
      <c r="P496" s="26"/>
      <c r="Q496" s="26"/>
      <c r="R496" s="26"/>
      <c r="AL496" s="1"/>
      <c r="AT496" s="1"/>
      <c r="AU496" s="6"/>
      <c r="AV496" s="6"/>
      <c r="AW496" s="6"/>
      <c r="AX496" s="6"/>
      <c r="AY496" s="6"/>
      <c r="BA496" s="1"/>
      <c r="BB496" s="6"/>
      <c r="BC496" s="6"/>
      <c r="BD496" s="6"/>
      <c r="BE496" s="6"/>
      <c r="BF496" s="6"/>
      <c r="BG496" s="6"/>
      <c r="BH496" s="6"/>
      <c r="BI496" s="6"/>
      <c r="BJ496" s="6"/>
      <c r="BK496" s="6"/>
    </row>
    <row r="497" spans="14:63" x14ac:dyDescent="0.25">
      <c r="N497" s="26"/>
      <c r="O497" s="26"/>
      <c r="P497" s="26"/>
      <c r="Q497" s="26"/>
      <c r="R497" s="26"/>
      <c r="AL497" s="1"/>
      <c r="AT497" s="1"/>
      <c r="AU497" s="6"/>
      <c r="AV497" s="6"/>
      <c r="AW497" s="6"/>
      <c r="AX497" s="6"/>
      <c r="AY497" s="6"/>
      <c r="BA497" s="1"/>
      <c r="BB497" s="6"/>
      <c r="BC497" s="6"/>
      <c r="BD497" s="6"/>
      <c r="BE497" s="6"/>
      <c r="BF497" s="6"/>
      <c r="BG497" s="6"/>
      <c r="BH497" s="6"/>
      <c r="BI497" s="6"/>
      <c r="BJ497" s="6"/>
      <c r="BK497" s="6"/>
    </row>
    <row r="498" spans="14:63" x14ac:dyDescent="0.25">
      <c r="N498" s="26"/>
      <c r="O498" s="26"/>
      <c r="P498" s="26"/>
      <c r="Q498" s="26"/>
      <c r="R498" s="26"/>
      <c r="AL498" s="1"/>
      <c r="AT498" s="1"/>
      <c r="AU498" s="6"/>
      <c r="AV498" s="6"/>
      <c r="AW498" s="6"/>
      <c r="AX498" s="6"/>
      <c r="AY498" s="6"/>
      <c r="BA498" s="1"/>
      <c r="BB498" s="6"/>
      <c r="BC498" s="6"/>
      <c r="BD498" s="6"/>
      <c r="BE498" s="6"/>
      <c r="BF498" s="6"/>
      <c r="BG498" s="6"/>
      <c r="BH498" s="6"/>
      <c r="BI498" s="6"/>
      <c r="BJ498" s="6"/>
      <c r="BK498" s="6"/>
    </row>
    <row r="499" spans="14:63" x14ac:dyDescent="0.25">
      <c r="N499" s="26"/>
      <c r="O499" s="26"/>
      <c r="P499" s="26"/>
      <c r="Q499" s="26"/>
      <c r="R499" s="26"/>
      <c r="AL499" s="1"/>
      <c r="AT499" s="1"/>
      <c r="AU499" s="6"/>
      <c r="AV499" s="6"/>
      <c r="AW499" s="6"/>
      <c r="AX499" s="6"/>
      <c r="AY499" s="6"/>
      <c r="BA499" s="1"/>
      <c r="BB499" s="6"/>
      <c r="BC499" s="6"/>
      <c r="BD499" s="6"/>
      <c r="BE499" s="6"/>
      <c r="BF499" s="6"/>
      <c r="BG499" s="6"/>
      <c r="BH499" s="6"/>
      <c r="BI499" s="6"/>
      <c r="BJ499" s="6"/>
      <c r="BK499" s="6"/>
    </row>
    <row r="500" spans="14:63" x14ac:dyDescent="0.25">
      <c r="N500" s="26"/>
      <c r="O500" s="26"/>
      <c r="P500" s="26"/>
      <c r="Q500" s="26"/>
      <c r="R500" s="26"/>
      <c r="AL500" s="1"/>
      <c r="AT500" s="1"/>
      <c r="AU500" s="6"/>
      <c r="AV500" s="6"/>
      <c r="AW500" s="6"/>
      <c r="AX500" s="6"/>
      <c r="AY500" s="6"/>
      <c r="BA500" s="1"/>
      <c r="BB500" s="6"/>
      <c r="BC500" s="6"/>
      <c r="BD500" s="6"/>
      <c r="BE500" s="6"/>
      <c r="BF500" s="6"/>
      <c r="BG500" s="6"/>
      <c r="BH500" s="6"/>
      <c r="BI500" s="6"/>
      <c r="BJ500" s="6"/>
      <c r="BK500" s="6"/>
    </row>
    <row r="501" spans="14:63" x14ac:dyDescent="0.25">
      <c r="N501" s="26"/>
      <c r="O501" s="26"/>
      <c r="P501" s="26"/>
      <c r="Q501" s="26"/>
      <c r="R501" s="26"/>
      <c r="AL501" s="1"/>
      <c r="AT501" s="1"/>
      <c r="AU501" s="6"/>
      <c r="AV501" s="6"/>
      <c r="AW501" s="6"/>
      <c r="AX501" s="6"/>
      <c r="AY501" s="6"/>
      <c r="BA501" s="1"/>
      <c r="BB501" s="6"/>
      <c r="BC501" s="6"/>
      <c r="BD501" s="6"/>
      <c r="BE501" s="6"/>
      <c r="BF501" s="6"/>
      <c r="BG501" s="6"/>
      <c r="BH501" s="6"/>
      <c r="BI501" s="6"/>
      <c r="BJ501" s="6"/>
      <c r="BK501" s="6"/>
    </row>
    <row r="502" spans="14:63" x14ac:dyDescent="0.25">
      <c r="N502" s="26"/>
      <c r="O502" s="26"/>
      <c r="P502" s="26"/>
      <c r="Q502" s="26"/>
      <c r="R502" s="26"/>
      <c r="AL502" s="1"/>
      <c r="AT502" s="1"/>
      <c r="AU502" s="6"/>
      <c r="AV502" s="6"/>
      <c r="AW502" s="6"/>
      <c r="AX502" s="6"/>
      <c r="AY502" s="6"/>
      <c r="BA502" s="1"/>
      <c r="BB502" s="6"/>
      <c r="BC502" s="6"/>
      <c r="BD502" s="6"/>
      <c r="BE502" s="6"/>
      <c r="BF502" s="6"/>
      <c r="BG502" s="6"/>
      <c r="BH502" s="6"/>
      <c r="BI502" s="6"/>
      <c r="BJ502" s="6"/>
      <c r="BK502" s="6"/>
    </row>
    <row r="503" spans="14:63" x14ac:dyDescent="0.25">
      <c r="N503" s="26"/>
      <c r="O503" s="26"/>
      <c r="P503" s="26"/>
      <c r="Q503" s="26"/>
      <c r="R503" s="26"/>
      <c r="AL503" s="1"/>
      <c r="AT503" s="1"/>
      <c r="AU503" s="6"/>
      <c r="AV503" s="6"/>
      <c r="AW503" s="6"/>
      <c r="AX503" s="6"/>
      <c r="AY503" s="6"/>
      <c r="BA503" s="1"/>
      <c r="BB503" s="6"/>
      <c r="BC503" s="6"/>
      <c r="BD503" s="6"/>
      <c r="BE503" s="6"/>
      <c r="BF503" s="6"/>
      <c r="BG503" s="6"/>
      <c r="BH503" s="6"/>
      <c r="BI503" s="6"/>
      <c r="BJ503" s="6"/>
      <c r="BK503" s="6"/>
    </row>
    <row r="504" spans="14:63" x14ac:dyDescent="0.25">
      <c r="N504" s="26"/>
      <c r="O504" s="26"/>
      <c r="P504" s="26"/>
      <c r="Q504" s="26"/>
      <c r="R504" s="26"/>
      <c r="AL504" s="1"/>
      <c r="AT504" s="1"/>
      <c r="AU504" s="6"/>
      <c r="AV504" s="6"/>
      <c r="AW504" s="6"/>
      <c r="AX504" s="6"/>
      <c r="AY504" s="6"/>
      <c r="BA504" s="1"/>
      <c r="BB504" s="6"/>
      <c r="BC504" s="6"/>
      <c r="BD504" s="6"/>
      <c r="BE504" s="6"/>
      <c r="BF504" s="6"/>
      <c r="BG504" s="6"/>
      <c r="BH504" s="6"/>
      <c r="BI504" s="6"/>
      <c r="BJ504" s="6"/>
      <c r="BK504" s="6"/>
    </row>
    <row r="505" spans="14:63" x14ac:dyDescent="0.25">
      <c r="N505" s="26"/>
      <c r="O505" s="26"/>
      <c r="P505" s="26"/>
      <c r="Q505" s="26"/>
      <c r="R505" s="26"/>
      <c r="AL505" s="1"/>
      <c r="AT505" s="1"/>
      <c r="AU505" s="6"/>
      <c r="AV505" s="6"/>
      <c r="AW505" s="6"/>
      <c r="AX505" s="6"/>
      <c r="AY505" s="6"/>
      <c r="BA505" s="1"/>
      <c r="BB505" s="6"/>
      <c r="BC505" s="6"/>
      <c r="BD505" s="6"/>
      <c r="BE505" s="6"/>
      <c r="BF505" s="6"/>
      <c r="BG505" s="6"/>
      <c r="BH505" s="6"/>
      <c r="BI505" s="6"/>
      <c r="BJ505" s="6"/>
      <c r="BK505" s="6"/>
    </row>
    <row r="506" spans="14:63" x14ac:dyDescent="0.25">
      <c r="N506" s="26"/>
      <c r="O506" s="26"/>
      <c r="P506" s="26"/>
      <c r="Q506" s="26"/>
      <c r="R506" s="26"/>
      <c r="AL506" s="1"/>
      <c r="AT506" s="1"/>
      <c r="AU506" s="6"/>
      <c r="AV506" s="6"/>
      <c r="AW506" s="6"/>
      <c r="AX506" s="6"/>
      <c r="AY506" s="6"/>
      <c r="BA506" s="1"/>
      <c r="BB506" s="6"/>
      <c r="BC506" s="6"/>
      <c r="BD506" s="6"/>
      <c r="BE506" s="6"/>
      <c r="BF506" s="6"/>
      <c r="BG506" s="6"/>
      <c r="BH506" s="6"/>
      <c r="BI506" s="6"/>
      <c r="BJ506" s="6"/>
      <c r="BK506" s="6"/>
    </row>
    <row r="507" spans="14:63" x14ac:dyDescent="0.25">
      <c r="N507" s="26"/>
      <c r="O507" s="26"/>
      <c r="P507" s="26"/>
      <c r="Q507" s="26"/>
      <c r="R507" s="26"/>
      <c r="AL507" s="1"/>
      <c r="AT507" s="1"/>
      <c r="AU507" s="6"/>
      <c r="AV507" s="6"/>
      <c r="AW507" s="6"/>
      <c r="AX507" s="6"/>
      <c r="AY507" s="6"/>
      <c r="BA507" s="1"/>
      <c r="BB507" s="6"/>
      <c r="BC507" s="6"/>
      <c r="BD507" s="6"/>
      <c r="BE507" s="6"/>
      <c r="BF507" s="6"/>
      <c r="BG507" s="6"/>
      <c r="BH507" s="6"/>
      <c r="BI507" s="6"/>
      <c r="BJ507" s="6"/>
      <c r="BK507" s="6"/>
    </row>
    <row r="508" spans="14:63" x14ac:dyDescent="0.25">
      <c r="N508" s="26"/>
      <c r="O508" s="26"/>
      <c r="P508" s="26"/>
      <c r="Q508" s="26"/>
      <c r="R508" s="26"/>
      <c r="AL508" s="1"/>
      <c r="AT508" s="1"/>
      <c r="AU508" s="6"/>
      <c r="AV508" s="6"/>
      <c r="AW508" s="6"/>
      <c r="AX508" s="6"/>
      <c r="AY508" s="6"/>
      <c r="BA508" s="1"/>
      <c r="BB508" s="6"/>
      <c r="BC508" s="6"/>
      <c r="BD508" s="6"/>
      <c r="BE508" s="6"/>
      <c r="BF508" s="6"/>
      <c r="BG508" s="6"/>
      <c r="BH508" s="6"/>
      <c r="BI508" s="6"/>
      <c r="BJ508" s="6"/>
      <c r="BK508" s="6"/>
    </row>
    <row r="509" spans="14:63" x14ac:dyDescent="0.25">
      <c r="N509" s="26"/>
      <c r="O509" s="26"/>
      <c r="P509" s="26"/>
      <c r="Q509" s="26"/>
      <c r="R509" s="26"/>
      <c r="AL509" s="1"/>
      <c r="AT509" s="1"/>
      <c r="AU509" s="6"/>
      <c r="AV509" s="6"/>
      <c r="AW509" s="6"/>
      <c r="AX509" s="6"/>
      <c r="AY509" s="6"/>
      <c r="BA509" s="1"/>
      <c r="BB509" s="6"/>
      <c r="BC509" s="6"/>
      <c r="BD509" s="6"/>
      <c r="BE509" s="6"/>
      <c r="BF509" s="6"/>
      <c r="BG509" s="6"/>
      <c r="BH509" s="6"/>
      <c r="BI509" s="6"/>
      <c r="BJ509" s="6"/>
      <c r="BK509" s="6"/>
    </row>
    <row r="510" spans="14:63" x14ac:dyDescent="0.25">
      <c r="N510" s="26"/>
      <c r="O510" s="26"/>
      <c r="P510" s="26"/>
      <c r="Q510" s="26"/>
      <c r="R510" s="26"/>
      <c r="AL510" s="1"/>
      <c r="AT510" s="1"/>
      <c r="AU510" s="6"/>
      <c r="AV510" s="6"/>
      <c r="AW510" s="6"/>
      <c r="AX510" s="6"/>
      <c r="AY510" s="6"/>
      <c r="BA510" s="1"/>
      <c r="BB510" s="6"/>
      <c r="BC510" s="6"/>
      <c r="BD510" s="6"/>
      <c r="BE510" s="6"/>
      <c r="BF510" s="6"/>
      <c r="BG510" s="6"/>
      <c r="BH510" s="6"/>
      <c r="BI510" s="6"/>
      <c r="BJ510" s="6"/>
      <c r="BK510" s="6"/>
    </row>
    <row r="511" spans="14:63" x14ac:dyDescent="0.25">
      <c r="N511" s="26"/>
      <c r="O511" s="26"/>
      <c r="P511" s="26"/>
      <c r="Q511" s="26"/>
      <c r="R511" s="26"/>
      <c r="AL511" s="1"/>
      <c r="AT511" s="1"/>
      <c r="AU511" s="6"/>
      <c r="AV511" s="6"/>
      <c r="AW511" s="6"/>
      <c r="AX511" s="6"/>
      <c r="AY511" s="6"/>
      <c r="BA511" s="1"/>
      <c r="BB511" s="6"/>
      <c r="BC511" s="6"/>
      <c r="BD511" s="6"/>
      <c r="BE511" s="6"/>
      <c r="BF511" s="6"/>
      <c r="BG511" s="6"/>
      <c r="BH511" s="6"/>
      <c r="BI511" s="6"/>
      <c r="BJ511" s="6"/>
      <c r="BK511" s="6"/>
    </row>
    <row r="512" spans="14:63" x14ac:dyDescent="0.25">
      <c r="N512" s="26"/>
      <c r="O512" s="26"/>
      <c r="P512" s="26"/>
      <c r="Q512" s="26"/>
      <c r="R512" s="26"/>
      <c r="AL512" s="1"/>
      <c r="AT512" s="1"/>
      <c r="AU512" s="6"/>
      <c r="AV512" s="6"/>
      <c r="AW512" s="6"/>
      <c r="AX512" s="6"/>
      <c r="AY512" s="6"/>
      <c r="BA512" s="1"/>
      <c r="BB512" s="6"/>
      <c r="BC512" s="6"/>
      <c r="BD512" s="6"/>
      <c r="BE512" s="6"/>
      <c r="BF512" s="6"/>
      <c r="BG512" s="6"/>
      <c r="BH512" s="6"/>
      <c r="BI512" s="6"/>
      <c r="BJ512" s="6"/>
      <c r="BK512" s="6"/>
    </row>
    <row r="513" spans="14:63" x14ac:dyDescent="0.25">
      <c r="N513" s="26"/>
      <c r="O513" s="26"/>
      <c r="P513" s="26"/>
      <c r="Q513" s="26"/>
      <c r="R513" s="26"/>
      <c r="AL513" s="1"/>
      <c r="AT513" s="1"/>
      <c r="AU513" s="6"/>
      <c r="AV513" s="6"/>
      <c r="AW513" s="6"/>
      <c r="AX513" s="6"/>
      <c r="AY513" s="6"/>
      <c r="BA513" s="1"/>
      <c r="BB513" s="6"/>
      <c r="BC513" s="6"/>
      <c r="BD513" s="6"/>
      <c r="BE513" s="6"/>
      <c r="BF513" s="6"/>
      <c r="BG513" s="6"/>
      <c r="BH513" s="6"/>
      <c r="BI513" s="6"/>
      <c r="BJ513" s="6"/>
      <c r="BK513" s="6"/>
    </row>
    <row r="514" spans="14:63" x14ac:dyDescent="0.25">
      <c r="N514" s="26"/>
      <c r="O514" s="26"/>
      <c r="P514" s="26"/>
      <c r="Q514" s="26"/>
      <c r="R514" s="26"/>
      <c r="AL514" s="1"/>
      <c r="AT514" s="1"/>
      <c r="AU514" s="6"/>
      <c r="AV514" s="6"/>
      <c r="AW514" s="6"/>
      <c r="AX514" s="6"/>
      <c r="AY514" s="6"/>
      <c r="BA514" s="1"/>
      <c r="BB514" s="6"/>
      <c r="BC514" s="6"/>
      <c r="BD514" s="6"/>
      <c r="BE514" s="6"/>
      <c r="BF514" s="6"/>
      <c r="BG514" s="6"/>
      <c r="BH514" s="6"/>
      <c r="BI514" s="6"/>
      <c r="BJ514" s="6"/>
      <c r="BK514" s="6"/>
    </row>
    <row r="515" spans="14:63" x14ac:dyDescent="0.25">
      <c r="N515" s="26"/>
      <c r="O515" s="26"/>
      <c r="P515" s="26"/>
      <c r="Q515" s="26"/>
      <c r="R515" s="26"/>
      <c r="AL515" s="1"/>
      <c r="AT515" s="1"/>
      <c r="AU515" s="6"/>
      <c r="AV515" s="6"/>
      <c r="AW515" s="6"/>
      <c r="AX515" s="6"/>
      <c r="AY515" s="6"/>
      <c r="BA515" s="1"/>
      <c r="BB515" s="6"/>
      <c r="BC515" s="6"/>
      <c r="BD515" s="6"/>
      <c r="BE515" s="6"/>
      <c r="BF515" s="6"/>
      <c r="BG515" s="6"/>
      <c r="BH515" s="6"/>
      <c r="BI515" s="6"/>
      <c r="BJ515" s="6"/>
      <c r="BK515" s="6"/>
    </row>
    <row r="516" spans="14:63" x14ac:dyDescent="0.25">
      <c r="N516" s="26"/>
      <c r="O516" s="26"/>
      <c r="P516" s="26"/>
      <c r="Q516" s="26"/>
      <c r="R516" s="26"/>
      <c r="AL516" s="1"/>
      <c r="AT516" s="1"/>
      <c r="AU516" s="6"/>
      <c r="AV516" s="6"/>
      <c r="AW516" s="6"/>
      <c r="AX516" s="6"/>
      <c r="AY516" s="6"/>
      <c r="BA516" s="1"/>
      <c r="BB516" s="6"/>
      <c r="BC516" s="6"/>
      <c r="BD516" s="6"/>
      <c r="BE516" s="6"/>
      <c r="BF516" s="6"/>
      <c r="BG516" s="6"/>
      <c r="BH516" s="6"/>
      <c r="BI516" s="6"/>
      <c r="BJ516" s="6"/>
      <c r="BK516" s="6"/>
    </row>
    <row r="517" spans="14:63" x14ac:dyDescent="0.25">
      <c r="N517" s="26"/>
      <c r="O517" s="26"/>
      <c r="P517" s="26"/>
      <c r="Q517" s="26"/>
      <c r="R517" s="26"/>
      <c r="AL517" s="1"/>
      <c r="AT517" s="1"/>
      <c r="AU517" s="6"/>
      <c r="AV517" s="6"/>
      <c r="AW517" s="6"/>
      <c r="AX517" s="6"/>
      <c r="AY517" s="6"/>
      <c r="BA517" s="1"/>
      <c r="BB517" s="6"/>
      <c r="BC517" s="6"/>
      <c r="BD517" s="6"/>
      <c r="BE517" s="6"/>
      <c r="BF517" s="6"/>
      <c r="BG517" s="6"/>
      <c r="BH517" s="6"/>
      <c r="BI517" s="6"/>
      <c r="BJ517" s="6"/>
      <c r="BK517" s="6"/>
    </row>
    <row r="518" spans="14:63" x14ac:dyDescent="0.25">
      <c r="N518" s="26"/>
      <c r="O518" s="26"/>
      <c r="P518" s="26"/>
      <c r="Q518" s="26"/>
      <c r="R518" s="26"/>
      <c r="AL518" s="1"/>
      <c r="AT518" s="1"/>
      <c r="AU518" s="6"/>
      <c r="AV518" s="6"/>
      <c r="AW518" s="6"/>
      <c r="AX518" s="6"/>
      <c r="AY518" s="6"/>
      <c r="BA518" s="1"/>
      <c r="BB518" s="6"/>
      <c r="BC518" s="6"/>
      <c r="BD518" s="6"/>
      <c r="BE518" s="6"/>
      <c r="BF518" s="6"/>
      <c r="BG518" s="6"/>
      <c r="BH518" s="6"/>
      <c r="BI518" s="6"/>
      <c r="BJ518" s="6"/>
      <c r="BK518" s="6"/>
    </row>
    <row r="519" spans="14:63" x14ac:dyDescent="0.25">
      <c r="N519" s="26"/>
      <c r="O519" s="26"/>
      <c r="P519" s="26"/>
      <c r="Q519" s="26"/>
      <c r="R519" s="26"/>
      <c r="AL519" s="1"/>
      <c r="AT519" s="1"/>
      <c r="AU519" s="6"/>
      <c r="AV519" s="6"/>
      <c r="AW519" s="6"/>
      <c r="AX519" s="6"/>
      <c r="AY519" s="6"/>
      <c r="BA519" s="1"/>
      <c r="BB519" s="6"/>
      <c r="BC519" s="6"/>
      <c r="BD519" s="6"/>
      <c r="BE519" s="6"/>
      <c r="BF519" s="6"/>
      <c r="BG519" s="6"/>
      <c r="BH519" s="6"/>
      <c r="BI519" s="6"/>
      <c r="BJ519" s="6"/>
      <c r="BK519" s="6"/>
    </row>
    <row r="520" spans="14:63" x14ac:dyDescent="0.25">
      <c r="N520" s="26"/>
      <c r="O520" s="26"/>
      <c r="P520" s="26"/>
      <c r="Q520" s="26"/>
      <c r="R520" s="26"/>
      <c r="AL520" s="1"/>
      <c r="AT520" s="1"/>
      <c r="AU520" s="6"/>
      <c r="AV520" s="6"/>
      <c r="AW520" s="6"/>
      <c r="AX520" s="6"/>
      <c r="AY520" s="6"/>
      <c r="BA520" s="1"/>
      <c r="BB520" s="6"/>
      <c r="BC520" s="6"/>
      <c r="BD520" s="6"/>
      <c r="BE520" s="6"/>
      <c r="BF520" s="6"/>
      <c r="BG520" s="6"/>
      <c r="BH520" s="6"/>
      <c r="BI520" s="6"/>
      <c r="BJ520" s="6"/>
      <c r="BK520" s="6"/>
    </row>
    <row r="521" spans="14:63" x14ac:dyDescent="0.25">
      <c r="N521" s="26"/>
      <c r="O521" s="26"/>
      <c r="P521" s="26"/>
      <c r="Q521" s="26"/>
      <c r="R521" s="26"/>
      <c r="AL521" s="1"/>
      <c r="AT521" s="1"/>
      <c r="AU521" s="6"/>
      <c r="AV521" s="6"/>
      <c r="AW521" s="6"/>
      <c r="AX521" s="6"/>
      <c r="AY521" s="6"/>
      <c r="BA521" s="1"/>
      <c r="BB521" s="6"/>
      <c r="BC521" s="6"/>
      <c r="BD521" s="6"/>
      <c r="BE521" s="6"/>
      <c r="BF521" s="6"/>
      <c r="BG521" s="6"/>
      <c r="BH521" s="6"/>
      <c r="BI521" s="6"/>
      <c r="BJ521" s="6"/>
      <c r="BK521" s="6"/>
    </row>
    <row r="522" spans="14:63" x14ac:dyDescent="0.25">
      <c r="N522" s="26"/>
      <c r="O522" s="26"/>
      <c r="P522" s="26"/>
      <c r="Q522" s="26"/>
      <c r="R522" s="26"/>
      <c r="AL522" s="1"/>
      <c r="AT522" s="1"/>
      <c r="AU522" s="6"/>
      <c r="AV522" s="6"/>
      <c r="AW522" s="6"/>
      <c r="AX522" s="6"/>
      <c r="AY522" s="6"/>
      <c r="BA522" s="1"/>
      <c r="BB522" s="6"/>
      <c r="BC522" s="6"/>
      <c r="BD522" s="6"/>
      <c r="BE522" s="6"/>
      <c r="BF522" s="6"/>
      <c r="BG522" s="6"/>
      <c r="BH522" s="6"/>
      <c r="BI522" s="6"/>
      <c r="BJ522" s="6"/>
      <c r="BK522" s="6"/>
    </row>
    <row r="523" spans="14:63" x14ac:dyDescent="0.25">
      <c r="N523" s="26"/>
      <c r="O523" s="26"/>
      <c r="P523" s="26"/>
      <c r="Q523" s="26"/>
      <c r="R523" s="26"/>
      <c r="AL523" s="1"/>
      <c r="AT523" s="1"/>
      <c r="AU523" s="6"/>
      <c r="AV523" s="6"/>
      <c r="AW523" s="6"/>
      <c r="AX523" s="6"/>
      <c r="AY523" s="6"/>
      <c r="BA523" s="1"/>
      <c r="BB523" s="6"/>
      <c r="BC523" s="6"/>
      <c r="BD523" s="6"/>
      <c r="BE523" s="6"/>
      <c r="BF523" s="6"/>
      <c r="BG523" s="6"/>
      <c r="BH523" s="6"/>
      <c r="BI523" s="6"/>
      <c r="BJ523" s="6"/>
      <c r="BK523" s="6"/>
    </row>
    <row r="524" spans="14:63" x14ac:dyDescent="0.25">
      <c r="N524" s="26"/>
      <c r="O524" s="26"/>
      <c r="P524" s="26"/>
      <c r="Q524" s="26"/>
      <c r="R524" s="26"/>
      <c r="AL524" s="1"/>
      <c r="AT524" s="1"/>
      <c r="AU524" s="6"/>
      <c r="AV524" s="6"/>
      <c r="AW524" s="6"/>
      <c r="AX524" s="6"/>
      <c r="AY524" s="6"/>
      <c r="BA524" s="1"/>
      <c r="BB524" s="6"/>
      <c r="BC524" s="6"/>
      <c r="BD524" s="6"/>
      <c r="BE524" s="6"/>
      <c r="BF524" s="6"/>
      <c r="BG524" s="6"/>
      <c r="BH524" s="6"/>
      <c r="BI524" s="6"/>
      <c r="BJ524" s="6"/>
      <c r="BK524" s="6"/>
    </row>
    <row r="525" spans="14:63" x14ac:dyDescent="0.25">
      <c r="N525" s="26"/>
      <c r="O525" s="26"/>
      <c r="P525" s="26"/>
      <c r="Q525" s="26"/>
      <c r="R525" s="26"/>
      <c r="AL525" s="1"/>
      <c r="AT525" s="1"/>
      <c r="AU525" s="6"/>
      <c r="AV525" s="6"/>
      <c r="AW525" s="6"/>
      <c r="AX525" s="6"/>
      <c r="AY525" s="6"/>
      <c r="BA525" s="1"/>
      <c r="BB525" s="6"/>
      <c r="BC525" s="6"/>
      <c r="BD525" s="6"/>
      <c r="BE525" s="6"/>
      <c r="BF525" s="6"/>
      <c r="BG525" s="6"/>
      <c r="BH525" s="6"/>
      <c r="BI525" s="6"/>
      <c r="BJ525" s="6"/>
      <c r="BK525" s="6"/>
    </row>
    <row r="526" spans="14:63" x14ac:dyDescent="0.25">
      <c r="N526" s="26"/>
      <c r="O526" s="26"/>
      <c r="P526" s="26"/>
      <c r="Q526" s="26"/>
      <c r="R526" s="26"/>
      <c r="AL526" s="1"/>
      <c r="AT526" s="1"/>
      <c r="AU526" s="6"/>
      <c r="AV526" s="6"/>
      <c r="AW526" s="6"/>
      <c r="AX526" s="6"/>
      <c r="AY526" s="6"/>
      <c r="BA526" s="1"/>
      <c r="BB526" s="6"/>
      <c r="BC526" s="6"/>
      <c r="BD526" s="6"/>
      <c r="BE526" s="6"/>
      <c r="BF526" s="6"/>
      <c r="BG526" s="6"/>
      <c r="BH526" s="6"/>
      <c r="BI526" s="6"/>
      <c r="BJ526" s="6"/>
      <c r="BK526" s="6"/>
    </row>
    <row r="527" spans="14:63" x14ac:dyDescent="0.25">
      <c r="N527" s="26"/>
      <c r="O527" s="26"/>
      <c r="P527" s="26"/>
      <c r="Q527" s="26"/>
      <c r="R527" s="26"/>
      <c r="AL527" s="1"/>
      <c r="AT527" s="1"/>
      <c r="AU527" s="6"/>
      <c r="AV527" s="6"/>
      <c r="AW527" s="6"/>
      <c r="AX527" s="6"/>
      <c r="AY527" s="6"/>
      <c r="BA527" s="1"/>
      <c r="BB527" s="6"/>
      <c r="BC527" s="6"/>
      <c r="BD527" s="6"/>
      <c r="BE527" s="6"/>
      <c r="BF527" s="6"/>
      <c r="BG527" s="6"/>
      <c r="BH527" s="6"/>
      <c r="BI527" s="6"/>
      <c r="BJ527" s="6"/>
      <c r="BK527" s="6"/>
    </row>
    <row r="528" spans="14:63" x14ac:dyDescent="0.25">
      <c r="N528" s="26"/>
      <c r="O528" s="26"/>
      <c r="P528" s="26"/>
      <c r="Q528" s="26"/>
      <c r="R528" s="26"/>
      <c r="AL528" s="1"/>
      <c r="AT528" s="1"/>
      <c r="AU528" s="6"/>
      <c r="AV528" s="6"/>
      <c r="AW528" s="6"/>
      <c r="AX528" s="6"/>
      <c r="AY528" s="6"/>
      <c r="BA528" s="1"/>
      <c r="BB528" s="6"/>
      <c r="BC528" s="6"/>
      <c r="BD528" s="6"/>
      <c r="BE528" s="6"/>
      <c r="BF528" s="6"/>
      <c r="BG528" s="6"/>
      <c r="BH528" s="6"/>
      <c r="BI528" s="6"/>
      <c r="BJ528" s="6"/>
      <c r="BK528" s="6"/>
    </row>
    <row r="529" spans="14:63" x14ac:dyDescent="0.25">
      <c r="N529" s="26"/>
      <c r="O529" s="26"/>
      <c r="P529" s="26"/>
      <c r="Q529" s="26"/>
      <c r="R529" s="26"/>
      <c r="AL529" s="1"/>
      <c r="AT529" s="1"/>
      <c r="AU529" s="6"/>
      <c r="AV529" s="6"/>
      <c r="AW529" s="6"/>
      <c r="AX529" s="6"/>
      <c r="AY529" s="6"/>
      <c r="BA529" s="1"/>
      <c r="BB529" s="6"/>
      <c r="BC529" s="6"/>
      <c r="BD529" s="6"/>
      <c r="BE529" s="6"/>
      <c r="BF529" s="6"/>
      <c r="BG529" s="6"/>
      <c r="BH529" s="6"/>
      <c r="BI529" s="6"/>
      <c r="BJ529" s="6"/>
      <c r="BK529" s="6"/>
    </row>
    <row r="530" spans="14:63" x14ac:dyDescent="0.25">
      <c r="N530" s="26"/>
      <c r="O530" s="26"/>
      <c r="P530" s="26"/>
      <c r="Q530" s="26"/>
      <c r="R530" s="26"/>
      <c r="AL530" s="1"/>
      <c r="AT530" s="1"/>
      <c r="AU530" s="6"/>
      <c r="AV530" s="6"/>
      <c r="AW530" s="6"/>
      <c r="AX530" s="6"/>
      <c r="AY530" s="6"/>
      <c r="BA530" s="1"/>
      <c r="BB530" s="6"/>
      <c r="BC530" s="6"/>
      <c r="BD530" s="6"/>
      <c r="BE530" s="6"/>
      <c r="BF530" s="6"/>
      <c r="BG530" s="6"/>
      <c r="BH530" s="6"/>
      <c r="BI530" s="6"/>
      <c r="BJ530" s="6"/>
      <c r="BK530" s="6"/>
    </row>
    <row r="531" spans="14:63" x14ac:dyDescent="0.25">
      <c r="N531" s="26"/>
      <c r="O531" s="26"/>
      <c r="P531" s="26"/>
      <c r="Q531" s="26"/>
      <c r="R531" s="26"/>
      <c r="AL531" s="1"/>
      <c r="AT531" s="1"/>
      <c r="AU531" s="6"/>
      <c r="AV531" s="6"/>
      <c r="AW531" s="6"/>
      <c r="AX531" s="6"/>
      <c r="AY531" s="6"/>
      <c r="BA531" s="1"/>
      <c r="BB531" s="6"/>
      <c r="BC531" s="6"/>
      <c r="BD531" s="6"/>
      <c r="BE531" s="6"/>
      <c r="BF531" s="6"/>
      <c r="BG531" s="6"/>
      <c r="BH531" s="6"/>
      <c r="BI531" s="6"/>
      <c r="BJ531" s="6"/>
      <c r="BK531" s="6"/>
    </row>
    <row r="532" spans="14:63" x14ac:dyDescent="0.25">
      <c r="N532" s="26"/>
      <c r="O532" s="26"/>
      <c r="P532" s="26"/>
      <c r="Q532" s="26"/>
      <c r="R532" s="26"/>
      <c r="AL532" s="1"/>
      <c r="AT532" s="1"/>
      <c r="AU532" s="6"/>
      <c r="AV532" s="6"/>
      <c r="AW532" s="6"/>
      <c r="AX532" s="6"/>
      <c r="AY532" s="6"/>
      <c r="BA532" s="1"/>
      <c r="BB532" s="6"/>
      <c r="BC532" s="6"/>
      <c r="BD532" s="6"/>
      <c r="BE532" s="6"/>
      <c r="BF532" s="6"/>
      <c r="BG532" s="6"/>
      <c r="BH532" s="6"/>
      <c r="BI532" s="6"/>
      <c r="BJ532" s="6"/>
      <c r="BK532" s="6"/>
    </row>
    <row r="533" spans="14:63" x14ac:dyDescent="0.25">
      <c r="N533" s="26"/>
      <c r="O533" s="26"/>
      <c r="P533" s="26"/>
      <c r="Q533" s="26"/>
      <c r="R533" s="26"/>
      <c r="AL533" s="1"/>
      <c r="AT533" s="1"/>
      <c r="AU533" s="6"/>
      <c r="AV533" s="6"/>
      <c r="AW533" s="6"/>
      <c r="AX533" s="6"/>
      <c r="AY533" s="6"/>
      <c r="BA533" s="1"/>
      <c r="BB533" s="6"/>
      <c r="BC533" s="6"/>
      <c r="BD533" s="6"/>
      <c r="BE533" s="6"/>
      <c r="BF533" s="6"/>
      <c r="BG533" s="6"/>
      <c r="BH533" s="6"/>
      <c r="BI533" s="6"/>
      <c r="BJ533" s="6"/>
      <c r="BK533" s="6"/>
    </row>
    <row r="534" spans="14:63" x14ac:dyDescent="0.25">
      <c r="N534" s="26"/>
      <c r="O534" s="26"/>
      <c r="P534" s="26"/>
      <c r="Q534" s="26"/>
      <c r="R534" s="26"/>
      <c r="AL534" s="1"/>
      <c r="AT534" s="1"/>
      <c r="AU534" s="6"/>
      <c r="AV534" s="6"/>
      <c r="AW534" s="6"/>
      <c r="AX534" s="6"/>
      <c r="AY534" s="6"/>
      <c r="BA534" s="1"/>
      <c r="BB534" s="6"/>
      <c r="BC534" s="6"/>
      <c r="BD534" s="6"/>
      <c r="BE534" s="6"/>
      <c r="BF534" s="6"/>
      <c r="BG534" s="6"/>
      <c r="BH534" s="6"/>
      <c r="BI534" s="6"/>
      <c r="BJ534" s="6"/>
      <c r="BK534" s="6"/>
    </row>
    <row r="535" spans="14:63" x14ac:dyDescent="0.25">
      <c r="N535" s="26"/>
      <c r="O535" s="26"/>
      <c r="P535" s="26"/>
      <c r="Q535" s="26"/>
      <c r="R535" s="26"/>
      <c r="AL535" s="1"/>
      <c r="AT535" s="1"/>
      <c r="AU535" s="6"/>
      <c r="AV535" s="6"/>
      <c r="AW535" s="6"/>
      <c r="AX535" s="6"/>
      <c r="AY535" s="6"/>
      <c r="BA535" s="1"/>
      <c r="BB535" s="6"/>
      <c r="BC535" s="6"/>
      <c r="BD535" s="6"/>
      <c r="BE535" s="6"/>
      <c r="BF535" s="6"/>
      <c r="BG535" s="6"/>
      <c r="BH535" s="6"/>
      <c r="BI535" s="6"/>
      <c r="BJ535" s="6"/>
      <c r="BK535" s="6"/>
    </row>
    <row r="536" spans="14:63" x14ac:dyDescent="0.25">
      <c r="N536" s="26"/>
      <c r="O536" s="26"/>
      <c r="P536" s="26"/>
      <c r="Q536" s="26"/>
      <c r="R536" s="26"/>
      <c r="AL536" s="1"/>
      <c r="AT536" s="1"/>
      <c r="AU536" s="6"/>
      <c r="AV536" s="6"/>
      <c r="AW536" s="6"/>
      <c r="AX536" s="6"/>
      <c r="AY536" s="6"/>
      <c r="BA536" s="1"/>
      <c r="BB536" s="6"/>
      <c r="BC536" s="6"/>
      <c r="BD536" s="6"/>
      <c r="BE536" s="6"/>
      <c r="BF536" s="6"/>
      <c r="BG536" s="6"/>
      <c r="BH536" s="6"/>
      <c r="BI536" s="6"/>
      <c r="BJ536" s="6"/>
      <c r="BK536" s="6"/>
    </row>
    <row r="537" spans="14:63" x14ac:dyDescent="0.25">
      <c r="N537" s="26"/>
      <c r="O537" s="26"/>
      <c r="P537" s="26"/>
      <c r="Q537" s="26"/>
      <c r="R537" s="26"/>
      <c r="AL537" s="1"/>
      <c r="AT537" s="1"/>
      <c r="AU537" s="6"/>
      <c r="AV537" s="6"/>
      <c r="AW537" s="6"/>
      <c r="AX537" s="6"/>
      <c r="AY537" s="6"/>
      <c r="BA537" s="1"/>
      <c r="BB537" s="6"/>
      <c r="BC537" s="6"/>
      <c r="BD537" s="6"/>
      <c r="BE537" s="6"/>
      <c r="BF537" s="6"/>
      <c r="BG537" s="6"/>
      <c r="BH537" s="6"/>
      <c r="BI537" s="6"/>
      <c r="BJ537" s="6"/>
      <c r="BK537" s="6"/>
    </row>
    <row r="538" spans="14:63" x14ac:dyDescent="0.25">
      <c r="N538" s="26"/>
      <c r="O538" s="26"/>
      <c r="P538" s="26"/>
      <c r="Q538" s="26"/>
      <c r="R538" s="26"/>
      <c r="AL538" s="1"/>
      <c r="AT538" s="1"/>
      <c r="AU538" s="6"/>
      <c r="AV538" s="6"/>
      <c r="AW538" s="6"/>
      <c r="AX538" s="6"/>
      <c r="AY538" s="6"/>
      <c r="BA538" s="1"/>
      <c r="BB538" s="6"/>
      <c r="BC538" s="6"/>
      <c r="BD538" s="6"/>
      <c r="BE538" s="6"/>
      <c r="BF538" s="6"/>
      <c r="BG538" s="6"/>
      <c r="BH538" s="6"/>
      <c r="BI538" s="6"/>
      <c r="BJ538" s="6"/>
      <c r="BK538" s="6"/>
    </row>
    <row r="539" spans="14:63" x14ac:dyDescent="0.25">
      <c r="N539" s="26"/>
      <c r="O539" s="26"/>
      <c r="P539" s="26"/>
      <c r="Q539" s="26"/>
      <c r="R539" s="26"/>
      <c r="AL539" s="1"/>
      <c r="AT539" s="1"/>
      <c r="AU539" s="6"/>
      <c r="AV539" s="6"/>
      <c r="AW539" s="6"/>
      <c r="AX539" s="6"/>
      <c r="AY539" s="6"/>
      <c r="BA539" s="1"/>
      <c r="BB539" s="6"/>
      <c r="BC539" s="6"/>
      <c r="BD539" s="6"/>
      <c r="BE539" s="6"/>
      <c r="BF539" s="6"/>
      <c r="BG539" s="6"/>
      <c r="BH539" s="6"/>
      <c r="BI539" s="6"/>
      <c r="BJ539" s="6"/>
      <c r="BK539" s="6"/>
    </row>
    <row r="540" spans="14:63" x14ac:dyDescent="0.25">
      <c r="N540" s="26"/>
      <c r="O540" s="26"/>
      <c r="P540" s="26"/>
      <c r="Q540" s="26"/>
      <c r="R540" s="26"/>
      <c r="AL540" s="1"/>
      <c r="AT540" s="1"/>
      <c r="AU540" s="6"/>
      <c r="AV540" s="6"/>
      <c r="AW540" s="6"/>
      <c r="AX540" s="6"/>
      <c r="AY540" s="6"/>
      <c r="BA540" s="1"/>
      <c r="BB540" s="6"/>
      <c r="BC540" s="6"/>
      <c r="BD540" s="6"/>
      <c r="BE540" s="6"/>
      <c r="BF540" s="6"/>
      <c r="BG540" s="6"/>
      <c r="BH540" s="6"/>
      <c r="BI540" s="6"/>
      <c r="BJ540" s="6"/>
      <c r="BK540" s="6"/>
    </row>
    <row r="541" spans="14:63" x14ac:dyDescent="0.25">
      <c r="N541" s="26"/>
      <c r="O541" s="26"/>
      <c r="P541" s="26"/>
      <c r="Q541" s="26"/>
      <c r="R541" s="26"/>
      <c r="AL541" s="1"/>
      <c r="AT541" s="1"/>
      <c r="AU541" s="6"/>
      <c r="AV541" s="6"/>
      <c r="AW541" s="6"/>
      <c r="AX541" s="6"/>
      <c r="AY541" s="6"/>
      <c r="BA541" s="1"/>
      <c r="BB541" s="6"/>
      <c r="BC541" s="6"/>
      <c r="BD541" s="6"/>
      <c r="BE541" s="6"/>
      <c r="BF541" s="6"/>
      <c r="BG541" s="6"/>
      <c r="BH541" s="6"/>
      <c r="BI541" s="6"/>
      <c r="BJ541" s="6"/>
      <c r="BK541" s="6"/>
    </row>
    <row r="542" spans="14:63" x14ac:dyDescent="0.25">
      <c r="N542" s="26"/>
      <c r="O542" s="26"/>
      <c r="P542" s="26"/>
      <c r="Q542" s="26"/>
      <c r="R542" s="26"/>
      <c r="AL542" s="1"/>
      <c r="AT542" s="1"/>
      <c r="AU542" s="6"/>
      <c r="AV542" s="6"/>
      <c r="AW542" s="6"/>
      <c r="AX542" s="6"/>
      <c r="AY542" s="6"/>
      <c r="BA542" s="1"/>
      <c r="BB542" s="6"/>
      <c r="BC542" s="6"/>
      <c r="BD542" s="6"/>
      <c r="BE542" s="6"/>
      <c r="BF542" s="6"/>
      <c r="BG542" s="6"/>
      <c r="BH542" s="6"/>
      <c r="BI542" s="6"/>
      <c r="BJ542" s="6"/>
      <c r="BK542" s="6"/>
    </row>
    <row r="543" spans="14:63" x14ac:dyDescent="0.25">
      <c r="N543" s="26"/>
      <c r="O543" s="26"/>
      <c r="P543" s="26"/>
      <c r="Q543" s="26"/>
      <c r="R543" s="26"/>
      <c r="AL543" s="1"/>
      <c r="AT543" s="1"/>
      <c r="AU543" s="6"/>
      <c r="AV543" s="6"/>
      <c r="AW543" s="6"/>
      <c r="AX543" s="6"/>
      <c r="AY543" s="6"/>
      <c r="BA543" s="1"/>
      <c r="BB543" s="6"/>
      <c r="BC543" s="6"/>
      <c r="BD543" s="6"/>
      <c r="BE543" s="6"/>
      <c r="BF543" s="6"/>
      <c r="BG543" s="6"/>
      <c r="BH543" s="6"/>
      <c r="BI543" s="6"/>
      <c r="BJ543" s="6"/>
      <c r="BK543" s="6"/>
    </row>
    <row r="544" spans="14:63" x14ac:dyDescent="0.25">
      <c r="N544" s="26"/>
      <c r="O544" s="26"/>
      <c r="P544" s="26"/>
      <c r="Q544" s="26"/>
      <c r="R544" s="26"/>
      <c r="AL544" s="1"/>
      <c r="AT544" s="1"/>
      <c r="AU544" s="6"/>
      <c r="AV544" s="6"/>
      <c r="AW544" s="6"/>
      <c r="AX544" s="6"/>
      <c r="AY544" s="6"/>
      <c r="BA544" s="1"/>
      <c r="BB544" s="6"/>
      <c r="BC544" s="6"/>
      <c r="BD544" s="6"/>
      <c r="BE544" s="6"/>
      <c r="BF544" s="6"/>
      <c r="BG544" s="6"/>
      <c r="BH544" s="6"/>
      <c r="BI544" s="6"/>
      <c r="BJ544" s="6"/>
      <c r="BK544" s="6"/>
    </row>
    <row r="545" spans="14:63" x14ac:dyDescent="0.25">
      <c r="N545" s="26"/>
      <c r="O545" s="26"/>
      <c r="P545" s="26"/>
      <c r="Q545" s="26"/>
      <c r="R545" s="26"/>
      <c r="AL545" s="1"/>
      <c r="AT545" s="1"/>
      <c r="AU545" s="6"/>
      <c r="AV545" s="6"/>
      <c r="AW545" s="6"/>
      <c r="AX545" s="6"/>
      <c r="AY545" s="6"/>
      <c r="BA545" s="1"/>
      <c r="BB545" s="6"/>
      <c r="BC545" s="6"/>
      <c r="BD545" s="6"/>
      <c r="BE545" s="6"/>
      <c r="BF545" s="6"/>
      <c r="BG545" s="6"/>
      <c r="BH545" s="6"/>
      <c r="BI545" s="6"/>
      <c r="BJ545" s="6"/>
      <c r="BK545" s="6"/>
    </row>
    <row r="546" spans="14:63" x14ac:dyDescent="0.25">
      <c r="N546" s="26"/>
      <c r="O546" s="26"/>
      <c r="P546" s="26"/>
      <c r="Q546" s="26"/>
      <c r="R546" s="26"/>
      <c r="AL546" s="1"/>
      <c r="AT546" s="1"/>
      <c r="AU546" s="6"/>
      <c r="AV546" s="6"/>
      <c r="AW546" s="6"/>
      <c r="AX546" s="6"/>
      <c r="AY546" s="6"/>
      <c r="BA546" s="1"/>
      <c r="BB546" s="6"/>
      <c r="BC546" s="6"/>
      <c r="BD546" s="6"/>
      <c r="BE546" s="6"/>
      <c r="BF546" s="6"/>
      <c r="BG546" s="6"/>
      <c r="BH546" s="6"/>
      <c r="BI546" s="6"/>
      <c r="BJ546" s="6"/>
      <c r="BK546" s="6"/>
    </row>
    <row r="547" spans="14:63" x14ac:dyDescent="0.25">
      <c r="N547" s="26"/>
      <c r="O547" s="26"/>
      <c r="P547" s="26"/>
      <c r="Q547" s="26"/>
      <c r="R547" s="26"/>
      <c r="AL547" s="1"/>
      <c r="AT547" s="1"/>
      <c r="AU547" s="6"/>
      <c r="AV547" s="6"/>
      <c r="AW547" s="6"/>
      <c r="AX547" s="6"/>
      <c r="AY547" s="6"/>
      <c r="BA547" s="1"/>
      <c r="BB547" s="6"/>
      <c r="BC547" s="6"/>
      <c r="BD547" s="6"/>
      <c r="BE547" s="6"/>
      <c r="BF547" s="6"/>
      <c r="BG547" s="6"/>
      <c r="BH547" s="6"/>
      <c r="BI547" s="6"/>
      <c r="BJ547" s="6"/>
      <c r="BK547" s="6"/>
    </row>
    <row r="548" spans="14:63" x14ac:dyDescent="0.25">
      <c r="N548" s="26"/>
      <c r="O548" s="26"/>
      <c r="P548" s="26"/>
      <c r="Q548" s="26"/>
      <c r="R548" s="26"/>
      <c r="AL548" s="1"/>
      <c r="AT548" s="1"/>
      <c r="AU548" s="6"/>
      <c r="AV548" s="6"/>
      <c r="AW548" s="6"/>
      <c r="AX548" s="6"/>
      <c r="AY548" s="6"/>
      <c r="BA548" s="1"/>
      <c r="BB548" s="6"/>
      <c r="BC548" s="6"/>
      <c r="BD548" s="6"/>
      <c r="BE548" s="6"/>
      <c r="BF548" s="6"/>
      <c r="BG548" s="6"/>
      <c r="BH548" s="6"/>
      <c r="BI548" s="6"/>
      <c r="BJ548" s="6"/>
      <c r="BK548" s="6"/>
    </row>
    <row r="549" spans="14:63" x14ac:dyDescent="0.25">
      <c r="N549" s="26"/>
      <c r="O549" s="26"/>
      <c r="P549" s="26"/>
      <c r="Q549" s="26"/>
      <c r="R549" s="26"/>
      <c r="AL549" s="1"/>
      <c r="AT549" s="1"/>
      <c r="AU549" s="6"/>
      <c r="AV549" s="6"/>
      <c r="AW549" s="6"/>
      <c r="AX549" s="6"/>
      <c r="AY549" s="6"/>
      <c r="BA549" s="1"/>
      <c r="BB549" s="6"/>
      <c r="BC549" s="6"/>
      <c r="BD549" s="6"/>
      <c r="BE549" s="6"/>
      <c r="BF549" s="6"/>
      <c r="BG549" s="6"/>
      <c r="BH549" s="6"/>
      <c r="BI549" s="6"/>
      <c r="BJ549" s="6"/>
      <c r="BK549" s="6"/>
    </row>
    <row r="550" spans="14:63" x14ac:dyDescent="0.25">
      <c r="N550" s="26"/>
      <c r="O550" s="26"/>
      <c r="P550" s="26"/>
      <c r="Q550" s="26"/>
      <c r="R550" s="26"/>
      <c r="AL550" s="1"/>
      <c r="AT550" s="1"/>
      <c r="AU550" s="6"/>
      <c r="AV550" s="6"/>
      <c r="AW550" s="6"/>
      <c r="AX550" s="6"/>
      <c r="AY550" s="6"/>
      <c r="BA550" s="1"/>
      <c r="BB550" s="6"/>
      <c r="BC550" s="6"/>
      <c r="BD550" s="6"/>
      <c r="BE550" s="6"/>
      <c r="BF550" s="6"/>
      <c r="BG550" s="6"/>
      <c r="BH550" s="6"/>
      <c r="BI550" s="6"/>
      <c r="BJ550" s="6"/>
      <c r="BK550" s="6"/>
    </row>
    <row r="551" spans="14:63" x14ac:dyDescent="0.25">
      <c r="N551" s="26"/>
      <c r="O551" s="26"/>
      <c r="P551" s="26"/>
      <c r="Q551" s="26"/>
      <c r="R551" s="26"/>
      <c r="AL551" s="1"/>
      <c r="AT551" s="1"/>
      <c r="AU551" s="6"/>
      <c r="AV551" s="6"/>
      <c r="AW551" s="6"/>
      <c r="AX551" s="6"/>
      <c r="AY551" s="6"/>
      <c r="BA551" s="1"/>
      <c r="BB551" s="6"/>
      <c r="BC551" s="6"/>
      <c r="BD551" s="6"/>
      <c r="BE551" s="6"/>
      <c r="BF551" s="6"/>
      <c r="BG551" s="6"/>
      <c r="BH551" s="6"/>
      <c r="BI551" s="6"/>
      <c r="BJ551" s="6"/>
      <c r="BK551" s="6"/>
    </row>
    <row r="552" spans="14:63" x14ac:dyDescent="0.25">
      <c r="N552" s="26"/>
      <c r="O552" s="26"/>
      <c r="P552" s="26"/>
      <c r="Q552" s="26"/>
      <c r="R552" s="26"/>
      <c r="AL552" s="1"/>
      <c r="AT552" s="1"/>
      <c r="AU552" s="6"/>
      <c r="AV552" s="6"/>
      <c r="AW552" s="6"/>
      <c r="AX552" s="6"/>
      <c r="AY552" s="6"/>
      <c r="BA552" s="1"/>
      <c r="BB552" s="6"/>
      <c r="BC552" s="6"/>
      <c r="BD552" s="6"/>
      <c r="BE552" s="6"/>
      <c r="BF552" s="6"/>
      <c r="BG552" s="6"/>
      <c r="BH552" s="6"/>
      <c r="BI552" s="6"/>
      <c r="BJ552" s="6"/>
      <c r="BK552" s="6"/>
    </row>
    <row r="553" spans="14:63" x14ac:dyDescent="0.25">
      <c r="AT553" s="1"/>
    </row>
    <row r="554" spans="14:63" x14ac:dyDescent="0.25">
      <c r="AT554" s="1"/>
    </row>
    <row r="555" spans="14:63" x14ac:dyDescent="0.25">
      <c r="AT555" s="1"/>
    </row>
  </sheetData>
  <mergeCells count="3">
    <mergeCell ref="N64:R65"/>
    <mergeCell ref="A1:C1"/>
    <mergeCell ref="AC64:AG65"/>
  </mergeCells>
  <conditionalFormatting sqref="O21:S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V10030"/>
  <sheetViews>
    <sheetView workbookViewId="0">
      <pane xSplit="3" topLeftCell="R1" activePane="topRight" state="frozen"/>
      <selection pane="topRight" activeCell="B27" sqref="B27"/>
    </sheetView>
  </sheetViews>
  <sheetFormatPr defaultRowHeight="15" x14ac:dyDescent="0.25"/>
  <cols>
    <col min="1" max="1" width="63" customWidth="1"/>
    <col min="2" max="2" width="15.7109375" customWidth="1"/>
    <col min="3" max="3" width="12.5703125" customWidth="1"/>
    <col min="4" max="4" width="12.7109375" customWidth="1"/>
    <col min="5" max="5" width="14.42578125" customWidth="1"/>
    <col min="6" max="6" width="14.7109375" customWidth="1"/>
    <col min="7" max="7" width="15.85546875" customWidth="1"/>
    <col min="8" max="8" width="16.140625" customWidth="1"/>
    <col min="9" max="9" width="14.28515625" customWidth="1"/>
    <col min="10" max="10" width="14.5703125" customWidth="1"/>
    <col min="11" max="11" width="16.7109375" customWidth="1"/>
    <col min="12" max="12" width="15.7109375" customWidth="1"/>
    <col min="13" max="13" width="10.7109375" bestFit="1" customWidth="1"/>
    <col min="14" max="14" width="13.85546875" customWidth="1"/>
    <col min="15" max="15" width="14.42578125" customWidth="1"/>
    <col min="16" max="16" width="12.140625" bestFit="1" customWidth="1"/>
    <col min="17" max="17" width="10.7109375" bestFit="1" customWidth="1"/>
    <col min="18" max="18" width="13.85546875" customWidth="1"/>
    <col min="19" max="19" width="12.7109375" customWidth="1"/>
    <col min="20" max="20" width="14" customWidth="1"/>
    <col min="21" max="21" width="10.7109375" bestFit="1" customWidth="1"/>
    <col min="22" max="22" width="12.28515625" customWidth="1"/>
    <col min="23" max="23" width="10.7109375" bestFit="1" customWidth="1"/>
    <col min="24" max="24" width="12.140625" customWidth="1"/>
    <col min="25" max="26" width="13.28515625" customWidth="1"/>
    <col min="27" max="27" width="13.140625" customWidth="1"/>
    <col min="28" max="28" width="13.42578125" customWidth="1"/>
    <col min="29" max="29" width="10.7109375" bestFit="1" customWidth="1"/>
    <col min="30" max="30" width="13.42578125" customWidth="1"/>
    <col min="31" max="31" width="10.7109375" bestFit="1" customWidth="1"/>
    <col min="32" max="32" width="13.42578125" customWidth="1"/>
    <col min="33" max="33" width="10.7109375" bestFit="1" customWidth="1"/>
    <col min="34" max="34" width="12.140625" customWidth="1"/>
    <col min="35" max="35" width="11.42578125" bestFit="1" customWidth="1"/>
    <col min="36" max="36" width="12.42578125" customWidth="1"/>
    <col min="37" max="37" width="10.7109375" bestFit="1" customWidth="1"/>
    <col min="38" max="38" width="14.140625" customWidth="1"/>
    <col min="39" max="39" width="10.42578125" customWidth="1"/>
    <col min="40" max="40" width="11.42578125" customWidth="1"/>
    <col min="41" max="41" width="12" customWidth="1"/>
    <col min="42" max="42" width="10" customWidth="1"/>
    <col min="43" max="43" width="10.5703125" bestFit="1" customWidth="1"/>
    <col min="44" max="44" width="12" customWidth="1"/>
    <col min="45" max="45" width="10.5703125" bestFit="1" customWidth="1"/>
    <col min="46" max="46" width="11.5703125" customWidth="1"/>
    <col min="47" max="47" width="10.5703125" bestFit="1" customWidth="1"/>
    <col min="48" max="48" width="12.28515625" customWidth="1"/>
    <col min="49" max="50" width="10.85546875" bestFit="1" customWidth="1"/>
    <col min="51" max="60" width="10.7109375" bestFit="1" customWidth="1"/>
    <col min="61" max="61" width="10.5703125" bestFit="1" customWidth="1"/>
    <col min="62" max="64" width="10.7109375" bestFit="1" customWidth="1"/>
    <col min="65" max="65" width="10.5703125" bestFit="1" customWidth="1"/>
    <col min="66" max="76" width="10.7109375" bestFit="1" customWidth="1"/>
    <col min="77" max="77" width="10.5703125" bestFit="1" customWidth="1"/>
    <col min="78" max="82" width="10.7109375" bestFit="1" customWidth="1"/>
    <col min="83" max="83" width="14" customWidth="1"/>
    <col min="84" max="84" width="10.5703125" bestFit="1" customWidth="1"/>
    <col min="85" max="103" width="10.7109375" bestFit="1" customWidth="1"/>
    <col min="104" max="105" width="10.5703125" bestFit="1" customWidth="1"/>
    <col min="106" max="108" width="10.7109375" bestFit="1" customWidth="1"/>
    <col min="109" max="109" width="10.5703125" bestFit="1" customWidth="1"/>
    <col min="110" max="121" width="10.7109375" bestFit="1" customWidth="1"/>
    <col min="122" max="122" width="13.140625" customWidth="1"/>
    <col min="123" max="123" width="10.5703125" bestFit="1" customWidth="1"/>
    <col min="124" max="136" width="10.7109375" bestFit="1" customWidth="1"/>
    <col min="137" max="137" width="10.5703125" bestFit="1" customWidth="1"/>
    <col min="138" max="140" width="10.7109375" bestFit="1" customWidth="1"/>
    <col min="141" max="141" width="10.5703125" bestFit="1" customWidth="1"/>
    <col min="142" max="147" width="10.7109375" bestFit="1" customWidth="1"/>
    <col min="148" max="148" width="14.140625" customWidth="1"/>
    <col min="149" max="150" width="10.7109375" bestFit="1" customWidth="1"/>
    <col min="151" max="151" width="10.5703125" bestFit="1" customWidth="1"/>
    <col min="152" max="158" width="10.7109375" bestFit="1" customWidth="1"/>
    <col min="159" max="159" width="10.5703125" bestFit="1" customWidth="1"/>
    <col min="160" max="165" width="10.7109375" bestFit="1" customWidth="1"/>
    <col min="166" max="166" width="10.5703125" bestFit="1" customWidth="1"/>
    <col min="167" max="168" width="10.7109375" bestFit="1" customWidth="1"/>
    <col min="169" max="170" width="10.5703125" bestFit="1" customWidth="1"/>
    <col min="171" max="173" width="10.7109375" bestFit="1" customWidth="1"/>
    <col min="174" max="174" width="10.5703125" bestFit="1" customWidth="1"/>
    <col min="175" max="176" width="10.7109375" bestFit="1" customWidth="1"/>
    <col min="177" max="178" width="10.5703125" bestFit="1" customWidth="1"/>
    <col min="179" max="199" width="10.7109375" bestFit="1" customWidth="1"/>
    <col min="200" max="200" width="10.5703125" bestFit="1" customWidth="1"/>
    <col min="201" max="204" width="10.7109375" bestFit="1" customWidth="1"/>
    <col min="205" max="205" width="10.5703125" bestFit="1" customWidth="1"/>
    <col min="206" max="207" width="10.7109375" bestFit="1" customWidth="1"/>
    <col min="208" max="208" width="10.5703125" bestFit="1" customWidth="1"/>
    <col min="209" max="212" width="10.7109375" bestFit="1" customWidth="1"/>
    <col min="213" max="213" width="16.140625" customWidth="1"/>
    <col min="214" max="226" width="10.7109375" bestFit="1" customWidth="1"/>
    <col min="227" max="227" width="10.5703125" bestFit="1" customWidth="1"/>
    <col min="228" max="228" width="10.7109375" bestFit="1" customWidth="1"/>
    <col min="229" max="229" width="10.5703125" bestFit="1" customWidth="1"/>
    <col min="230" max="240" width="10.7109375" bestFit="1" customWidth="1"/>
    <col min="241" max="241" width="10.5703125" bestFit="1" customWidth="1"/>
    <col min="242" max="246" width="10.7109375" bestFit="1" customWidth="1"/>
    <col min="247" max="247" width="10.5703125" bestFit="1" customWidth="1"/>
    <col min="248" max="248" width="10.7109375" bestFit="1" customWidth="1"/>
    <col min="249" max="249" width="10.5703125" bestFit="1" customWidth="1"/>
    <col min="250" max="251" width="10.7109375" bestFit="1" customWidth="1"/>
    <col min="252" max="252" width="13.28515625" customWidth="1"/>
    <col min="253" max="259" width="10.7109375" bestFit="1" customWidth="1"/>
    <col min="260" max="260" width="10.5703125" bestFit="1" customWidth="1"/>
    <col min="261" max="278" width="10.7109375" bestFit="1" customWidth="1"/>
    <col min="279" max="279" width="14.85546875" customWidth="1"/>
    <col min="280" max="280" width="10.7109375" bestFit="1" customWidth="1"/>
    <col min="281" max="281" width="10.5703125" bestFit="1" customWidth="1"/>
    <col min="282" max="311" width="10.7109375" bestFit="1" customWidth="1"/>
    <col min="312" max="312" width="10.5703125" bestFit="1" customWidth="1"/>
    <col min="313" max="318" width="10.7109375" bestFit="1" customWidth="1"/>
    <col min="319" max="319" width="10.5703125" bestFit="1" customWidth="1"/>
    <col min="320" max="325" width="10.7109375" bestFit="1" customWidth="1"/>
    <col min="326" max="326" width="10.5703125" bestFit="1" customWidth="1"/>
    <col min="327" max="332" width="10.7109375" bestFit="1" customWidth="1"/>
    <col min="333" max="333" width="10.5703125" bestFit="1" customWidth="1"/>
    <col min="334" max="334" width="10.7109375" bestFit="1" customWidth="1"/>
    <col min="335" max="335" width="10.5703125" bestFit="1" customWidth="1"/>
    <col min="336" max="336" width="10.7109375" bestFit="1" customWidth="1"/>
    <col min="337" max="337" width="10.5703125" bestFit="1" customWidth="1"/>
    <col min="338" max="338" width="10.7109375" bestFit="1" customWidth="1"/>
    <col min="339" max="339" width="10.5703125" bestFit="1" customWidth="1"/>
    <col min="340" max="344" width="10.7109375" bestFit="1" customWidth="1"/>
    <col min="345" max="345" width="15.140625" customWidth="1"/>
    <col min="346" max="350" width="10.7109375" bestFit="1" customWidth="1"/>
    <col min="351" max="351" width="10.5703125" bestFit="1" customWidth="1"/>
    <col min="352" max="356" width="10.7109375" bestFit="1" customWidth="1"/>
    <col min="357" max="357" width="14" customWidth="1"/>
    <col min="358" max="365" width="10.7109375" bestFit="1" customWidth="1"/>
    <col min="366" max="366" width="10.5703125" bestFit="1" customWidth="1"/>
    <col min="367" max="368" width="10.7109375" bestFit="1" customWidth="1"/>
    <col min="369" max="369" width="10.5703125" bestFit="1" customWidth="1"/>
    <col min="370" max="377" width="10.7109375" bestFit="1" customWidth="1"/>
    <col min="378" max="378" width="10.5703125" bestFit="1" customWidth="1"/>
    <col min="379" max="408" width="10.7109375" bestFit="1" customWidth="1"/>
    <col min="409" max="409" width="16.85546875" customWidth="1"/>
    <col min="410" max="489" width="10.140625" bestFit="1" customWidth="1"/>
    <col min="490" max="490" width="14.28515625" customWidth="1"/>
  </cols>
  <sheetData>
    <row r="1" spans="1:490" ht="30" x14ac:dyDescent="0.25">
      <c r="A1" s="138" t="s">
        <v>101</v>
      </c>
      <c r="B1">
        <v>4</v>
      </c>
      <c r="AD1" s="71"/>
    </row>
    <row r="2" spans="1:490" x14ac:dyDescent="0.25">
      <c r="B2" s="32"/>
      <c r="C2" s="13" t="s">
        <v>24</v>
      </c>
      <c r="D2" s="13" t="s">
        <v>38</v>
      </c>
      <c r="E2" t="s">
        <v>39</v>
      </c>
    </row>
    <row r="3" spans="1:490" x14ac:dyDescent="0.25">
      <c r="C3" s="37">
        <f>'Параметры ноты'!B6</f>
        <v>44433</v>
      </c>
      <c r="D3" s="118">
        <f t="array" ref="D3:AD3">TRANSPOSE('Параметры ноты'!AT66:AT92)</f>
        <v>44925</v>
      </c>
      <c r="E3" s="119">
        <v>44957</v>
      </c>
      <c r="F3" s="116">
        <v>44967</v>
      </c>
      <c r="G3" s="119">
        <v>44985</v>
      </c>
      <c r="H3" s="119">
        <v>45016</v>
      </c>
      <c r="I3" s="119">
        <v>45046</v>
      </c>
      <c r="J3" s="116">
        <v>45058</v>
      </c>
      <c r="K3" s="119">
        <v>45077</v>
      </c>
      <c r="L3" s="119">
        <v>45107</v>
      </c>
      <c r="M3" s="119">
        <v>45138</v>
      </c>
      <c r="N3" s="116">
        <v>45149</v>
      </c>
      <c r="O3" s="119">
        <v>45169</v>
      </c>
      <c r="P3" s="119">
        <v>45199</v>
      </c>
      <c r="Q3" s="119">
        <v>45230</v>
      </c>
      <c r="R3" s="116">
        <v>45243</v>
      </c>
      <c r="S3" s="119">
        <v>45260</v>
      </c>
      <c r="T3" s="119">
        <v>45291</v>
      </c>
      <c r="U3" s="119">
        <v>45322</v>
      </c>
      <c r="V3" s="116">
        <v>45334</v>
      </c>
      <c r="W3" s="119">
        <v>45350</v>
      </c>
      <c r="X3" s="119">
        <v>45382</v>
      </c>
      <c r="Y3" s="119">
        <v>45412</v>
      </c>
      <c r="Z3" s="116">
        <v>45422</v>
      </c>
      <c r="AA3" s="119">
        <v>45443</v>
      </c>
      <c r="AB3" s="119">
        <v>45473</v>
      </c>
      <c r="AC3" s="119">
        <v>45504</v>
      </c>
      <c r="AD3" s="116">
        <v>45516</v>
      </c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2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2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2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2"/>
    </row>
    <row r="4" spans="1:490" x14ac:dyDescent="0.25">
      <c r="A4" s="36" t="str">
        <f>'Параметры ноты'!A20</f>
        <v>SQ UN Equity</v>
      </c>
      <c r="C4" s="43">
        <f>'Параметры ноты'!B44</f>
        <v>267.57</v>
      </c>
      <c r="D4" s="43">
        <f t="array" ref="D4:AD8">TRANSPOSE('Параметры ноты'!AU66:AY92)</f>
        <v>62.84</v>
      </c>
      <c r="E4" s="6">
        <f ca="1"/>
        <v>51.205925315009544</v>
      </c>
      <c r="F4" s="6">
        <f ca="1"/>
        <v>51.422810960342353</v>
      </c>
      <c r="G4" s="6">
        <f ca="1"/>
        <v>54.116449808681857</v>
      </c>
      <c r="H4" s="6">
        <f ca="1"/>
        <v>48.526582447415343</v>
      </c>
      <c r="I4" s="6">
        <f ca="1"/>
        <v>54.635826047721054</v>
      </c>
      <c r="J4" s="6">
        <f ca="1"/>
        <v>55.880027304531552</v>
      </c>
      <c r="K4" s="6">
        <f ca="1"/>
        <v>81.154273717039899</v>
      </c>
      <c r="L4" s="6">
        <f ca="1"/>
        <v>110.26851725020943</v>
      </c>
      <c r="M4" s="6">
        <f ca="1"/>
        <v>108.3219181974694</v>
      </c>
      <c r="N4" s="6">
        <f ca="1"/>
        <v>103.43774736218464</v>
      </c>
      <c r="O4" s="6">
        <f ca="1"/>
        <v>110.97802816406252</v>
      </c>
      <c r="P4" s="6">
        <f ca="1"/>
        <v>96.083045853695182</v>
      </c>
      <c r="Q4" s="6">
        <f ca="1"/>
        <v>109.20444808081962</v>
      </c>
      <c r="R4" s="6">
        <f ca="1"/>
        <v>98.420468272205184</v>
      </c>
      <c r="S4" s="6">
        <f ca="1"/>
        <v>70.490787726954466</v>
      </c>
      <c r="T4" s="6">
        <f ca="1"/>
        <v>75.623366117376591</v>
      </c>
      <c r="U4" s="6">
        <f ca="1"/>
        <v>52.179674791760682</v>
      </c>
      <c r="V4" s="6">
        <f ca="1"/>
        <v>52.264844845842617</v>
      </c>
      <c r="W4" s="6">
        <f ca="1"/>
        <v>53.4228760501409</v>
      </c>
      <c r="X4" s="6">
        <f ca="1"/>
        <v>56.30465421086754</v>
      </c>
      <c r="Y4" s="6">
        <f ca="1"/>
        <v>70.015267369560718</v>
      </c>
      <c r="Z4" s="6">
        <f ca="1"/>
        <v>70.472267472143699</v>
      </c>
      <c r="AA4" s="6">
        <f ca="1"/>
        <v>61.033612025383661</v>
      </c>
      <c r="AB4" s="6">
        <f ca="1"/>
        <v>58.484267407036995</v>
      </c>
      <c r="AC4" s="6">
        <f ca="1"/>
        <v>50.908449427133426</v>
      </c>
      <c r="AD4" s="6">
        <f ca="1"/>
        <v>53.708467348776772</v>
      </c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</row>
    <row r="5" spans="1:490" x14ac:dyDescent="0.25">
      <c r="A5" s="36" t="str">
        <f>'Параметры ноты'!A21</f>
        <v>ZM UW Equity</v>
      </c>
      <c r="C5" s="43">
        <f>'Параметры ноты'!B45</f>
        <v>337.74</v>
      </c>
      <c r="D5" s="43">
        <v>67.739999999999995</v>
      </c>
      <c r="E5" s="43">
        <f ca="1"/>
        <v>53.046932288539622</v>
      </c>
      <c r="F5" s="43">
        <f ca="1"/>
        <v>47.297910401315541</v>
      </c>
      <c r="G5" s="43">
        <f ca="1"/>
        <v>46.600760633562757</v>
      </c>
      <c r="H5" s="43">
        <f ca="1"/>
        <v>39.413961401172486</v>
      </c>
      <c r="I5" s="43">
        <f ca="1"/>
        <v>42.395912661824461</v>
      </c>
      <c r="J5" s="43">
        <f ca="1"/>
        <v>43.603520816682177</v>
      </c>
      <c r="K5" s="43">
        <f ca="1"/>
        <v>46.814458874898186</v>
      </c>
      <c r="L5" s="43">
        <f ca="1"/>
        <v>62.124089607291793</v>
      </c>
      <c r="M5" s="43">
        <f ca="1"/>
        <v>64.833441813238935</v>
      </c>
      <c r="N5" s="43">
        <f ca="1"/>
        <v>65.931960041354628</v>
      </c>
      <c r="O5" s="43">
        <f ca="1"/>
        <v>60.372348058921517</v>
      </c>
      <c r="P5" s="43">
        <f ca="1"/>
        <v>55.632329918338087</v>
      </c>
      <c r="Q5" s="43">
        <f ca="1"/>
        <v>40.490363911667956</v>
      </c>
      <c r="R5" s="43">
        <f ca="1"/>
        <v>39.037780125345982</v>
      </c>
      <c r="S5" s="43">
        <f ca="1"/>
        <v>39.36337159061069</v>
      </c>
      <c r="T5" s="43">
        <f ca="1"/>
        <v>27.73677121537704</v>
      </c>
      <c r="U5" s="43">
        <f ca="1"/>
        <v>19.711377065601621</v>
      </c>
      <c r="V5" s="43">
        <f ca="1"/>
        <v>20.571014911043019</v>
      </c>
      <c r="W5" s="43">
        <f ca="1"/>
        <v>21.407456078041967</v>
      </c>
      <c r="X5" s="43">
        <f ca="1"/>
        <v>20.595520914055793</v>
      </c>
      <c r="Y5" s="43">
        <f ca="1"/>
        <v>19.103575739588631</v>
      </c>
      <c r="Z5" s="43">
        <f ca="1"/>
        <v>16.092399844777059</v>
      </c>
      <c r="AA5" s="43">
        <f ca="1"/>
        <v>12.503531512271509</v>
      </c>
      <c r="AB5" s="43">
        <f ca="1"/>
        <v>13.698691080988002</v>
      </c>
      <c r="AC5" s="43">
        <f ca="1"/>
        <v>10.744607278995387</v>
      </c>
      <c r="AD5" s="43">
        <f ca="1"/>
        <v>9.7664162715450686</v>
      </c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43"/>
      <c r="FI5" s="43"/>
      <c r="FJ5" s="43"/>
      <c r="FK5" s="43"/>
      <c r="FL5" s="43"/>
      <c r="FM5" s="43"/>
      <c r="FN5" s="43"/>
      <c r="FO5" s="43"/>
      <c r="FP5" s="43"/>
      <c r="FQ5" s="43"/>
      <c r="FR5" s="43"/>
      <c r="FS5" s="43"/>
      <c r="FT5" s="43"/>
      <c r="FU5" s="43"/>
      <c r="FV5" s="43"/>
      <c r="FW5" s="43"/>
      <c r="FX5" s="43"/>
      <c r="FY5" s="43"/>
      <c r="FZ5" s="43"/>
      <c r="GA5" s="43"/>
      <c r="GB5" s="43"/>
      <c r="GC5" s="43"/>
      <c r="GD5" s="43"/>
      <c r="GE5" s="43"/>
      <c r="GF5" s="43"/>
      <c r="GG5" s="43"/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43"/>
      <c r="GY5" s="43"/>
      <c r="GZ5" s="43"/>
      <c r="HA5" s="43"/>
      <c r="HB5" s="43"/>
      <c r="HC5" s="43"/>
      <c r="HD5" s="43"/>
      <c r="HE5" s="43"/>
      <c r="HF5" s="43"/>
      <c r="HG5" s="43"/>
      <c r="HH5" s="43"/>
      <c r="HI5" s="43"/>
      <c r="HJ5" s="43"/>
      <c r="HK5" s="43"/>
      <c r="HL5" s="43"/>
      <c r="HM5" s="43"/>
      <c r="HN5" s="43"/>
      <c r="HO5" s="43"/>
      <c r="HP5" s="43"/>
      <c r="HQ5" s="43"/>
      <c r="HR5" s="43"/>
      <c r="HS5" s="43"/>
      <c r="HT5" s="43"/>
      <c r="HU5" s="43"/>
      <c r="HV5" s="43"/>
      <c r="HW5" s="43"/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43"/>
      <c r="IO5" s="43"/>
      <c r="IP5" s="43"/>
      <c r="IQ5" s="43"/>
      <c r="IR5" s="43"/>
      <c r="IS5" s="43"/>
      <c r="IT5" s="43"/>
      <c r="IU5" s="43"/>
      <c r="IV5" s="43"/>
      <c r="IW5" s="43"/>
      <c r="IX5" s="43"/>
      <c r="IY5" s="43"/>
      <c r="IZ5" s="43"/>
      <c r="JA5" s="43"/>
      <c r="JB5" s="43"/>
      <c r="JC5" s="43"/>
      <c r="JD5" s="43"/>
      <c r="JE5" s="43"/>
      <c r="JF5" s="43"/>
      <c r="JG5" s="43"/>
      <c r="JH5" s="43"/>
      <c r="JI5" s="43"/>
      <c r="JJ5" s="43"/>
      <c r="JK5" s="43"/>
      <c r="JL5" s="43"/>
      <c r="JM5" s="43"/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43"/>
      <c r="KE5" s="43"/>
      <c r="KF5" s="43"/>
      <c r="KG5" s="43"/>
      <c r="KH5" s="43"/>
      <c r="KI5" s="43"/>
      <c r="KJ5" s="43"/>
      <c r="KK5" s="43"/>
      <c r="KL5" s="43"/>
      <c r="KM5" s="43"/>
      <c r="KN5" s="43"/>
      <c r="KO5" s="43"/>
      <c r="KP5" s="43"/>
      <c r="KQ5" s="43"/>
      <c r="KR5" s="43"/>
      <c r="KS5" s="43"/>
      <c r="KT5" s="43"/>
      <c r="KU5" s="43"/>
      <c r="KV5" s="43"/>
      <c r="KW5" s="43"/>
      <c r="KX5" s="43"/>
      <c r="KY5" s="43"/>
      <c r="KZ5" s="43"/>
      <c r="LA5" s="43"/>
      <c r="LB5" s="43"/>
      <c r="LC5" s="43"/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43"/>
      <c r="LU5" s="43"/>
      <c r="LV5" s="43"/>
      <c r="LW5" s="43"/>
      <c r="LX5" s="43"/>
      <c r="LY5" s="43"/>
      <c r="LZ5" s="43"/>
      <c r="MA5" s="43"/>
      <c r="MB5" s="43"/>
      <c r="MC5" s="43"/>
      <c r="MD5" s="43"/>
      <c r="ME5" s="43"/>
      <c r="MF5" s="43"/>
      <c r="MG5" s="43"/>
      <c r="MH5" s="43"/>
      <c r="MI5" s="43"/>
      <c r="MJ5" s="43"/>
      <c r="MK5" s="43"/>
      <c r="ML5" s="43"/>
      <c r="MM5" s="43"/>
      <c r="MN5" s="43"/>
      <c r="MO5" s="43"/>
      <c r="MP5" s="43"/>
      <c r="MQ5" s="43"/>
      <c r="MR5" s="43"/>
      <c r="MS5" s="43"/>
      <c r="MT5" s="43"/>
      <c r="MU5" s="43"/>
      <c r="MV5" s="43"/>
      <c r="MW5" s="43"/>
      <c r="MX5" s="43"/>
      <c r="MY5" s="43"/>
      <c r="MZ5" s="43"/>
      <c r="NA5" s="43"/>
      <c r="NB5" s="43"/>
      <c r="NC5" s="43"/>
      <c r="ND5" s="43"/>
      <c r="NE5" s="43"/>
      <c r="NF5" s="43"/>
      <c r="NG5" s="43"/>
      <c r="NH5" s="43"/>
      <c r="NI5" s="43"/>
      <c r="NJ5" s="43"/>
      <c r="NK5" s="43"/>
      <c r="NL5" s="43"/>
      <c r="NM5" s="43"/>
      <c r="NN5" s="43"/>
      <c r="NO5" s="43"/>
      <c r="NP5" s="43"/>
      <c r="NQ5" s="43"/>
      <c r="NR5" s="43"/>
      <c r="NS5" s="43"/>
      <c r="NT5" s="43"/>
      <c r="NU5" s="43"/>
      <c r="NV5" s="43"/>
      <c r="NW5" s="43"/>
      <c r="NX5" s="43"/>
      <c r="NY5" s="43"/>
      <c r="NZ5" s="43"/>
      <c r="OA5" s="43"/>
      <c r="OB5" s="43"/>
      <c r="OC5" s="43"/>
      <c r="OD5" s="43"/>
      <c r="OE5" s="43"/>
      <c r="OF5" s="43"/>
      <c r="OG5" s="43"/>
      <c r="OH5" s="43"/>
      <c r="OI5" s="43"/>
      <c r="OJ5" s="43"/>
      <c r="OK5" s="43"/>
      <c r="OL5" s="43"/>
      <c r="OM5" s="43"/>
      <c r="ON5" s="43"/>
      <c r="OO5" s="43"/>
      <c r="OP5" s="43"/>
      <c r="OQ5" s="43"/>
      <c r="OR5" s="43"/>
      <c r="OS5" s="43"/>
      <c r="OT5" s="43"/>
      <c r="OU5" s="43"/>
      <c r="OV5" s="43"/>
      <c r="OW5" s="43"/>
      <c r="OX5" s="43"/>
      <c r="OY5" s="43"/>
      <c r="OZ5" s="43"/>
      <c r="PA5" s="43"/>
      <c r="PB5" s="43"/>
      <c r="PC5" s="43"/>
      <c r="PD5" s="43"/>
      <c r="PE5" s="43"/>
      <c r="PF5" s="43"/>
      <c r="PG5" s="43"/>
      <c r="PH5" s="43"/>
      <c r="PI5" s="43"/>
      <c r="PJ5" s="43"/>
      <c r="PK5" s="43"/>
      <c r="PL5" s="43"/>
      <c r="PM5" s="43"/>
      <c r="PN5" s="43"/>
      <c r="PO5" s="43"/>
      <c r="PP5" s="43"/>
      <c r="PQ5" s="43"/>
      <c r="PR5" s="43"/>
      <c r="PS5" s="43"/>
      <c r="PT5" s="43"/>
      <c r="PU5" s="43"/>
      <c r="PV5" s="43"/>
      <c r="PW5" s="43"/>
      <c r="PX5" s="43"/>
      <c r="PY5" s="43"/>
      <c r="PZ5" s="43"/>
      <c r="QA5" s="43"/>
      <c r="QB5" s="43"/>
      <c r="QC5" s="43"/>
      <c r="QD5" s="43"/>
      <c r="QE5" s="43"/>
      <c r="QF5" s="43"/>
      <c r="QG5" s="43"/>
      <c r="QH5" s="43"/>
      <c r="QI5" s="43"/>
      <c r="QJ5" s="43"/>
      <c r="QK5" s="43"/>
      <c r="QL5" s="43"/>
      <c r="QM5" s="43"/>
      <c r="QN5" s="43"/>
      <c r="QO5" s="43"/>
      <c r="QP5" s="43"/>
      <c r="QQ5" s="43"/>
      <c r="QR5" s="43"/>
      <c r="QS5" s="43"/>
      <c r="QT5" s="43"/>
      <c r="QU5" s="43"/>
      <c r="QV5" s="43"/>
      <c r="QW5" s="43"/>
      <c r="QX5" s="43"/>
      <c r="QY5" s="43"/>
      <c r="QZ5" s="43"/>
      <c r="RA5" s="43"/>
      <c r="RB5" s="43"/>
      <c r="RC5" s="43"/>
      <c r="RD5" s="43"/>
      <c r="RE5" s="43"/>
      <c r="RF5" s="43"/>
      <c r="RG5" s="43"/>
      <c r="RH5" s="43"/>
      <c r="RI5" s="43"/>
      <c r="RJ5" s="43"/>
      <c r="RK5" s="43"/>
      <c r="RL5" s="43"/>
      <c r="RM5" s="43"/>
      <c r="RN5" s="43"/>
      <c r="RO5" s="43"/>
      <c r="RP5" s="43"/>
      <c r="RQ5" s="43"/>
      <c r="RR5" s="43"/>
      <c r="RS5" s="43"/>
      <c r="RT5" s="43"/>
      <c r="RU5" s="43"/>
      <c r="RV5" s="43"/>
    </row>
    <row r="6" spans="1:490" x14ac:dyDescent="0.25">
      <c r="A6" s="36" t="str">
        <f>'Параметры ноты'!A22</f>
        <v>AMD UW Equity</v>
      </c>
      <c r="C6" s="43">
        <f>'Параметры ноты'!B46</f>
        <v>108.3</v>
      </c>
      <c r="D6" s="43">
        <v>64.77</v>
      </c>
      <c r="E6" s="43">
        <f ca="1"/>
        <v>79.357615764827685</v>
      </c>
      <c r="F6" s="43">
        <f ca="1"/>
        <v>87.673539462613348</v>
      </c>
      <c r="G6" s="43">
        <f ca="1"/>
        <v>98.56880021038431</v>
      </c>
      <c r="H6" s="43">
        <f ca="1"/>
        <v>114.60417199609776</v>
      </c>
      <c r="I6" s="43">
        <f ca="1"/>
        <v>113.71594475944649</v>
      </c>
      <c r="J6" s="43">
        <f ca="1"/>
        <v>116.42867369700559</v>
      </c>
      <c r="K6" s="43">
        <f ca="1"/>
        <v>133.49590775180249</v>
      </c>
      <c r="L6" s="43">
        <f ca="1"/>
        <v>151.72646255231004</v>
      </c>
      <c r="M6" s="43">
        <f ca="1"/>
        <v>155.6468207613469</v>
      </c>
      <c r="N6" s="43">
        <f ca="1"/>
        <v>146.7123525701644</v>
      </c>
      <c r="O6" s="43">
        <f ca="1"/>
        <v>160.47558956200075</v>
      </c>
      <c r="P6" s="43">
        <f ca="1"/>
        <v>184.41649128643866</v>
      </c>
      <c r="Q6" s="43">
        <f ca="1"/>
        <v>186.86334961537423</v>
      </c>
      <c r="R6" s="43">
        <f ca="1"/>
        <v>192.53451982344049</v>
      </c>
      <c r="S6" s="43">
        <f ca="1"/>
        <v>172.36181533834986</v>
      </c>
      <c r="T6" s="43">
        <f ca="1"/>
        <v>185.19229740080925</v>
      </c>
      <c r="U6" s="43">
        <f ca="1"/>
        <v>147.12132013634826</v>
      </c>
      <c r="V6" s="43">
        <f ca="1"/>
        <v>144.84963912630144</v>
      </c>
      <c r="W6" s="43">
        <f ca="1"/>
        <v>160.05568263031063</v>
      </c>
      <c r="X6" s="43">
        <f ca="1"/>
        <v>174.09477762547684</v>
      </c>
      <c r="Y6" s="43">
        <f ca="1"/>
        <v>178.53840613251958</v>
      </c>
      <c r="Z6" s="43">
        <f ca="1"/>
        <v>174.33649874809572</v>
      </c>
      <c r="AA6" s="43">
        <f ca="1"/>
        <v>137.2247105837439</v>
      </c>
      <c r="AB6" s="43">
        <f ca="1"/>
        <v>110.14340229364893</v>
      </c>
      <c r="AC6" s="43">
        <f ca="1"/>
        <v>105.06367102140909</v>
      </c>
      <c r="AD6" s="43">
        <f ca="1"/>
        <v>96.954569010043855</v>
      </c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43"/>
      <c r="CY6" s="43"/>
      <c r="CZ6" s="43"/>
      <c r="DA6" s="43"/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43"/>
      <c r="FI6" s="43"/>
      <c r="FJ6" s="43"/>
      <c r="FK6" s="43"/>
      <c r="FL6" s="43"/>
      <c r="FM6" s="43"/>
      <c r="FN6" s="43"/>
      <c r="FO6" s="43"/>
      <c r="FP6" s="43"/>
      <c r="FQ6" s="43"/>
      <c r="FR6" s="43"/>
      <c r="FS6" s="43"/>
      <c r="FT6" s="43"/>
      <c r="FU6" s="43"/>
      <c r="FV6" s="43"/>
      <c r="FW6" s="43"/>
      <c r="FX6" s="43"/>
      <c r="FY6" s="43"/>
      <c r="FZ6" s="43"/>
      <c r="GA6" s="43"/>
      <c r="GB6" s="43"/>
      <c r="GC6" s="43"/>
      <c r="GD6" s="43"/>
      <c r="GE6" s="43"/>
      <c r="GF6" s="43"/>
      <c r="GG6" s="43"/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43"/>
      <c r="GY6" s="43"/>
      <c r="GZ6" s="43"/>
      <c r="HA6" s="43"/>
      <c r="HB6" s="43"/>
      <c r="HC6" s="43"/>
      <c r="HD6" s="43"/>
      <c r="HE6" s="43"/>
      <c r="HF6" s="43"/>
      <c r="HG6" s="43"/>
      <c r="HH6" s="43"/>
      <c r="HI6" s="43"/>
      <c r="HJ6" s="43"/>
      <c r="HK6" s="43"/>
      <c r="HL6" s="43"/>
      <c r="HM6" s="43"/>
      <c r="HN6" s="43"/>
      <c r="HO6" s="43"/>
      <c r="HP6" s="43"/>
      <c r="HQ6" s="43"/>
      <c r="HR6" s="43"/>
      <c r="HS6" s="43"/>
      <c r="HT6" s="43"/>
      <c r="HU6" s="43"/>
      <c r="HV6" s="43"/>
      <c r="HW6" s="43"/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43"/>
      <c r="IO6" s="43"/>
      <c r="IP6" s="43"/>
      <c r="IQ6" s="43"/>
      <c r="IR6" s="43"/>
      <c r="IS6" s="43"/>
      <c r="IT6" s="43"/>
      <c r="IU6" s="43"/>
      <c r="IV6" s="43"/>
      <c r="IW6" s="43"/>
      <c r="IX6" s="43"/>
      <c r="IY6" s="43"/>
      <c r="IZ6" s="43"/>
      <c r="JA6" s="43"/>
      <c r="JB6" s="43"/>
      <c r="JC6" s="43"/>
      <c r="JD6" s="43"/>
      <c r="JE6" s="43"/>
      <c r="JF6" s="43"/>
      <c r="JG6" s="43"/>
      <c r="JH6" s="43"/>
      <c r="JI6" s="43"/>
      <c r="JJ6" s="43"/>
      <c r="JK6" s="43"/>
      <c r="JL6" s="43"/>
      <c r="JM6" s="43"/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43"/>
      <c r="KE6" s="43"/>
      <c r="KF6" s="43"/>
      <c r="KG6" s="43"/>
      <c r="KH6" s="43"/>
      <c r="KI6" s="43"/>
      <c r="KJ6" s="43"/>
      <c r="KK6" s="43"/>
      <c r="KL6" s="43"/>
      <c r="KM6" s="43"/>
      <c r="KN6" s="43"/>
      <c r="KO6" s="43"/>
      <c r="KP6" s="43"/>
      <c r="KQ6" s="43"/>
      <c r="KR6" s="43"/>
      <c r="KS6" s="43"/>
      <c r="KT6" s="43"/>
      <c r="KU6" s="43"/>
      <c r="KV6" s="43"/>
      <c r="KW6" s="43"/>
      <c r="KX6" s="43"/>
      <c r="KY6" s="43"/>
      <c r="KZ6" s="43"/>
      <c r="LA6" s="43"/>
      <c r="LB6" s="43"/>
      <c r="LC6" s="43"/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43"/>
      <c r="LU6" s="43"/>
      <c r="LV6" s="43"/>
      <c r="LW6" s="43"/>
      <c r="LX6" s="43"/>
      <c r="LY6" s="43"/>
      <c r="LZ6" s="43"/>
      <c r="MA6" s="43"/>
      <c r="MB6" s="43"/>
      <c r="MC6" s="43"/>
      <c r="MD6" s="43"/>
      <c r="ME6" s="43"/>
      <c r="MF6" s="43"/>
      <c r="MG6" s="43"/>
      <c r="MH6" s="43"/>
      <c r="MI6" s="43"/>
      <c r="MJ6" s="43"/>
      <c r="MK6" s="43"/>
      <c r="ML6" s="43"/>
      <c r="MM6" s="43"/>
      <c r="MN6" s="43"/>
      <c r="MO6" s="43"/>
      <c r="MP6" s="43"/>
      <c r="MQ6" s="43"/>
      <c r="MR6" s="43"/>
      <c r="MS6" s="43"/>
      <c r="MT6" s="43"/>
      <c r="MU6" s="43"/>
      <c r="MV6" s="43"/>
      <c r="MW6" s="43"/>
      <c r="MX6" s="43"/>
      <c r="MY6" s="43"/>
      <c r="MZ6" s="43"/>
      <c r="NA6" s="43"/>
      <c r="NB6" s="43"/>
      <c r="NC6" s="43"/>
      <c r="ND6" s="43"/>
      <c r="NE6" s="43"/>
      <c r="NF6" s="43"/>
      <c r="NG6" s="43"/>
      <c r="NH6" s="43"/>
      <c r="NI6" s="43"/>
      <c r="NJ6" s="43"/>
      <c r="NK6" s="43"/>
      <c r="NL6" s="43"/>
      <c r="NM6" s="43"/>
      <c r="NN6" s="43"/>
      <c r="NO6" s="43"/>
      <c r="NP6" s="43"/>
      <c r="NQ6" s="43"/>
      <c r="NR6" s="43"/>
      <c r="NS6" s="43"/>
      <c r="NT6" s="43"/>
      <c r="NU6" s="43"/>
      <c r="NV6" s="43"/>
      <c r="NW6" s="43"/>
      <c r="NX6" s="43"/>
      <c r="NY6" s="43"/>
      <c r="NZ6" s="43"/>
      <c r="OA6" s="43"/>
      <c r="OB6" s="43"/>
      <c r="OC6" s="43"/>
      <c r="OD6" s="43"/>
      <c r="OE6" s="43"/>
      <c r="OF6" s="43"/>
      <c r="OG6" s="43"/>
      <c r="OH6" s="43"/>
      <c r="OI6" s="43"/>
      <c r="OJ6" s="43"/>
      <c r="OK6" s="43"/>
      <c r="OL6" s="43"/>
      <c r="OM6" s="43"/>
      <c r="ON6" s="43"/>
      <c r="OO6" s="43"/>
      <c r="OP6" s="43"/>
      <c r="OQ6" s="43"/>
      <c r="OR6" s="43"/>
      <c r="OS6" s="43"/>
      <c r="OT6" s="43"/>
      <c r="OU6" s="43"/>
      <c r="OV6" s="43"/>
      <c r="OW6" s="43"/>
      <c r="OX6" s="43"/>
      <c r="OY6" s="43"/>
      <c r="OZ6" s="43"/>
      <c r="PA6" s="43"/>
      <c r="PB6" s="43"/>
      <c r="PC6" s="43"/>
      <c r="PD6" s="43"/>
      <c r="PE6" s="43"/>
      <c r="PF6" s="43"/>
      <c r="PG6" s="43"/>
      <c r="PH6" s="43"/>
      <c r="PI6" s="43"/>
      <c r="PJ6" s="43"/>
      <c r="PK6" s="43"/>
      <c r="PL6" s="43"/>
      <c r="PM6" s="43"/>
      <c r="PN6" s="43"/>
      <c r="PO6" s="43"/>
      <c r="PP6" s="43"/>
      <c r="PQ6" s="43"/>
      <c r="PR6" s="43"/>
      <c r="PS6" s="43"/>
      <c r="PT6" s="43"/>
      <c r="PU6" s="43"/>
      <c r="PV6" s="43"/>
      <c r="PW6" s="43"/>
      <c r="PX6" s="43"/>
      <c r="PY6" s="43"/>
      <c r="PZ6" s="43"/>
      <c r="QA6" s="43"/>
      <c r="QB6" s="43"/>
      <c r="QC6" s="43"/>
      <c r="QD6" s="43"/>
      <c r="QE6" s="43"/>
      <c r="QF6" s="43"/>
      <c r="QG6" s="43"/>
      <c r="QH6" s="43"/>
      <c r="QI6" s="43"/>
      <c r="QJ6" s="43"/>
      <c r="QK6" s="43"/>
      <c r="QL6" s="43"/>
      <c r="QM6" s="43"/>
      <c r="QN6" s="43"/>
      <c r="QO6" s="43"/>
      <c r="QP6" s="43"/>
      <c r="QQ6" s="43"/>
      <c r="QR6" s="43"/>
      <c r="QS6" s="43"/>
      <c r="QT6" s="43"/>
      <c r="QU6" s="43"/>
      <c r="QV6" s="43"/>
      <c r="QW6" s="43"/>
      <c r="QX6" s="43"/>
      <c r="QY6" s="43"/>
      <c r="QZ6" s="43"/>
      <c r="RA6" s="43"/>
      <c r="RB6" s="43"/>
      <c r="RC6" s="43"/>
      <c r="RD6" s="43"/>
      <c r="RE6" s="43"/>
      <c r="RF6" s="43"/>
      <c r="RG6" s="43"/>
      <c r="RH6" s="43"/>
      <c r="RI6" s="43"/>
      <c r="RJ6" s="43"/>
      <c r="RK6" s="43"/>
      <c r="RL6" s="43"/>
      <c r="RM6" s="43"/>
      <c r="RN6" s="43"/>
      <c r="RO6" s="43"/>
      <c r="RP6" s="43"/>
      <c r="RQ6" s="43"/>
      <c r="RR6" s="43"/>
      <c r="RS6" s="43"/>
      <c r="RT6" s="43"/>
      <c r="RU6" s="43"/>
      <c r="RV6" s="43"/>
    </row>
    <row r="7" spans="1:490" x14ac:dyDescent="0.25">
      <c r="A7" s="36" t="str">
        <f>'Параметры ноты'!A23</f>
        <v>NVDA UW Equity</v>
      </c>
      <c r="C7" s="43">
        <f>'Параметры ноты'!B47</f>
        <v>222.13</v>
      </c>
      <c r="D7" s="43">
        <v>146.13999999999999</v>
      </c>
      <c r="E7" s="43">
        <f ca="1"/>
        <v>164.91573819421089</v>
      </c>
      <c r="F7" s="43">
        <f ca="1"/>
        <v>183.03019131541893</v>
      </c>
      <c r="G7" s="43">
        <f ca="1"/>
        <v>208.22787879310155</v>
      </c>
      <c r="H7" s="43">
        <f ca="1"/>
        <v>210.4912686838685</v>
      </c>
      <c r="I7" s="43">
        <f ca="1"/>
        <v>222.42052815356217</v>
      </c>
      <c r="J7" s="43">
        <f ca="1"/>
        <v>245.85565957217057</v>
      </c>
      <c r="K7" s="43">
        <f ca="1"/>
        <v>292.44887933103081</v>
      </c>
      <c r="L7" s="43">
        <f ca="1"/>
        <v>351.14815907474673</v>
      </c>
      <c r="M7" s="43">
        <f ca="1"/>
        <v>395.50255806540423</v>
      </c>
      <c r="N7" s="43">
        <f ca="1"/>
        <v>390.416651331803</v>
      </c>
      <c r="O7" s="43">
        <f ca="1"/>
        <v>386.7470261630508</v>
      </c>
      <c r="P7" s="43">
        <f ca="1"/>
        <v>406.39028859725272</v>
      </c>
      <c r="Q7" s="43">
        <f ca="1"/>
        <v>326.63140272444377</v>
      </c>
      <c r="R7" s="43">
        <f ca="1"/>
        <v>305.51371716602921</v>
      </c>
      <c r="S7" s="43">
        <f ca="1"/>
        <v>258.21118734019217</v>
      </c>
      <c r="T7" s="43">
        <f ca="1"/>
        <v>211.93970643404535</v>
      </c>
      <c r="U7" s="43">
        <f ca="1"/>
        <v>148.29820130497347</v>
      </c>
      <c r="V7" s="43">
        <f ca="1"/>
        <v>139.84626219412871</v>
      </c>
      <c r="W7" s="43">
        <f ca="1"/>
        <v>145.26134787680184</v>
      </c>
      <c r="X7" s="43">
        <f ca="1"/>
        <v>160.8245228371309</v>
      </c>
      <c r="Y7" s="43">
        <f ca="1"/>
        <v>153.63655559219509</v>
      </c>
      <c r="Z7" s="43">
        <f ca="1"/>
        <v>134.82524867987794</v>
      </c>
      <c r="AA7" s="43">
        <f ca="1"/>
        <v>103.93729555149233</v>
      </c>
      <c r="AB7" s="43">
        <f ca="1"/>
        <v>97.329490771665732</v>
      </c>
      <c r="AC7" s="43">
        <f ca="1"/>
        <v>98.711159883241706</v>
      </c>
      <c r="AD7" s="43">
        <f ca="1"/>
        <v>93.961009268042972</v>
      </c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  <c r="CW7" s="43"/>
      <c r="CX7" s="43"/>
      <c r="CY7" s="43"/>
      <c r="CZ7" s="43"/>
      <c r="DA7" s="43"/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43"/>
      <c r="DS7" s="43"/>
      <c r="DT7" s="43"/>
      <c r="DU7" s="43"/>
      <c r="DV7" s="43"/>
      <c r="DW7" s="43"/>
      <c r="DX7" s="43"/>
      <c r="DY7" s="43"/>
      <c r="DZ7" s="43"/>
      <c r="EA7" s="43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43"/>
      <c r="EM7" s="43"/>
      <c r="EN7" s="43"/>
      <c r="EO7" s="43"/>
      <c r="EP7" s="43"/>
      <c r="EQ7" s="43"/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43"/>
      <c r="FI7" s="43"/>
      <c r="FJ7" s="43"/>
      <c r="FK7" s="43"/>
      <c r="FL7" s="43"/>
      <c r="FM7" s="43"/>
      <c r="FN7" s="43"/>
      <c r="FO7" s="43"/>
      <c r="FP7" s="43"/>
      <c r="FQ7" s="43"/>
      <c r="FR7" s="43"/>
      <c r="FS7" s="43"/>
      <c r="FT7" s="43"/>
      <c r="FU7" s="43"/>
      <c r="FV7" s="43"/>
      <c r="FW7" s="43"/>
      <c r="FX7" s="43"/>
      <c r="FY7" s="43"/>
      <c r="FZ7" s="43"/>
      <c r="GA7" s="43"/>
      <c r="GB7" s="43"/>
      <c r="GC7" s="43"/>
      <c r="GD7" s="43"/>
      <c r="GE7" s="43"/>
      <c r="GF7" s="43"/>
      <c r="GG7" s="43"/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43"/>
      <c r="GY7" s="43"/>
      <c r="GZ7" s="43"/>
      <c r="HA7" s="43"/>
      <c r="HB7" s="43"/>
      <c r="HC7" s="43"/>
      <c r="HD7" s="43"/>
      <c r="HE7" s="43"/>
      <c r="HF7" s="43"/>
      <c r="HG7" s="43"/>
      <c r="HH7" s="43"/>
      <c r="HI7" s="43"/>
      <c r="HJ7" s="43"/>
      <c r="HK7" s="43"/>
      <c r="HL7" s="43"/>
      <c r="HM7" s="43"/>
      <c r="HN7" s="43"/>
      <c r="HO7" s="43"/>
      <c r="HP7" s="43"/>
      <c r="HQ7" s="43"/>
      <c r="HR7" s="43"/>
      <c r="HS7" s="43"/>
      <c r="HT7" s="43"/>
      <c r="HU7" s="43"/>
      <c r="HV7" s="43"/>
      <c r="HW7" s="43"/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43"/>
      <c r="IO7" s="43"/>
      <c r="IP7" s="43"/>
      <c r="IQ7" s="43"/>
      <c r="IR7" s="43"/>
      <c r="IS7" s="43"/>
      <c r="IT7" s="43"/>
      <c r="IU7" s="43"/>
      <c r="IV7" s="43"/>
      <c r="IW7" s="43"/>
      <c r="IX7" s="43"/>
      <c r="IY7" s="43"/>
      <c r="IZ7" s="43"/>
      <c r="JA7" s="43"/>
      <c r="JB7" s="43"/>
      <c r="JC7" s="43"/>
      <c r="JD7" s="43"/>
      <c r="JE7" s="43"/>
      <c r="JF7" s="43"/>
      <c r="JG7" s="43"/>
      <c r="JH7" s="43"/>
      <c r="JI7" s="43"/>
      <c r="JJ7" s="43"/>
      <c r="JK7" s="43"/>
      <c r="JL7" s="43"/>
      <c r="JM7" s="43"/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43"/>
      <c r="KE7" s="43"/>
      <c r="KF7" s="43"/>
      <c r="KG7" s="43"/>
      <c r="KH7" s="43"/>
      <c r="KI7" s="43"/>
      <c r="KJ7" s="43"/>
      <c r="KK7" s="43"/>
      <c r="KL7" s="43"/>
      <c r="KM7" s="43"/>
      <c r="KN7" s="43"/>
      <c r="KO7" s="43"/>
      <c r="KP7" s="43"/>
      <c r="KQ7" s="43"/>
      <c r="KR7" s="43"/>
      <c r="KS7" s="43"/>
      <c r="KT7" s="43"/>
      <c r="KU7" s="43"/>
      <c r="KV7" s="43"/>
      <c r="KW7" s="43"/>
      <c r="KX7" s="43"/>
      <c r="KY7" s="43"/>
      <c r="KZ7" s="43"/>
      <c r="LA7" s="43"/>
      <c r="LB7" s="43"/>
      <c r="LC7" s="43"/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43"/>
      <c r="LU7" s="43"/>
      <c r="LV7" s="43"/>
      <c r="LW7" s="43"/>
      <c r="LX7" s="43"/>
      <c r="LY7" s="43"/>
      <c r="LZ7" s="43"/>
      <c r="MA7" s="43"/>
      <c r="MB7" s="43"/>
      <c r="MC7" s="43"/>
      <c r="MD7" s="43"/>
      <c r="ME7" s="43"/>
      <c r="MF7" s="43"/>
      <c r="MG7" s="43"/>
      <c r="MH7" s="43"/>
      <c r="MI7" s="43"/>
      <c r="MJ7" s="43"/>
      <c r="MK7" s="43"/>
      <c r="ML7" s="43"/>
      <c r="MM7" s="43"/>
      <c r="MN7" s="43"/>
      <c r="MO7" s="43"/>
      <c r="MP7" s="43"/>
      <c r="MQ7" s="43"/>
      <c r="MR7" s="43"/>
      <c r="MS7" s="43"/>
      <c r="MT7" s="43"/>
      <c r="MU7" s="43"/>
      <c r="MV7" s="43"/>
      <c r="MW7" s="43"/>
      <c r="MX7" s="43"/>
      <c r="MY7" s="43"/>
      <c r="MZ7" s="43"/>
      <c r="NA7" s="43"/>
      <c r="NB7" s="43"/>
      <c r="NC7" s="43"/>
      <c r="ND7" s="43"/>
      <c r="NE7" s="43"/>
      <c r="NF7" s="43"/>
      <c r="NG7" s="43"/>
      <c r="NH7" s="43"/>
      <c r="NI7" s="43"/>
      <c r="NJ7" s="43"/>
      <c r="NK7" s="43"/>
      <c r="NL7" s="43"/>
      <c r="NM7" s="43"/>
      <c r="NN7" s="43"/>
      <c r="NO7" s="43"/>
      <c r="NP7" s="43"/>
      <c r="NQ7" s="43"/>
      <c r="NR7" s="43"/>
      <c r="NS7" s="43"/>
      <c r="NT7" s="43"/>
      <c r="NU7" s="43"/>
      <c r="NV7" s="43"/>
      <c r="NW7" s="43"/>
      <c r="NX7" s="43"/>
      <c r="NY7" s="43"/>
      <c r="NZ7" s="43"/>
      <c r="OA7" s="43"/>
      <c r="OB7" s="43"/>
      <c r="OC7" s="43"/>
      <c r="OD7" s="43"/>
      <c r="OE7" s="43"/>
      <c r="OF7" s="43"/>
      <c r="OG7" s="43"/>
      <c r="OH7" s="43"/>
      <c r="OI7" s="43"/>
      <c r="OJ7" s="43"/>
      <c r="OK7" s="43"/>
      <c r="OL7" s="43"/>
      <c r="OM7" s="43"/>
      <c r="ON7" s="43"/>
      <c r="OO7" s="43"/>
      <c r="OP7" s="43"/>
      <c r="OQ7" s="43"/>
      <c r="OR7" s="43"/>
      <c r="OS7" s="43"/>
      <c r="OT7" s="43"/>
      <c r="OU7" s="43"/>
      <c r="OV7" s="43"/>
      <c r="OW7" s="43"/>
      <c r="OX7" s="43"/>
      <c r="OY7" s="43"/>
      <c r="OZ7" s="43"/>
      <c r="PA7" s="43"/>
      <c r="PB7" s="43"/>
      <c r="PC7" s="43"/>
      <c r="PD7" s="43"/>
      <c r="PE7" s="43"/>
      <c r="PF7" s="43"/>
      <c r="PG7" s="43"/>
      <c r="PH7" s="43"/>
      <c r="PI7" s="43"/>
      <c r="PJ7" s="43"/>
      <c r="PK7" s="43"/>
      <c r="PL7" s="43"/>
      <c r="PM7" s="43"/>
      <c r="PN7" s="43"/>
      <c r="PO7" s="43"/>
      <c r="PP7" s="43"/>
      <c r="PQ7" s="43"/>
      <c r="PR7" s="43"/>
      <c r="PS7" s="43"/>
      <c r="PT7" s="43"/>
      <c r="PU7" s="43"/>
      <c r="PV7" s="43"/>
      <c r="PW7" s="43"/>
      <c r="PX7" s="43"/>
      <c r="PY7" s="43"/>
      <c r="PZ7" s="43"/>
      <c r="QA7" s="43"/>
      <c r="QB7" s="43"/>
      <c r="QC7" s="43"/>
      <c r="QD7" s="43"/>
      <c r="QE7" s="43"/>
      <c r="QF7" s="43"/>
      <c r="QG7" s="43"/>
      <c r="QH7" s="43"/>
      <c r="QI7" s="43"/>
      <c r="QJ7" s="43"/>
      <c r="QK7" s="43"/>
      <c r="QL7" s="43"/>
      <c r="QM7" s="43"/>
      <c r="QN7" s="43"/>
      <c r="QO7" s="43"/>
      <c r="QP7" s="43"/>
      <c r="QQ7" s="43"/>
      <c r="QR7" s="43"/>
      <c r="QS7" s="43"/>
      <c r="QT7" s="43"/>
      <c r="QU7" s="43"/>
      <c r="QV7" s="43"/>
      <c r="QW7" s="43"/>
      <c r="QX7" s="43"/>
      <c r="QY7" s="43"/>
      <c r="QZ7" s="43"/>
      <c r="RA7" s="43"/>
      <c r="RB7" s="43"/>
      <c r="RC7" s="43"/>
      <c r="RD7" s="43"/>
      <c r="RE7" s="43"/>
      <c r="RF7" s="43"/>
      <c r="RG7" s="43"/>
      <c r="RH7" s="43"/>
      <c r="RI7" s="43"/>
      <c r="RJ7" s="43"/>
      <c r="RK7" s="43"/>
      <c r="RL7" s="43"/>
      <c r="RM7" s="43"/>
      <c r="RN7" s="43"/>
      <c r="RO7" s="43"/>
      <c r="RP7" s="43"/>
      <c r="RQ7" s="43"/>
      <c r="RR7" s="43"/>
      <c r="RS7" s="43"/>
      <c r="RT7" s="43"/>
      <c r="RU7" s="43"/>
      <c r="RV7" s="43"/>
    </row>
    <row r="8" spans="1:490" x14ac:dyDescent="0.25">
      <c r="A8" s="36" t="str">
        <f>'Параметры ноты'!A24</f>
        <v>PYPL UW Equity</v>
      </c>
      <c r="C8" s="43">
        <f>'Параметры ноты'!B48</f>
        <v>277.69</v>
      </c>
      <c r="D8" s="43">
        <v>71.22</v>
      </c>
      <c r="E8" s="43">
        <f ca="1"/>
        <v>80.000321496870342</v>
      </c>
      <c r="F8" s="43">
        <f ca="1"/>
        <v>88.427954961064898</v>
      </c>
      <c r="G8" s="43">
        <f ca="1"/>
        <v>100.10054433466377</v>
      </c>
      <c r="H8" s="43">
        <f ca="1"/>
        <v>101.16104081820731</v>
      </c>
      <c r="I8" s="43">
        <f ca="1"/>
        <v>106.6784686763571</v>
      </c>
      <c r="J8" s="43">
        <f ca="1"/>
        <v>117.46080187888393</v>
      </c>
      <c r="K8" s="43">
        <f ca="1"/>
        <v>138.78177436650404</v>
      </c>
      <c r="L8" s="43">
        <f ca="1"/>
        <v>165.46531775519784</v>
      </c>
      <c r="M8" s="43">
        <f ca="1"/>
        <v>185.52204958110988</v>
      </c>
      <c r="N8" s="43">
        <f ca="1"/>
        <v>183.2400814136322</v>
      </c>
      <c r="O8" s="43">
        <f ca="1"/>
        <v>181.60380685136269</v>
      </c>
      <c r="P8" s="43">
        <f ca="1"/>
        <v>190.4844791682543</v>
      </c>
      <c r="Q8" s="43">
        <f ca="1"/>
        <v>154.44816333022249</v>
      </c>
      <c r="R8" s="43">
        <f ca="1"/>
        <v>144.85345341649165</v>
      </c>
      <c r="S8" s="43">
        <f ca="1"/>
        <v>123.25131820971923</v>
      </c>
      <c r="T8" s="43">
        <f ca="1"/>
        <v>101.97122549551034</v>
      </c>
      <c r="U8" s="43">
        <f ca="1"/>
        <v>72.374125576104944</v>
      </c>
      <c r="V8" s="43">
        <f ca="1"/>
        <v>68.41159994960374</v>
      </c>
      <c r="W8" s="43">
        <f ca="1"/>
        <v>70.959996870280065</v>
      </c>
      <c r="X8" s="43">
        <f ca="1"/>
        <v>78.25993717513461</v>
      </c>
      <c r="Y8" s="43">
        <f ca="1"/>
        <v>74.908595425780277</v>
      </c>
      <c r="Z8" s="43">
        <f ca="1"/>
        <v>66.079571024020112</v>
      </c>
      <c r="AA8" s="43">
        <f ca="1"/>
        <v>51.471848675199496</v>
      </c>
      <c r="AB8" s="43">
        <f ca="1"/>
        <v>48.331974830140254</v>
      </c>
      <c r="AC8" s="43">
        <f ca="1"/>
        <v>48.998380608893463</v>
      </c>
      <c r="AD8" s="43">
        <f ca="1"/>
        <v>46.734136823731646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43"/>
      <c r="CY8" s="43"/>
      <c r="CZ8" s="43"/>
      <c r="DA8" s="43"/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3"/>
      <c r="ED8" s="43"/>
      <c r="EE8" s="43"/>
      <c r="EF8" s="43"/>
      <c r="EG8" s="43"/>
      <c r="EH8" s="43"/>
      <c r="EI8" s="43"/>
      <c r="EJ8" s="43"/>
      <c r="EK8" s="43"/>
      <c r="EL8" s="43"/>
      <c r="EM8" s="43"/>
      <c r="EN8" s="43"/>
      <c r="EO8" s="43"/>
      <c r="EP8" s="43"/>
      <c r="EQ8" s="43"/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43"/>
      <c r="FI8" s="43"/>
      <c r="FJ8" s="43"/>
      <c r="FK8" s="43"/>
      <c r="FL8" s="43"/>
      <c r="FM8" s="43"/>
      <c r="FN8" s="43"/>
      <c r="FO8" s="43"/>
      <c r="FP8" s="43"/>
      <c r="FQ8" s="43"/>
      <c r="FR8" s="43"/>
      <c r="FS8" s="43"/>
      <c r="FT8" s="43"/>
      <c r="FU8" s="43"/>
      <c r="FV8" s="43"/>
      <c r="FW8" s="43"/>
      <c r="FX8" s="43"/>
      <c r="FY8" s="43"/>
      <c r="FZ8" s="43"/>
      <c r="GA8" s="43"/>
      <c r="GB8" s="43"/>
      <c r="GC8" s="43"/>
      <c r="GD8" s="43"/>
      <c r="GE8" s="43"/>
      <c r="GF8" s="43"/>
      <c r="GG8" s="43"/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43"/>
      <c r="GY8" s="43"/>
      <c r="GZ8" s="43"/>
      <c r="HA8" s="43"/>
      <c r="HB8" s="43"/>
      <c r="HC8" s="43"/>
      <c r="HD8" s="43"/>
      <c r="HE8" s="43"/>
      <c r="HF8" s="43"/>
      <c r="HG8" s="43"/>
      <c r="HH8" s="43"/>
      <c r="HI8" s="43"/>
      <c r="HJ8" s="43"/>
      <c r="HK8" s="43"/>
      <c r="HL8" s="43"/>
      <c r="HM8" s="43"/>
      <c r="HN8" s="43"/>
      <c r="HO8" s="43"/>
      <c r="HP8" s="43"/>
      <c r="HQ8" s="43"/>
      <c r="HR8" s="43"/>
      <c r="HS8" s="43"/>
      <c r="HT8" s="43"/>
      <c r="HU8" s="43"/>
      <c r="HV8" s="43"/>
      <c r="HW8" s="43"/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43"/>
      <c r="IO8" s="43"/>
      <c r="IP8" s="43"/>
      <c r="IQ8" s="43"/>
      <c r="IR8" s="43"/>
      <c r="IS8" s="43"/>
      <c r="IT8" s="43"/>
      <c r="IU8" s="43"/>
      <c r="IV8" s="43"/>
      <c r="IW8" s="43"/>
      <c r="IX8" s="43"/>
      <c r="IY8" s="43"/>
      <c r="IZ8" s="43"/>
      <c r="JA8" s="43"/>
      <c r="JB8" s="43"/>
      <c r="JC8" s="43"/>
      <c r="JD8" s="43"/>
      <c r="JE8" s="43"/>
      <c r="JF8" s="43"/>
      <c r="JG8" s="43"/>
      <c r="JH8" s="43"/>
      <c r="JI8" s="43"/>
      <c r="JJ8" s="43"/>
      <c r="JK8" s="43"/>
      <c r="JL8" s="43"/>
      <c r="JM8" s="43"/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43"/>
      <c r="KE8" s="43"/>
      <c r="KF8" s="43"/>
      <c r="KG8" s="43"/>
      <c r="KH8" s="43"/>
      <c r="KI8" s="43"/>
      <c r="KJ8" s="43"/>
      <c r="KK8" s="43"/>
      <c r="KL8" s="43"/>
      <c r="KM8" s="43"/>
      <c r="KN8" s="43"/>
      <c r="KO8" s="43"/>
      <c r="KP8" s="43"/>
      <c r="KQ8" s="43"/>
      <c r="KR8" s="43"/>
      <c r="KS8" s="43"/>
      <c r="KT8" s="43"/>
      <c r="KU8" s="43"/>
      <c r="KV8" s="43"/>
      <c r="KW8" s="43"/>
      <c r="KX8" s="43"/>
      <c r="KY8" s="43"/>
      <c r="KZ8" s="43"/>
      <c r="LA8" s="43"/>
      <c r="LB8" s="43"/>
      <c r="LC8" s="43"/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43"/>
      <c r="LU8" s="43"/>
      <c r="LV8" s="43"/>
      <c r="LW8" s="43"/>
      <c r="LX8" s="43"/>
      <c r="LY8" s="43"/>
      <c r="LZ8" s="43"/>
      <c r="MA8" s="43"/>
      <c r="MB8" s="43"/>
      <c r="MC8" s="43"/>
      <c r="MD8" s="43"/>
      <c r="ME8" s="43"/>
      <c r="MF8" s="43"/>
      <c r="MG8" s="43"/>
      <c r="MH8" s="43"/>
      <c r="MI8" s="43"/>
      <c r="MJ8" s="43"/>
      <c r="MK8" s="43"/>
      <c r="ML8" s="43"/>
      <c r="MM8" s="43"/>
      <c r="MN8" s="43"/>
      <c r="MO8" s="43"/>
      <c r="MP8" s="43"/>
      <c r="MQ8" s="43"/>
      <c r="MR8" s="43"/>
      <c r="MS8" s="43"/>
      <c r="MT8" s="43"/>
      <c r="MU8" s="43"/>
      <c r="MV8" s="43"/>
      <c r="MW8" s="43"/>
      <c r="MX8" s="43"/>
      <c r="MY8" s="43"/>
      <c r="MZ8" s="43"/>
      <c r="NA8" s="43"/>
      <c r="NB8" s="43"/>
      <c r="NC8" s="43"/>
      <c r="ND8" s="43"/>
      <c r="NE8" s="43"/>
      <c r="NF8" s="43"/>
      <c r="NG8" s="43"/>
      <c r="NH8" s="43"/>
      <c r="NI8" s="43"/>
      <c r="NJ8" s="43"/>
      <c r="NK8" s="43"/>
      <c r="NL8" s="43"/>
      <c r="NM8" s="43"/>
      <c r="NN8" s="43"/>
      <c r="NO8" s="43"/>
      <c r="NP8" s="43"/>
      <c r="NQ8" s="43"/>
      <c r="NR8" s="43"/>
      <c r="NS8" s="43"/>
      <c r="NT8" s="43"/>
      <c r="NU8" s="43"/>
      <c r="NV8" s="43"/>
      <c r="NW8" s="43"/>
      <c r="NX8" s="43"/>
      <c r="NY8" s="43"/>
      <c r="NZ8" s="43"/>
      <c r="OA8" s="43"/>
      <c r="OB8" s="43"/>
      <c r="OC8" s="43"/>
      <c r="OD8" s="43"/>
      <c r="OE8" s="43"/>
      <c r="OF8" s="43"/>
      <c r="OG8" s="43"/>
      <c r="OH8" s="43"/>
      <c r="OI8" s="43"/>
      <c r="OJ8" s="43"/>
      <c r="OK8" s="43"/>
      <c r="OL8" s="43"/>
      <c r="OM8" s="43"/>
      <c r="ON8" s="43"/>
      <c r="OO8" s="43"/>
      <c r="OP8" s="43"/>
      <c r="OQ8" s="43"/>
      <c r="OR8" s="43"/>
      <c r="OS8" s="43"/>
      <c r="OT8" s="43"/>
      <c r="OU8" s="43"/>
      <c r="OV8" s="43"/>
      <c r="OW8" s="43"/>
      <c r="OX8" s="43"/>
      <c r="OY8" s="43"/>
      <c r="OZ8" s="43"/>
      <c r="PA8" s="43"/>
      <c r="PB8" s="43"/>
      <c r="PC8" s="43"/>
      <c r="PD8" s="43"/>
      <c r="PE8" s="43"/>
      <c r="PF8" s="43"/>
      <c r="PG8" s="43"/>
      <c r="PH8" s="43"/>
      <c r="PI8" s="43"/>
      <c r="PJ8" s="43"/>
      <c r="PK8" s="43"/>
      <c r="PL8" s="43"/>
      <c r="PM8" s="43"/>
      <c r="PN8" s="43"/>
      <c r="PO8" s="43"/>
      <c r="PP8" s="43"/>
      <c r="PQ8" s="43"/>
      <c r="PR8" s="43"/>
      <c r="PS8" s="43"/>
      <c r="PT8" s="43"/>
      <c r="PU8" s="43"/>
      <c r="PV8" s="43"/>
      <c r="PW8" s="43"/>
      <c r="PX8" s="43"/>
      <c r="PY8" s="43"/>
      <c r="PZ8" s="43"/>
      <c r="QA8" s="43"/>
      <c r="QB8" s="43"/>
      <c r="QC8" s="43"/>
      <c r="QD8" s="43"/>
      <c r="QE8" s="43"/>
      <c r="QF8" s="43"/>
      <c r="QG8" s="43"/>
      <c r="QH8" s="43"/>
      <c r="QI8" s="43"/>
      <c r="QJ8" s="43"/>
      <c r="QK8" s="43"/>
      <c r="QL8" s="43"/>
      <c r="QM8" s="43"/>
      <c r="QN8" s="43"/>
      <c r="QO8" s="43"/>
      <c r="QP8" s="43"/>
      <c r="QQ8" s="43"/>
      <c r="QR8" s="43"/>
      <c r="QS8" s="43"/>
      <c r="QT8" s="43"/>
      <c r="QU8" s="43"/>
      <c r="QV8" s="43"/>
      <c r="QW8" s="43"/>
      <c r="QX8" s="43"/>
      <c r="QY8" s="43"/>
      <c r="QZ8" s="43"/>
      <c r="RA8" s="43"/>
      <c r="RB8" s="43"/>
      <c r="RC8" s="43"/>
      <c r="RD8" s="43"/>
      <c r="RE8" s="43"/>
      <c r="RF8" s="43"/>
      <c r="RG8" s="43"/>
      <c r="RH8" s="43"/>
      <c r="RI8" s="43"/>
      <c r="RJ8" s="43"/>
      <c r="RK8" s="43"/>
      <c r="RL8" s="43"/>
      <c r="RM8" s="43"/>
      <c r="RN8" s="43"/>
      <c r="RO8" s="43"/>
      <c r="RP8" s="43"/>
      <c r="RQ8" s="43"/>
      <c r="RR8" s="43"/>
      <c r="RS8" s="43"/>
      <c r="RT8" s="43"/>
      <c r="RU8" s="43"/>
      <c r="RV8" s="43"/>
    </row>
    <row r="9" spans="1:490" x14ac:dyDescent="0.25">
      <c r="A9" s="18" t="s">
        <v>95</v>
      </c>
      <c r="D9" s="39"/>
      <c r="E9" s="6"/>
      <c r="F9">
        <f ca="1">IF(MIN(F12:F16)&gt;='Параметры ноты'!$B$13,Модель!B1+1,0)</f>
        <v>0</v>
      </c>
      <c r="G9" s="6"/>
      <c r="H9" s="6"/>
      <c r="J9">
        <f ca="1">IF(SUM(D10:F10)&gt;0,0,IF(MIN(J12:J16)&gt;='Параметры ноты'!B13,COUNT(C4:H4)-SUM(D9:F9),0))</f>
        <v>0</v>
      </c>
      <c r="M9" s="6"/>
      <c r="N9">
        <f ca="1">IF(SUM(D10:J10)&gt;0,0,IF(MIN(N12:N16)&gt;='Параметры ноты'!B13,COUNT(C4:I4)-SUM(D9:J9),0))</f>
        <v>0</v>
      </c>
      <c r="P9" s="6"/>
      <c r="Q9" s="6"/>
      <c r="R9">
        <f ca="1">IF(SUM(D10:N10)&gt;0,0,IF(MIN(R12:R16)&gt;='Параметры ноты'!B13,COUNT(C4:J4)-SUM(D9:N9),0))</f>
        <v>0</v>
      </c>
      <c r="T9" s="6"/>
      <c r="V9">
        <f ca="1">IF(SUM(D10:R10)&gt;0,0,IF(MIN(V12:V16)&gt;='Параметры ноты'!B13,COUNT(C4:K4)-SUM(D9:R9),0))</f>
        <v>0</v>
      </c>
      <c r="Z9">
        <f ca="1">IF(SUM(D10:V10)&gt;0,0,IF(MIN(Z12:Z16)&gt;='Параметры ноты'!B13,COUNT(C4:L4)-SUM(D9:V9),0))</f>
        <v>0</v>
      </c>
      <c r="AB9" s="6"/>
      <c r="AC9" s="6"/>
      <c r="AD9">
        <f ca="1">IF(SUM(D10:Z10)&gt;0,0,IF(MIN(AD12:AD16)&gt;='Параметры ноты'!B13,COUNT(C4:M4)-SUM(D9:Z9),0))</f>
        <v>0</v>
      </c>
      <c r="AH9" s="6"/>
      <c r="AK9" s="6"/>
      <c r="AL9" s="6"/>
      <c r="AN9" s="6"/>
      <c r="AO9" s="6"/>
      <c r="AP9" s="6"/>
      <c r="MS9">
        <f ca="1">IF(SUM(D10:IR10)&gt;0,0,IF(MIN(MS12:MS17)&gt;='Параметры ноты'!B13,COUNT(Модель!D3:F3)-SUM(Модель!D9:IR9),0))</f>
        <v>0</v>
      </c>
    </row>
    <row r="10" spans="1:490" x14ac:dyDescent="0.25">
      <c r="A10" s="18" t="s">
        <v>12</v>
      </c>
      <c r="F10">
        <f ca="1">IF(MIN(F12:F16)&gt;='Параметры ноты'!N9,'Параметры ноты'!P9,0)</f>
        <v>0</v>
      </c>
      <c r="J10">
        <f ca="1">IF(SUM(D10:F10)&gt;0,0,IF(MIN(J12:J16)&gt;='Параметры ноты'!N10,'Параметры ноты'!P10,0))</f>
        <v>0</v>
      </c>
      <c r="N10">
        <f ca="1">IF(SUM(D10:J10)&gt;0,0,IF(MIN(N12:N16)&gt;='Параметры ноты'!N11,'Параметры ноты'!P11,0))</f>
        <v>0</v>
      </c>
      <c r="R10">
        <f ca="1">IF(SUM(D10:N10)&gt;0,0,IF(MIN(R12:R16)&gt;='Параметры ноты'!N12,'Параметры ноты'!P12,0))</f>
        <v>0</v>
      </c>
      <c r="V10">
        <f ca="1">IF(SUM(D10:R10)&gt;0,0,IF(MIN(V12:V16)&gt;='Параметры ноты'!N13,'Параметры ноты'!P13,0))</f>
        <v>0</v>
      </c>
      <c r="Z10">
        <f ca="1">IF(SUM(D10:V10)&gt;0,0,IF(MIN(Z12:Z16)&gt;='Параметры ноты'!N14,'Параметры ноты'!P14,0))</f>
        <v>0</v>
      </c>
      <c r="AD10" s="32">
        <f ca="1">IF(SUM(D10:Z10)&gt;0,0,IF(MIN(AD12:AD16)&gt;='Параметры ноты'!N15,'Параметры ноты'!P15,IF(MIN(Модель!AD12:AD16)&gt;='Параметры ноты'!B11,'Параметры ноты'!B12,MIN(Модель!AD12:AD16)/'Параметры ноты'!B8)))</f>
        <v>3.8555955356369076E-2</v>
      </c>
      <c r="MS10">
        <f ca="1">IF(SUM(D10:IR10)&gt;0,0,IF(MIN(MS12:MS17)&gt;='Параметры ноты'!N6,'Параметры ноты'!P6,0))</f>
        <v>0</v>
      </c>
      <c r="OS10" s="40"/>
    </row>
    <row r="11" spans="1:490" x14ac:dyDescent="0.25">
      <c r="A11" s="28" t="s">
        <v>64</v>
      </c>
      <c r="B11" s="29"/>
      <c r="C11" s="44"/>
      <c r="D11" s="29"/>
      <c r="E11" s="29"/>
      <c r="F11" s="35">
        <f ca="1">(F9*'Параметры ноты'!$B$10+Модель!F10)*'Параметры ноты'!$B$4</f>
        <v>0</v>
      </c>
      <c r="G11" s="35"/>
      <c r="H11" s="35"/>
      <c r="I11" s="45"/>
      <c r="J11" s="35">
        <f ca="1">(J9*'Параметры ноты'!$B$10+Модель!J10)*'Параметры ноты'!$B$4</f>
        <v>0</v>
      </c>
      <c r="K11" s="35"/>
      <c r="L11" s="45"/>
      <c r="M11" s="29"/>
      <c r="N11" s="35">
        <f ca="1">(N9*'Параметры ноты'!$B$10+Модель!N10)*'Параметры ноты'!$B$4</f>
        <v>0</v>
      </c>
      <c r="O11" s="35"/>
      <c r="P11" s="35"/>
      <c r="Q11" s="29"/>
      <c r="R11" s="35">
        <f ca="1">(R9*'Параметры ноты'!$B$10+Модель!R10)*'Параметры ноты'!$B$4</f>
        <v>0</v>
      </c>
      <c r="S11" s="35"/>
      <c r="T11" s="35"/>
      <c r="U11" s="45"/>
      <c r="V11" s="35">
        <f ca="1">(V9*'Параметры ноты'!$B$10+Модель!V10)*'Параметры ноты'!$B$4</f>
        <v>0</v>
      </c>
      <c r="W11" s="35"/>
      <c r="X11" s="45"/>
      <c r="Y11" s="35"/>
      <c r="Z11" s="35">
        <f ca="1">(Z9*'Параметры ноты'!$B$10+Модель!Z10)*'Параметры ноты'!$B$4</f>
        <v>0</v>
      </c>
      <c r="AA11" s="35"/>
      <c r="AB11" s="35"/>
      <c r="AC11" s="30"/>
      <c r="AD11" s="35">
        <f ca="1">(AD9*'Параметры ноты'!$B$10+Модель!AD10)*'Параметры ноты'!$B$4</f>
        <v>2671927.7061963771</v>
      </c>
      <c r="AE11" s="35"/>
      <c r="AF11" s="35"/>
      <c r="AG11" s="45"/>
      <c r="AH11" s="35"/>
      <c r="AI11" s="35"/>
      <c r="AJ11" s="45"/>
      <c r="AK11" s="29"/>
      <c r="AL11" s="35"/>
      <c r="AM11" s="45"/>
      <c r="AN11" s="35"/>
      <c r="AO11" s="35"/>
      <c r="AP11" s="35"/>
      <c r="AQ11" s="30"/>
      <c r="AR11" s="35"/>
      <c r="AS11" s="30"/>
      <c r="AT11" s="35"/>
      <c r="AU11" s="30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35"/>
      <c r="GD11" s="35"/>
      <c r="GE11" s="35"/>
      <c r="GF11" s="35"/>
      <c r="GG11" s="35"/>
      <c r="GH11" s="35"/>
      <c r="GI11" s="35"/>
      <c r="GJ11" s="35"/>
      <c r="GK11" s="35"/>
      <c r="GL11" s="35"/>
      <c r="GM11" s="35"/>
      <c r="GN11" s="35"/>
      <c r="GO11" s="35"/>
      <c r="GP11" s="35"/>
      <c r="GQ11" s="35"/>
      <c r="GR11" s="35"/>
      <c r="GS11" s="35"/>
      <c r="GT11" s="35"/>
      <c r="GU11" s="35"/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35"/>
      <c r="HT11" s="35"/>
      <c r="HU11" s="35"/>
      <c r="HV11" s="35"/>
      <c r="HW11" s="35"/>
      <c r="HX11" s="35"/>
      <c r="HY11" s="35"/>
      <c r="HZ11" s="35"/>
      <c r="IA11" s="35"/>
      <c r="IB11" s="35"/>
      <c r="IC11" s="35"/>
      <c r="ID11" s="35"/>
      <c r="IE11" s="35"/>
      <c r="IF11" s="35"/>
      <c r="IG11" s="35"/>
      <c r="IH11" s="35"/>
      <c r="II11" s="35"/>
      <c r="IJ11" s="35"/>
      <c r="IK11" s="35"/>
      <c r="IL11" s="35"/>
      <c r="IM11" s="35"/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35"/>
      <c r="JJ11" s="35"/>
      <c r="JK11" s="35"/>
      <c r="JL11" s="35"/>
      <c r="JM11" s="35"/>
      <c r="JN11" s="35"/>
      <c r="JO11" s="35"/>
      <c r="JP11" s="35"/>
      <c r="JQ11" s="35"/>
      <c r="JR11" s="35"/>
      <c r="JS11" s="35"/>
      <c r="JT11" s="35"/>
      <c r="JU11" s="35"/>
      <c r="JV11" s="35"/>
      <c r="JW11" s="35"/>
      <c r="JX11" s="35"/>
      <c r="JY11" s="35"/>
      <c r="JZ11" s="35"/>
      <c r="KA11" s="35"/>
      <c r="KB11" s="35"/>
      <c r="KC11" s="35"/>
      <c r="KD11" s="35"/>
      <c r="KE11" s="35"/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35"/>
      <c r="KZ11" s="35"/>
      <c r="LA11" s="35"/>
      <c r="LB11" s="35"/>
      <c r="LC11" s="35"/>
      <c r="LD11" s="35"/>
      <c r="LE11" s="35"/>
      <c r="LF11" s="35"/>
      <c r="LG11" s="35"/>
      <c r="LH11" s="35"/>
      <c r="LI11" s="35"/>
      <c r="LJ11" s="35"/>
      <c r="LK11" s="35"/>
      <c r="LL11" s="35"/>
      <c r="LM11" s="35"/>
      <c r="LN11" s="35"/>
      <c r="LO11" s="35"/>
      <c r="LP11" s="35"/>
      <c r="LQ11" s="35"/>
      <c r="LR11" s="35"/>
      <c r="LS11" s="35"/>
      <c r="LT11" s="35"/>
      <c r="LU11" s="35"/>
      <c r="LV11" s="35"/>
      <c r="LW11" s="35"/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35"/>
      <c r="MN11" s="35"/>
      <c r="MO11" s="35"/>
      <c r="MP11" s="35"/>
      <c r="MQ11" s="35"/>
      <c r="MR11" s="35"/>
      <c r="MS11" s="35" t="e">
        <f ca="1">(MS9*'Параметры ноты'!B10+Модель!#REF!*'Параметры ноты'!B16+Модель!MS10)*'Параметры ноты'!B4</f>
        <v>#REF!</v>
      </c>
      <c r="MT11" s="35"/>
      <c r="MU11" s="35"/>
      <c r="MV11" s="35"/>
      <c r="MW11" s="35"/>
      <c r="MX11" s="35"/>
      <c r="MY11" s="35"/>
      <c r="MZ11" s="35"/>
      <c r="NA11" s="35"/>
      <c r="NB11" s="35"/>
      <c r="NC11" s="35"/>
      <c r="ND11" s="35"/>
      <c r="NE11" s="35"/>
      <c r="NF11" s="35"/>
      <c r="NG11" s="35"/>
      <c r="NH11" s="35"/>
      <c r="NI11" s="35"/>
      <c r="NJ11" s="35"/>
      <c r="NK11" s="35"/>
      <c r="NL11" s="35"/>
      <c r="NM11" s="35"/>
      <c r="NN11" s="35"/>
      <c r="NO11" s="35"/>
      <c r="NP11" s="35"/>
      <c r="NQ11" s="35"/>
      <c r="NR11" s="35"/>
      <c r="NS11" s="35"/>
      <c r="NT11" s="35"/>
      <c r="NU11" s="35"/>
      <c r="NV11" s="35"/>
      <c r="NW11" s="35"/>
      <c r="NX11" s="35"/>
      <c r="NY11" s="35"/>
      <c r="NZ11" s="35"/>
      <c r="OA11" s="35"/>
      <c r="OB11" s="35"/>
      <c r="OC11" s="35"/>
      <c r="OD11" s="35"/>
      <c r="OE11" s="35"/>
      <c r="OF11" s="35"/>
      <c r="OG11" s="35"/>
      <c r="OH11" s="35"/>
      <c r="OI11" s="35"/>
      <c r="OJ11" s="35"/>
      <c r="OK11" s="35"/>
      <c r="OL11" s="35"/>
      <c r="OM11" s="35"/>
      <c r="ON11" s="35"/>
      <c r="OO11" s="35"/>
      <c r="OP11" s="35"/>
      <c r="OQ11" s="35"/>
      <c r="OR11" s="35"/>
      <c r="OS11" s="35"/>
      <c r="OT11" s="35"/>
      <c r="OU11" s="35"/>
      <c r="OV11" s="35"/>
      <c r="OW11" s="35"/>
      <c r="OX11" s="35"/>
      <c r="OY11" s="35"/>
      <c r="OZ11" s="35"/>
      <c r="PA11" s="35"/>
      <c r="PB11" s="35"/>
      <c r="PC11" s="35"/>
      <c r="PD11" s="35"/>
      <c r="PE11" s="35"/>
      <c r="PF11" s="35"/>
      <c r="PG11" s="35"/>
      <c r="PH11" s="35"/>
      <c r="PI11" s="35"/>
      <c r="PJ11" s="35"/>
      <c r="PK11" s="35"/>
      <c r="PL11" s="35"/>
      <c r="PM11" s="35"/>
      <c r="PN11" s="35"/>
      <c r="PO11" s="35"/>
      <c r="PP11" s="35"/>
      <c r="PQ11" s="35"/>
      <c r="PR11" s="35"/>
      <c r="PS11" s="35"/>
      <c r="PT11" s="35"/>
      <c r="PU11" s="35"/>
      <c r="PV11" s="35"/>
      <c r="PW11" s="35"/>
      <c r="PX11" s="35"/>
      <c r="PY11" s="35"/>
      <c r="PZ11" s="35"/>
      <c r="QA11" s="35"/>
      <c r="QB11" s="35"/>
      <c r="QC11" s="35"/>
      <c r="QD11" s="35"/>
      <c r="QE11" s="35"/>
      <c r="QF11" s="35"/>
      <c r="QG11" s="35"/>
      <c r="QH11" s="35"/>
      <c r="QI11" s="35"/>
      <c r="QJ11" s="35"/>
      <c r="QK11" s="35"/>
      <c r="QL11" s="35"/>
      <c r="QM11" s="35"/>
      <c r="QN11" s="35"/>
      <c r="QO11" s="35"/>
      <c r="QP11" s="35"/>
      <c r="QQ11" s="35"/>
      <c r="QR11" s="35"/>
      <c r="QS11" s="35"/>
      <c r="QT11" s="35"/>
      <c r="QU11" s="35"/>
      <c r="QV11" s="35"/>
      <c r="QW11" s="35"/>
      <c r="QX11" s="35"/>
      <c r="QY11" s="35"/>
      <c r="QZ11" s="35"/>
      <c r="RA11" s="35"/>
      <c r="RB11" s="35"/>
      <c r="RC11" s="35"/>
      <c r="RD11" s="35"/>
      <c r="RE11" s="35"/>
      <c r="RF11" s="35"/>
      <c r="RG11" s="35"/>
      <c r="RH11" s="35"/>
      <c r="RI11" s="35"/>
      <c r="RJ11" s="35"/>
      <c r="RK11" s="35"/>
      <c r="RL11" s="35"/>
      <c r="RM11" s="35"/>
      <c r="RN11" s="35"/>
      <c r="RO11" s="35"/>
      <c r="RP11" s="35"/>
      <c r="RQ11" s="35"/>
      <c r="RR11" s="35"/>
      <c r="RS11" s="35"/>
      <c r="RT11" s="35"/>
      <c r="RU11" s="35"/>
      <c r="RV11" s="35"/>
    </row>
    <row r="12" spans="1:490" x14ac:dyDescent="0.25">
      <c r="A12" s="36" t="str">
        <f>'Параметры ноты'!A20</f>
        <v>SQ UN Equity</v>
      </c>
      <c r="C12" s="32">
        <f>C4/C4</f>
        <v>1</v>
      </c>
      <c r="D12" s="32">
        <f t="shared" ref="D12:AD12" si="0">D4/$C$4</f>
        <v>0.23485443061628736</v>
      </c>
      <c r="E12" s="32">
        <f ca="1">E4/$C$4</f>
        <v>0.19137394070714037</v>
      </c>
      <c r="F12" s="32">
        <f ca="1">F4/$C$4</f>
        <v>0.19218451605315376</v>
      </c>
      <c r="G12" s="32">
        <f t="shared" ca="1" si="0"/>
        <v>0.20225155962432956</v>
      </c>
      <c r="H12" s="32">
        <f t="shared" ca="1" si="0"/>
        <v>0.18136032607323446</v>
      </c>
      <c r="I12" s="32">
        <f t="shared" ca="1" si="0"/>
        <v>0.20419264509369905</v>
      </c>
      <c r="J12" s="32">
        <f t="shared" ca="1" si="0"/>
        <v>0.20884264792215701</v>
      </c>
      <c r="K12" s="32">
        <f ca="1">K4/$C$4</f>
        <v>0.30330109398303212</v>
      </c>
      <c r="L12" s="32">
        <f t="shared" ca="1" si="0"/>
        <v>0.41211091396722138</v>
      </c>
      <c r="M12" s="32">
        <f t="shared" ca="1" si="0"/>
        <v>0.40483581192760548</v>
      </c>
      <c r="N12" s="32">
        <f t="shared" ca="1" si="0"/>
        <v>0.38658200606265514</v>
      </c>
      <c r="O12" s="32">
        <f t="shared" ca="1" si="0"/>
        <v>0.41476259731682374</v>
      </c>
      <c r="P12" s="32">
        <f t="shared" ca="1" si="0"/>
        <v>0.35909498768058895</v>
      </c>
      <c r="Q12" s="32">
        <f t="shared" ca="1" si="0"/>
        <v>0.40813412595141318</v>
      </c>
      <c r="R12" s="32">
        <f t="shared" ca="1" si="0"/>
        <v>0.36783072942484279</v>
      </c>
      <c r="S12" s="32">
        <f t="shared" ca="1" si="0"/>
        <v>0.26344802379547211</v>
      </c>
      <c r="T12" s="32">
        <f t="shared" ca="1" si="0"/>
        <v>0.28263021309330866</v>
      </c>
      <c r="U12" s="32">
        <f t="shared" ca="1" si="0"/>
        <v>0.19501317334439841</v>
      </c>
      <c r="V12" s="32">
        <f t="shared" ca="1" si="0"/>
        <v>0.19533148277401285</v>
      </c>
      <c r="W12" s="32">
        <f t="shared" ca="1" si="0"/>
        <v>0.19965943883896139</v>
      </c>
      <c r="X12" s="32">
        <f t="shared" ca="1" si="0"/>
        <v>0.21042962294303375</v>
      </c>
      <c r="Y12" s="32">
        <f t="shared" ca="1" si="0"/>
        <v>0.26167084265635432</v>
      </c>
      <c r="Z12" s="32">
        <f t="shared" ca="1" si="0"/>
        <v>0.26337880731077362</v>
      </c>
      <c r="AA12" s="32">
        <f t="shared" ca="1" si="0"/>
        <v>0.22810334501395396</v>
      </c>
      <c r="AB12" s="32">
        <f t="shared" ca="1" si="0"/>
        <v>0.21857557800589378</v>
      </c>
      <c r="AC12" s="32">
        <f t="shared" ca="1" si="0"/>
        <v>0.19026217224327627</v>
      </c>
      <c r="AD12" s="32">
        <f t="shared" ca="1" si="0"/>
        <v>0.20072679055490814</v>
      </c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2"/>
      <c r="EI12" s="32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2"/>
      <c r="EU12" s="32"/>
      <c r="EV12" s="32"/>
      <c r="EW12" s="32"/>
      <c r="EX12" s="32"/>
      <c r="EY12" s="32"/>
      <c r="EZ12" s="32"/>
      <c r="FA12" s="32"/>
      <c r="FB12" s="32"/>
      <c r="FC12" s="32"/>
      <c r="FD12" s="32"/>
      <c r="FE12" s="32"/>
      <c r="FF12" s="32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2"/>
      <c r="GE12" s="32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2"/>
      <c r="GQ12" s="32"/>
      <c r="GR12" s="32"/>
      <c r="GS12" s="32"/>
      <c r="GT12" s="32"/>
      <c r="GU12" s="32"/>
      <c r="GV12" s="32"/>
      <c r="GW12" s="32"/>
      <c r="GX12" s="32"/>
      <c r="GY12" s="32"/>
      <c r="GZ12" s="32"/>
      <c r="HA12" s="32"/>
      <c r="HB12" s="32"/>
      <c r="HC12" s="32"/>
      <c r="HD12" s="32"/>
      <c r="HE12" s="32"/>
      <c r="HF12" s="32"/>
      <c r="HG12" s="32"/>
      <c r="HH12" s="32"/>
      <c r="HI12" s="32"/>
      <c r="HJ12" s="32"/>
      <c r="HK12" s="32"/>
      <c r="HL12" s="32"/>
      <c r="HM12" s="32"/>
      <c r="HN12" s="32"/>
      <c r="HO12" s="32"/>
      <c r="HP12" s="32"/>
      <c r="HQ12" s="32"/>
      <c r="HR12" s="32"/>
      <c r="HS12" s="32"/>
      <c r="HT12" s="32"/>
      <c r="HU12" s="32"/>
      <c r="HV12" s="32"/>
      <c r="HW12" s="32"/>
      <c r="HX12" s="32"/>
      <c r="HY12" s="32"/>
      <c r="HZ12" s="32"/>
      <c r="IA12" s="32"/>
      <c r="IB12" s="32"/>
      <c r="IC12" s="32"/>
      <c r="ID12" s="32"/>
      <c r="IE12" s="32"/>
      <c r="IF12" s="32"/>
      <c r="IG12" s="32"/>
      <c r="IH12" s="32"/>
      <c r="II12" s="32"/>
      <c r="IJ12" s="32"/>
      <c r="IK12" s="32"/>
      <c r="IL12" s="32"/>
      <c r="IM12" s="32"/>
      <c r="IN12" s="32"/>
      <c r="IO12" s="32"/>
      <c r="IP12" s="32"/>
      <c r="IQ12" s="32"/>
      <c r="IR12" s="32"/>
      <c r="IS12" s="32"/>
      <c r="IT12" s="32"/>
      <c r="IU12" s="32"/>
      <c r="IV12" s="32"/>
      <c r="IW12" s="32"/>
      <c r="IX12" s="32"/>
      <c r="IY12" s="32"/>
      <c r="IZ12" s="32"/>
      <c r="JA12" s="32"/>
      <c r="JB12" s="32"/>
      <c r="JC12" s="32"/>
      <c r="JD12" s="32"/>
      <c r="JE12" s="32"/>
      <c r="JF12" s="32"/>
      <c r="JG12" s="32"/>
      <c r="JH12" s="32"/>
      <c r="JI12" s="32"/>
      <c r="JJ12" s="32"/>
      <c r="JK12" s="32"/>
      <c r="JL12" s="32"/>
      <c r="JM12" s="32"/>
      <c r="JN12" s="32"/>
      <c r="JO12" s="32"/>
      <c r="JP12" s="32"/>
      <c r="JQ12" s="32"/>
      <c r="JR12" s="32"/>
      <c r="JS12" s="32"/>
      <c r="JT12" s="32"/>
      <c r="JU12" s="32"/>
      <c r="JV12" s="32"/>
      <c r="JW12" s="32"/>
      <c r="JX12" s="32"/>
      <c r="JY12" s="32"/>
      <c r="JZ12" s="32"/>
      <c r="KA12" s="32"/>
      <c r="KB12" s="32"/>
      <c r="KC12" s="32"/>
      <c r="KD12" s="32"/>
      <c r="KE12" s="32"/>
      <c r="KF12" s="32"/>
      <c r="KG12" s="32"/>
      <c r="KH12" s="32"/>
      <c r="KI12" s="32"/>
      <c r="KJ12" s="32"/>
      <c r="KK12" s="32"/>
      <c r="KL12" s="32"/>
      <c r="KM12" s="32"/>
      <c r="KN12" s="32"/>
      <c r="KO12" s="32"/>
      <c r="KP12" s="32"/>
      <c r="KQ12" s="32"/>
      <c r="KR12" s="32"/>
      <c r="KS12" s="32"/>
      <c r="KT12" s="32"/>
      <c r="KU12" s="32"/>
      <c r="KV12" s="32"/>
      <c r="KW12" s="32"/>
      <c r="KX12" s="32"/>
      <c r="KY12" s="32"/>
      <c r="KZ12" s="32"/>
      <c r="LA12" s="32"/>
      <c r="LB12" s="32"/>
      <c r="LC12" s="32"/>
      <c r="LD12" s="32"/>
      <c r="LE12" s="32"/>
      <c r="LF12" s="32"/>
      <c r="LG12" s="32"/>
      <c r="LH12" s="32"/>
      <c r="LI12" s="32"/>
      <c r="LJ12" s="32"/>
      <c r="LK12" s="32"/>
      <c r="LL12" s="32"/>
      <c r="LM12" s="32"/>
      <c r="LN12" s="32"/>
      <c r="LO12" s="32"/>
      <c r="LP12" s="32"/>
      <c r="LQ12" s="32"/>
      <c r="LR12" s="32"/>
      <c r="LS12" s="32"/>
      <c r="LT12" s="32"/>
      <c r="LU12" s="32"/>
      <c r="LV12" s="32"/>
      <c r="LW12" s="32"/>
      <c r="LX12" s="32"/>
      <c r="LY12" s="32"/>
      <c r="LZ12" s="32"/>
      <c r="MA12" s="32"/>
      <c r="MB12" s="32"/>
      <c r="MC12" s="32"/>
      <c r="MD12" s="32"/>
      <c r="ME12" s="32"/>
      <c r="MF12" s="32"/>
      <c r="MG12" s="32"/>
      <c r="MH12" s="32"/>
      <c r="MI12" s="32"/>
      <c r="MJ12" s="32"/>
      <c r="MK12" s="32"/>
      <c r="ML12" s="32"/>
      <c r="MM12" s="32"/>
      <c r="MN12" s="32"/>
      <c r="MO12" s="32"/>
      <c r="MP12" s="32"/>
      <c r="MQ12" s="32"/>
      <c r="MR12" s="32"/>
      <c r="MS12" s="32"/>
      <c r="MT12" s="32"/>
      <c r="MU12" s="32"/>
      <c r="MV12" s="32"/>
      <c r="MW12" s="32"/>
      <c r="MX12" s="32"/>
      <c r="MY12" s="32"/>
      <c r="MZ12" s="32"/>
      <c r="NA12" s="32"/>
      <c r="NB12" s="32"/>
      <c r="NC12" s="32"/>
      <c r="ND12" s="32"/>
      <c r="NE12" s="32"/>
      <c r="NF12" s="32"/>
      <c r="NG12" s="32"/>
      <c r="NH12" s="32"/>
      <c r="NI12" s="32"/>
      <c r="NJ12" s="32"/>
      <c r="NK12" s="32"/>
      <c r="NL12" s="32"/>
      <c r="NM12" s="32"/>
      <c r="NN12" s="32"/>
      <c r="NO12" s="32"/>
      <c r="NP12" s="32"/>
      <c r="NQ12" s="32"/>
      <c r="NR12" s="32"/>
      <c r="NS12" s="32"/>
      <c r="NT12" s="32"/>
      <c r="NU12" s="32"/>
      <c r="NV12" s="32"/>
      <c r="NW12" s="32"/>
      <c r="NX12" s="32"/>
      <c r="NY12" s="32"/>
      <c r="NZ12" s="32"/>
      <c r="OA12" s="32"/>
      <c r="OB12" s="32"/>
      <c r="OC12" s="32"/>
      <c r="OD12" s="32"/>
      <c r="OE12" s="32"/>
      <c r="OF12" s="32"/>
      <c r="OG12" s="32"/>
      <c r="OH12" s="32"/>
      <c r="OI12" s="32"/>
      <c r="OJ12" s="32"/>
      <c r="OK12" s="32"/>
      <c r="OL12" s="32"/>
      <c r="OM12" s="32"/>
      <c r="ON12" s="32"/>
      <c r="OO12" s="32"/>
      <c r="OP12" s="32"/>
      <c r="OQ12" s="32"/>
      <c r="OR12" s="32"/>
      <c r="OS12" s="32"/>
      <c r="OT12" s="32"/>
      <c r="OU12" s="32"/>
      <c r="OV12" s="32"/>
      <c r="OW12" s="32"/>
      <c r="OX12" s="32"/>
      <c r="OY12" s="32"/>
      <c r="OZ12" s="32"/>
      <c r="PA12" s="32"/>
      <c r="PB12" s="32"/>
      <c r="PC12" s="32"/>
      <c r="PD12" s="32"/>
      <c r="PE12" s="32"/>
      <c r="PF12" s="32"/>
      <c r="PG12" s="32"/>
      <c r="PH12" s="32"/>
      <c r="PI12" s="32"/>
      <c r="PJ12" s="32"/>
      <c r="PK12" s="32"/>
      <c r="PL12" s="32"/>
      <c r="PM12" s="32"/>
      <c r="PN12" s="32"/>
      <c r="PO12" s="32"/>
      <c r="PP12" s="32"/>
      <c r="PQ12" s="32"/>
      <c r="PR12" s="32"/>
      <c r="PS12" s="32"/>
      <c r="PT12" s="32"/>
      <c r="PU12" s="32"/>
      <c r="PV12" s="32"/>
      <c r="PW12" s="32"/>
      <c r="PX12" s="32"/>
      <c r="PY12" s="32"/>
      <c r="PZ12" s="32"/>
      <c r="QA12" s="32"/>
      <c r="QB12" s="32"/>
      <c r="QC12" s="32"/>
      <c r="QD12" s="32"/>
      <c r="QE12" s="32"/>
      <c r="QF12" s="32"/>
      <c r="QG12" s="32"/>
      <c r="QH12" s="32"/>
      <c r="QI12" s="32"/>
      <c r="QJ12" s="32"/>
      <c r="QK12" s="32"/>
      <c r="QL12" s="32"/>
      <c r="QM12" s="32"/>
      <c r="QN12" s="32"/>
      <c r="QO12" s="32"/>
      <c r="QP12" s="32"/>
      <c r="QQ12" s="32"/>
      <c r="QR12" s="32"/>
      <c r="QS12" s="32"/>
      <c r="QT12" s="32"/>
      <c r="QU12" s="32"/>
      <c r="QV12" s="32"/>
      <c r="QW12" s="32"/>
      <c r="QX12" s="32"/>
      <c r="QY12" s="32"/>
      <c r="QZ12" s="32"/>
      <c r="RA12" s="32"/>
      <c r="RB12" s="32"/>
      <c r="RC12" s="32"/>
      <c r="RD12" s="32"/>
      <c r="RE12" s="32"/>
      <c r="RF12" s="32"/>
      <c r="RG12" s="32"/>
      <c r="RH12" s="32"/>
      <c r="RI12" s="32"/>
      <c r="RJ12" s="32"/>
      <c r="RK12" s="32"/>
      <c r="RL12" s="32"/>
      <c r="RM12" s="32"/>
      <c r="RN12" s="32"/>
      <c r="RO12" s="32"/>
      <c r="RP12" s="32"/>
      <c r="RQ12" s="32"/>
      <c r="RR12" s="32"/>
      <c r="RS12" s="32"/>
      <c r="RT12" s="32"/>
      <c r="RU12" s="32"/>
      <c r="RV12" s="32"/>
    </row>
    <row r="13" spans="1:490" x14ac:dyDescent="0.25">
      <c r="A13" s="36" t="str">
        <f>'Параметры ноты'!A21</f>
        <v>ZM UW Equity</v>
      </c>
      <c r="C13" s="32">
        <f>C5/C5</f>
        <v>1</v>
      </c>
      <c r="D13" s="32">
        <f t="shared" ref="D13:AD13" si="1">D5/$C$5</f>
        <v>0.20056848463314975</v>
      </c>
      <c r="E13" s="32">
        <f t="shared" ca="1" si="1"/>
        <v>0.15706440542588862</v>
      </c>
      <c r="F13" s="32">
        <f t="shared" ca="1" si="1"/>
        <v>0.14004237105855255</v>
      </c>
      <c r="G13" s="32">
        <f t="shared" ca="1" si="1"/>
        <v>0.13797820996495161</v>
      </c>
      <c r="H13" s="32">
        <f t="shared" ca="1" si="1"/>
        <v>0.11669912181314765</v>
      </c>
      <c r="I13" s="32">
        <f t="shared" ca="1" si="1"/>
        <v>0.12552825446149246</v>
      </c>
      <c r="J13" s="32">
        <f t="shared" ca="1" si="1"/>
        <v>0.12910381008077865</v>
      </c>
      <c r="K13" s="32">
        <f t="shared" ca="1" si="1"/>
        <v>0.13861093999792201</v>
      </c>
      <c r="L13" s="32">
        <f t="shared" ca="1" si="1"/>
        <v>0.18394057442793804</v>
      </c>
      <c r="M13" s="32">
        <f t="shared" ca="1" si="1"/>
        <v>0.191962580130393</v>
      </c>
      <c r="N13" s="32">
        <f t="shared" ca="1" si="1"/>
        <v>0.19521513602580276</v>
      </c>
      <c r="O13" s="32">
        <f t="shared" ca="1" si="1"/>
        <v>0.17875391738888349</v>
      </c>
      <c r="P13" s="32">
        <f t="shared" ca="1" si="1"/>
        <v>0.16471939929631696</v>
      </c>
      <c r="Q13" s="32">
        <f t="shared" ca="1" si="1"/>
        <v>0.11988619622096273</v>
      </c>
      <c r="R13" s="32">
        <f t="shared" ca="1" si="1"/>
        <v>0.11558530267467869</v>
      </c>
      <c r="S13" s="32">
        <f t="shared" ca="1" si="1"/>
        <v>0.11654933259492713</v>
      </c>
      <c r="T13" s="32">
        <f t="shared" ca="1" si="1"/>
        <v>8.2124626089231476E-2</v>
      </c>
      <c r="U13" s="32">
        <f t="shared" ca="1" si="1"/>
        <v>5.8362577916745484E-2</v>
      </c>
      <c r="V13" s="32">
        <f t="shared" ca="1" si="1"/>
        <v>6.0907843048034045E-2</v>
      </c>
      <c r="W13" s="32">
        <f t="shared" ca="1" si="1"/>
        <v>6.3384426120808801E-2</v>
      </c>
      <c r="X13" s="32">
        <f t="shared" ca="1" si="1"/>
        <v>6.0980401829975106E-2</v>
      </c>
      <c r="Y13" s="32">
        <f t="shared" ca="1" si="1"/>
        <v>5.6562964823795317E-2</v>
      </c>
      <c r="Z13" s="32">
        <f t="shared" ca="1" si="1"/>
        <v>4.7647302199257002E-2</v>
      </c>
      <c r="AA13" s="32">
        <f t="shared" ca="1" si="1"/>
        <v>3.7021174608490283E-2</v>
      </c>
      <c r="AB13" s="32">
        <f t="shared" ca="1" si="1"/>
        <v>4.0559871738579979E-2</v>
      </c>
      <c r="AC13" s="32">
        <f t="shared" ca="1" si="1"/>
        <v>3.1813250663218412E-2</v>
      </c>
      <c r="AD13" s="32">
        <f t="shared" ca="1" si="1"/>
        <v>2.8916966517276807E-2</v>
      </c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  <c r="GK13" s="32"/>
      <c r="GL13" s="32"/>
      <c r="GM13" s="32"/>
      <c r="GN13" s="32"/>
      <c r="GO13" s="32"/>
      <c r="GP13" s="32"/>
      <c r="GQ13" s="32"/>
      <c r="GR13" s="32"/>
      <c r="GS13" s="32"/>
      <c r="GT13" s="32"/>
      <c r="GU13" s="32"/>
      <c r="GV13" s="32"/>
      <c r="GW13" s="32"/>
      <c r="GX13" s="32"/>
      <c r="GY13" s="32"/>
      <c r="GZ13" s="32"/>
      <c r="HA13" s="32"/>
      <c r="HB13" s="32"/>
      <c r="HC13" s="32"/>
      <c r="HD13" s="32"/>
      <c r="HE13" s="32"/>
      <c r="HF13" s="32"/>
      <c r="HG13" s="32"/>
      <c r="HH13" s="32"/>
      <c r="HI13" s="32"/>
      <c r="HJ13" s="32"/>
      <c r="HK13" s="32"/>
      <c r="HL13" s="32"/>
      <c r="HM13" s="32"/>
      <c r="HN13" s="32"/>
      <c r="HO13" s="32"/>
      <c r="HP13" s="32"/>
      <c r="HQ13" s="32"/>
      <c r="HR13" s="32"/>
      <c r="HS13" s="32"/>
      <c r="HT13" s="32"/>
      <c r="HU13" s="32"/>
      <c r="HV13" s="32"/>
      <c r="HW13" s="32"/>
      <c r="HX13" s="32"/>
      <c r="HY13" s="32"/>
      <c r="HZ13" s="32"/>
      <c r="IA13" s="32"/>
      <c r="IB13" s="32"/>
      <c r="IC13" s="32"/>
      <c r="ID13" s="32"/>
      <c r="IE13" s="32"/>
      <c r="IF13" s="32"/>
      <c r="IG13" s="32"/>
      <c r="IH13" s="32"/>
      <c r="II13" s="32"/>
      <c r="IJ13" s="32"/>
      <c r="IK13" s="32"/>
      <c r="IL13" s="32"/>
      <c r="IM13" s="32"/>
      <c r="IN13" s="32"/>
      <c r="IO13" s="32"/>
      <c r="IP13" s="32"/>
      <c r="IQ13" s="32"/>
      <c r="IR13" s="32"/>
      <c r="IS13" s="32"/>
      <c r="IT13" s="32"/>
      <c r="IU13" s="32"/>
      <c r="IV13" s="32"/>
      <c r="IW13" s="32"/>
      <c r="IX13" s="32"/>
      <c r="IY13" s="32"/>
      <c r="IZ13" s="32"/>
      <c r="JA13" s="32"/>
      <c r="JB13" s="32"/>
      <c r="JC13" s="32"/>
      <c r="JD13" s="32"/>
      <c r="JE13" s="32"/>
      <c r="JF13" s="32"/>
      <c r="JG13" s="32"/>
      <c r="JH13" s="32"/>
      <c r="JI13" s="32"/>
      <c r="JJ13" s="32"/>
      <c r="JK13" s="32"/>
      <c r="JL13" s="32"/>
      <c r="JM13" s="32"/>
      <c r="JN13" s="32"/>
      <c r="JO13" s="32"/>
      <c r="JP13" s="32"/>
      <c r="JQ13" s="32"/>
      <c r="JR13" s="32"/>
      <c r="JS13" s="32"/>
      <c r="JT13" s="32"/>
      <c r="JU13" s="32"/>
      <c r="JV13" s="32"/>
      <c r="JW13" s="32"/>
      <c r="JX13" s="32"/>
      <c r="JY13" s="32"/>
      <c r="JZ13" s="32"/>
      <c r="KA13" s="32"/>
      <c r="KB13" s="32"/>
      <c r="KC13" s="32"/>
      <c r="KD13" s="32"/>
      <c r="KE13" s="32"/>
      <c r="KF13" s="32"/>
      <c r="KG13" s="32"/>
      <c r="KH13" s="32"/>
      <c r="KI13" s="32"/>
      <c r="KJ13" s="32"/>
      <c r="KK13" s="32"/>
      <c r="KL13" s="32"/>
      <c r="KM13" s="32"/>
      <c r="KN13" s="32"/>
      <c r="KO13" s="32"/>
      <c r="KP13" s="32"/>
      <c r="KQ13" s="32"/>
      <c r="KR13" s="32"/>
      <c r="KS13" s="32"/>
      <c r="KT13" s="32"/>
      <c r="KU13" s="32"/>
      <c r="KV13" s="32"/>
      <c r="KW13" s="32"/>
      <c r="KX13" s="32"/>
      <c r="KY13" s="32"/>
      <c r="KZ13" s="32"/>
      <c r="LA13" s="32"/>
      <c r="LB13" s="32"/>
      <c r="LC13" s="32"/>
      <c r="LD13" s="32"/>
      <c r="LE13" s="32"/>
      <c r="LF13" s="32"/>
      <c r="LG13" s="32"/>
      <c r="LH13" s="32"/>
      <c r="LI13" s="32"/>
      <c r="LJ13" s="32"/>
      <c r="LK13" s="32"/>
      <c r="LL13" s="32"/>
      <c r="LM13" s="32"/>
      <c r="LN13" s="32"/>
      <c r="LO13" s="32"/>
      <c r="LP13" s="32"/>
      <c r="LQ13" s="32"/>
      <c r="LR13" s="32"/>
      <c r="LS13" s="32"/>
      <c r="LT13" s="32"/>
      <c r="LU13" s="32"/>
      <c r="LV13" s="32"/>
      <c r="LW13" s="32"/>
      <c r="LX13" s="32"/>
      <c r="LY13" s="32"/>
      <c r="LZ13" s="32"/>
      <c r="MA13" s="32"/>
      <c r="MB13" s="32"/>
      <c r="MC13" s="32"/>
      <c r="MD13" s="32"/>
      <c r="ME13" s="32"/>
      <c r="MF13" s="32"/>
      <c r="MG13" s="32"/>
      <c r="MH13" s="32"/>
      <c r="MI13" s="32"/>
      <c r="MJ13" s="32"/>
      <c r="MK13" s="32"/>
      <c r="ML13" s="32"/>
      <c r="MM13" s="32"/>
      <c r="MN13" s="32"/>
      <c r="MO13" s="32"/>
      <c r="MP13" s="32"/>
      <c r="MQ13" s="32"/>
      <c r="MR13" s="32"/>
      <c r="MS13" s="32"/>
      <c r="MT13" s="32"/>
      <c r="MU13" s="32"/>
      <c r="MV13" s="32"/>
      <c r="MW13" s="32"/>
      <c r="MX13" s="32"/>
      <c r="MY13" s="32"/>
      <c r="MZ13" s="32"/>
      <c r="NA13" s="32"/>
      <c r="NB13" s="32"/>
      <c r="NC13" s="32"/>
      <c r="ND13" s="32"/>
      <c r="NE13" s="32"/>
      <c r="NF13" s="32"/>
      <c r="NG13" s="32"/>
      <c r="NH13" s="32"/>
      <c r="NI13" s="32"/>
      <c r="NJ13" s="32"/>
      <c r="NK13" s="32"/>
      <c r="NL13" s="32"/>
      <c r="NM13" s="32"/>
      <c r="NN13" s="32"/>
      <c r="NO13" s="32"/>
      <c r="NP13" s="32"/>
      <c r="NQ13" s="32"/>
      <c r="NR13" s="32"/>
      <c r="NS13" s="32"/>
      <c r="NT13" s="32"/>
      <c r="NU13" s="32"/>
      <c r="NV13" s="32"/>
      <c r="NW13" s="32"/>
      <c r="NX13" s="32"/>
      <c r="NY13" s="32"/>
      <c r="NZ13" s="32"/>
      <c r="OA13" s="32"/>
      <c r="OB13" s="32"/>
      <c r="OC13" s="32"/>
      <c r="OD13" s="32"/>
      <c r="OE13" s="32"/>
      <c r="OF13" s="32"/>
      <c r="OG13" s="32"/>
      <c r="OH13" s="32"/>
      <c r="OI13" s="32"/>
      <c r="OJ13" s="32"/>
      <c r="OK13" s="32"/>
      <c r="OL13" s="32"/>
      <c r="OM13" s="32"/>
      <c r="ON13" s="32"/>
      <c r="OO13" s="32"/>
      <c r="OP13" s="32"/>
      <c r="OQ13" s="32"/>
      <c r="OR13" s="32"/>
      <c r="OS13" s="32"/>
      <c r="OT13" s="32"/>
      <c r="OU13" s="32"/>
      <c r="OV13" s="32"/>
      <c r="OW13" s="32"/>
      <c r="OX13" s="32"/>
      <c r="OY13" s="32"/>
      <c r="OZ13" s="32"/>
      <c r="PA13" s="32"/>
      <c r="PB13" s="32"/>
      <c r="PC13" s="32"/>
      <c r="PD13" s="32"/>
      <c r="PE13" s="32"/>
      <c r="PF13" s="32"/>
      <c r="PG13" s="32"/>
      <c r="PH13" s="32"/>
      <c r="PI13" s="32"/>
      <c r="PJ13" s="32"/>
      <c r="PK13" s="32"/>
      <c r="PL13" s="32"/>
      <c r="PM13" s="32"/>
      <c r="PN13" s="32"/>
      <c r="PO13" s="32"/>
      <c r="PP13" s="32"/>
      <c r="PQ13" s="32"/>
      <c r="PR13" s="32"/>
      <c r="PS13" s="32"/>
      <c r="PT13" s="32"/>
      <c r="PU13" s="32"/>
      <c r="PV13" s="32"/>
      <c r="PW13" s="32"/>
      <c r="PX13" s="32"/>
      <c r="PY13" s="32"/>
      <c r="PZ13" s="32"/>
      <c r="QA13" s="32"/>
      <c r="QB13" s="32"/>
      <c r="QC13" s="32"/>
      <c r="QD13" s="32"/>
      <c r="QE13" s="32"/>
      <c r="QF13" s="32"/>
      <c r="QG13" s="32"/>
      <c r="QH13" s="32"/>
      <c r="QI13" s="32"/>
      <c r="QJ13" s="32"/>
      <c r="QK13" s="32"/>
      <c r="QL13" s="32"/>
      <c r="QM13" s="32"/>
      <c r="QN13" s="32"/>
      <c r="QO13" s="32"/>
      <c r="QP13" s="32"/>
      <c r="QQ13" s="32"/>
      <c r="QR13" s="32"/>
      <c r="QS13" s="32"/>
      <c r="QT13" s="32"/>
      <c r="QU13" s="32"/>
      <c r="QV13" s="32"/>
      <c r="QW13" s="32"/>
      <c r="QX13" s="32"/>
      <c r="QY13" s="32"/>
      <c r="QZ13" s="32"/>
      <c r="RA13" s="32"/>
      <c r="RB13" s="32"/>
      <c r="RC13" s="32"/>
      <c r="RD13" s="32"/>
      <c r="RE13" s="32"/>
      <c r="RF13" s="32"/>
      <c r="RG13" s="32"/>
      <c r="RH13" s="32"/>
      <c r="RI13" s="32"/>
      <c r="RJ13" s="32"/>
      <c r="RK13" s="32"/>
      <c r="RL13" s="32"/>
      <c r="RM13" s="32"/>
      <c r="RN13" s="32"/>
      <c r="RO13" s="32"/>
      <c r="RP13" s="32"/>
      <c r="RQ13" s="32"/>
      <c r="RR13" s="32"/>
      <c r="RS13" s="32"/>
      <c r="RT13" s="32"/>
      <c r="RU13" s="32"/>
      <c r="RV13" s="32"/>
    </row>
    <row r="14" spans="1:490" x14ac:dyDescent="0.25">
      <c r="A14" s="36" t="str">
        <f>'Параметры ноты'!A22</f>
        <v>AMD UW Equity</v>
      </c>
      <c r="C14" s="32">
        <f>C6/C6</f>
        <v>1</v>
      </c>
      <c r="D14" s="32">
        <f t="shared" ref="D14:AD14" si="2">D6/$C$6</f>
        <v>0.59806094182825487</v>
      </c>
      <c r="E14" s="32">
        <f t="shared" ca="1" si="2"/>
        <v>0.73275730161429076</v>
      </c>
      <c r="F14" s="32">
        <f t="shared" ca="1" si="2"/>
        <v>0.80954330067048341</v>
      </c>
      <c r="G14" s="32">
        <f t="shared" ca="1" si="2"/>
        <v>0.91014589298600479</v>
      </c>
      <c r="H14" s="32">
        <f t="shared" ca="1" si="2"/>
        <v>1.0582102677386682</v>
      </c>
      <c r="I14" s="32">
        <f t="shared" ca="1" si="2"/>
        <v>1.0500087235405955</v>
      </c>
      <c r="J14" s="32">
        <f t="shared" ca="1" si="2"/>
        <v>1.075057005512517</v>
      </c>
      <c r="K14" s="32">
        <f t="shared" ca="1" si="2"/>
        <v>1.2326491943841413</v>
      </c>
      <c r="L14" s="32">
        <f t="shared" ca="1" si="2"/>
        <v>1.4009830337240077</v>
      </c>
      <c r="M14" s="32">
        <f t="shared" ca="1" si="2"/>
        <v>1.4371820938259179</v>
      </c>
      <c r="N14" s="32">
        <f t="shared" ca="1" si="2"/>
        <v>1.3546846959387295</v>
      </c>
      <c r="O14" s="32">
        <f t="shared" ca="1" si="2"/>
        <v>1.4817690633610412</v>
      </c>
      <c r="P14" s="32">
        <f t="shared" ca="1" si="2"/>
        <v>1.7028300211120837</v>
      </c>
      <c r="Q14" s="32">
        <f t="shared" ca="1" si="2"/>
        <v>1.7254233574826798</v>
      </c>
      <c r="R14" s="32">
        <f t="shared" ca="1" si="2"/>
        <v>1.7777887333651015</v>
      </c>
      <c r="S14" s="32">
        <f t="shared" ca="1" si="2"/>
        <v>1.5915218406126488</v>
      </c>
      <c r="T14" s="32">
        <f t="shared" ca="1" si="2"/>
        <v>1.7099935124728463</v>
      </c>
      <c r="U14" s="32">
        <f t="shared" ca="1" si="2"/>
        <v>1.3584609430872416</v>
      </c>
      <c r="V14" s="32">
        <f t="shared" ca="1" si="2"/>
        <v>1.337485125819958</v>
      </c>
      <c r="W14" s="32">
        <f t="shared" ca="1" si="2"/>
        <v>1.4778918063740594</v>
      </c>
      <c r="X14" s="32">
        <f t="shared" ca="1" si="2"/>
        <v>1.6075233391087427</v>
      </c>
      <c r="Y14" s="32">
        <f t="shared" ca="1" si="2"/>
        <v>1.6485540732457948</v>
      </c>
      <c r="Z14" s="32">
        <f t="shared" ca="1" si="2"/>
        <v>1.6097552977663503</v>
      </c>
      <c r="AA14" s="32">
        <f t="shared" ca="1" si="2"/>
        <v>1.2670795067751053</v>
      </c>
      <c r="AB14" s="32">
        <f t="shared" ca="1" si="2"/>
        <v>1.0170212584824463</v>
      </c>
      <c r="AC14" s="32">
        <f t="shared" ca="1" si="2"/>
        <v>0.97011699927432216</v>
      </c>
      <c r="AD14" s="32">
        <f t="shared" ca="1" si="2"/>
        <v>0.89524071108073733</v>
      </c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2"/>
      <c r="EI14" s="32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2"/>
      <c r="EU14" s="32"/>
      <c r="EV14" s="32"/>
      <c r="EW14" s="32"/>
      <c r="EX14" s="32"/>
      <c r="EY14" s="32"/>
      <c r="EZ14" s="32"/>
      <c r="FA14" s="32"/>
      <c r="FB14" s="32"/>
      <c r="FC14" s="32"/>
      <c r="FD14" s="32"/>
      <c r="FE14" s="32"/>
      <c r="FF14" s="32"/>
      <c r="FG14" s="32"/>
      <c r="FH14" s="32"/>
      <c r="FI14" s="32"/>
      <c r="FJ14" s="32"/>
      <c r="FK14" s="32"/>
      <c r="FL14" s="32"/>
      <c r="FM14" s="32"/>
      <c r="FN14" s="32"/>
      <c r="FO14" s="32"/>
      <c r="FP14" s="32"/>
      <c r="FQ14" s="32"/>
      <c r="FR14" s="32"/>
      <c r="FS14" s="32"/>
      <c r="FT14" s="32"/>
      <c r="FU14" s="32"/>
      <c r="FV14" s="32"/>
      <c r="FW14" s="32"/>
      <c r="FX14" s="32"/>
      <c r="FY14" s="32"/>
      <c r="FZ14" s="32"/>
      <c r="GA14" s="32"/>
      <c r="GB14" s="32"/>
      <c r="GC14" s="32"/>
      <c r="GD14" s="32"/>
      <c r="GE14" s="32"/>
      <c r="GF14" s="32"/>
      <c r="GG14" s="32"/>
      <c r="GH14" s="32"/>
      <c r="GI14" s="32"/>
      <c r="GJ14" s="32"/>
      <c r="GK14" s="32"/>
      <c r="GL14" s="32"/>
      <c r="GM14" s="32"/>
      <c r="GN14" s="32"/>
      <c r="GO14" s="32"/>
      <c r="GP14" s="32"/>
      <c r="GQ14" s="32"/>
      <c r="GR14" s="32"/>
      <c r="GS14" s="32"/>
      <c r="GT14" s="32"/>
      <c r="GU14" s="32"/>
      <c r="GV14" s="32"/>
      <c r="GW14" s="32"/>
      <c r="GX14" s="32"/>
      <c r="GY14" s="32"/>
      <c r="GZ14" s="32"/>
      <c r="HA14" s="32"/>
      <c r="HB14" s="32"/>
      <c r="HC14" s="32"/>
      <c r="HD14" s="32"/>
      <c r="HE14" s="32"/>
      <c r="HF14" s="32"/>
      <c r="HG14" s="32"/>
      <c r="HH14" s="32"/>
      <c r="HI14" s="32"/>
      <c r="HJ14" s="32"/>
      <c r="HK14" s="32"/>
      <c r="HL14" s="32"/>
      <c r="HM14" s="32"/>
      <c r="HN14" s="32"/>
      <c r="HO14" s="32"/>
      <c r="HP14" s="32"/>
      <c r="HQ14" s="32"/>
      <c r="HR14" s="32"/>
      <c r="HS14" s="32"/>
      <c r="HT14" s="32"/>
      <c r="HU14" s="32"/>
      <c r="HV14" s="32"/>
      <c r="HW14" s="32"/>
      <c r="HX14" s="32"/>
      <c r="HY14" s="32"/>
      <c r="HZ14" s="32"/>
      <c r="IA14" s="32"/>
      <c r="IB14" s="32"/>
      <c r="IC14" s="32"/>
      <c r="ID14" s="32"/>
      <c r="IE14" s="32"/>
      <c r="IF14" s="32"/>
      <c r="IG14" s="32"/>
      <c r="IH14" s="32"/>
      <c r="II14" s="32"/>
      <c r="IJ14" s="32"/>
      <c r="IK14" s="32"/>
      <c r="IL14" s="32"/>
      <c r="IM14" s="32"/>
      <c r="IN14" s="32"/>
      <c r="IO14" s="32"/>
      <c r="IP14" s="32"/>
      <c r="IQ14" s="32"/>
      <c r="IR14" s="32"/>
      <c r="IS14" s="32"/>
      <c r="IT14" s="32"/>
      <c r="IU14" s="32"/>
      <c r="IV14" s="32"/>
      <c r="IW14" s="32"/>
      <c r="IX14" s="32"/>
      <c r="IY14" s="32"/>
      <c r="IZ14" s="32"/>
      <c r="JA14" s="32"/>
      <c r="JB14" s="32"/>
      <c r="JC14" s="32"/>
      <c r="JD14" s="32"/>
      <c r="JE14" s="32"/>
      <c r="JF14" s="32"/>
      <c r="JG14" s="32"/>
      <c r="JH14" s="32"/>
      <c r="JI14" s="32"/>
      <c r="JJ14" s="32"/>
      <c r="JK14" s="32"/>
      <c r="JL14" s="32"/>
      <c r="JM14" s="32"/>
      <c r="JN14" s="32"/>
      <c r="JO14" s="32"/>
      <c r="JP14" s="32"/>
      <c r="JQ14" s="32"/>
      <c r="JR14" s="32"/>
      <c r="JS14" s="32"/>
      <c r="JT14" s="32"/>
      <c r="JU14" s="32"/>
      <c r="JV14" s="32"/>
      <c r="JW14" s="32"/>
      <c r="JX14" s="32"/>
      <c r="JY14" s="32"/>
      <c r="JZ14" s="32"/>
      <c r="KA14" s="32"/>
      <c r="KB14" s="32"/>
      <c r="KC14" s="32"/>
      <c r="KD14" s="32"/>
      <c r="KE14" s="32"/>
      <c r="KF14" s="32"/>
      <c r="KG14" s="32"/>
      <c r="KH14" s="32"/>
      <c r="KI14" s="32"/>
      <c r="KJ14" s="32"/>
      <c r="KK14" s="32"/>
      <c r="KL14" s="32"/>
      <c r="KM14" s="32"/>
      <c r="KN14" s="32"/>
      <c r="KO14" s="32"/>
      <c r="KP14" s="32"/>
      <c r="KQ14" s="32"/>
      <c r="KR14" s="32"/>
      <c r="KS14" s="32"/>
      <c r="KT14" s="32"/>
      <c r="KU14" s="32"/>
      <c r="KV14" s="32"/>
      <c r="KW14" s="32"/>
      <c r="KX14" s="32"/>
      <c r="KY14" s="32"/>
      <c r="KZ14" s="32"/>
      <c r="LA14" s="32"/>
      <c r="LB14" s="32"/>
      <c r="LC14" s="32"/>
      <c r="LD14" s="32"/>
      <c r="LE14" s="32"/>
      <c r="LF14" s="32"/>
      <c r="LG14" s="32"/>
      <c r="LH14" s="32"/>
      <c r="LI14" s="32"/>
      <c r="LJ14" s="32"/>
      <c r="LK14" s="32"/>
      <c r="LL14" s="32"/>
      <c r="LM14" s="32"/>
      <c r="LN14" s="32"/>
      <c r="LO14" s="32"/>
      <c r="LP14" s="32"/>
      <c r="LQ14" s="32"/>
      <c r="LR14" s="32"/>
      <c r="LS14" s="32"/>
      <c r="LT14" s="32"/>
      <c r="LU14" s="32"/>
      <c r="LV14" s="32"/>
      <c r="LW14" s="32"/>
      <c r="LX14" s="32"/>
      <c r="LY14" s="32"/>
      <c r="LZ14" s="32"/>
      <c r="MA14" s="32"/>
      <c r="MB14" s="32"/>
      <c r="MC14" s="32"/>
      <c r="MD14" s="32"/>
      <c r="ME14" s="32"/>
      <c r="MF14" s="32"/>
      <c r="MG14" s="32"/>
      <c r="MH14" s="32"/>
      <c r="MI14" s="32"/>
      <c r="MJ14" s="32"/>
      <c r="MK14" s="32"/>
      <c r="ML14" s="32"/>
      <c r="MM14" s="32"/>
      <c r="MN14" s="32"/>
      <c r="MO14" s="32"/>
      <c r="MP14" s="32"/>
      <c r="MQ14" s="32"/>
      <c r="MR14" s="32"/>
      <c r="MS14" s="32"/>
      <c r="MT14" s="32"/>
      <c r="MU14" s="32"/>
      <c r="MV14" s="32"/>
      <c r="MW14" s="32"/>
      <c r="MX14" s="32"/>
      <c r="MY14" s="32"/>
      <c r="MZ14" s="32"/>
      <c r="NA14" s="32"/>
      <c r="NB14" s="32"/>
      <c r="NC14" s="32"/>
      <c r="ND14" s="32"/>
      <c r="NE14" s="32"/>
      <c r="NF14" s="32"/>
      <c r="NG14" s="32"/>
      <c r="NH14" s="32"/>
      <c r="NI14" s="32"/>
      <c r="NJ14" s="32"/>
      <c r="NK14" s="32"/>
      <c r="NL14" s="32"/>
      <c r="NM14" s="32"/>
      <c r="NN14" s="32"/>
      <c r="NO14" s="32"/>
      <c r="NP14" s="32"/>
      <c r="NQ14" s="32"/>
      <c r="NR14" s="32"/>
      <c r="NS14" s="32"/>
      <c r="NT14" s="32"/>
      <c r="NU14" s="32"/>
      <c r="NV14" s="32"/>
      <c r="NW14" s="32"/>
      <c r="NX14" s="32"/>
      <c r="NY14" s="32"/>
      <c r="NZ14" s="32"/>
      <c r="OA14" s="32"/>
      <c r="OB14" s="32"/>
      <c r="OC14" s="32"/>
      <c r="OD14" s="32"/>
      <c r="OE14" s="32"/>
      <c r="OF14" s="32"/>
      <c r="OG14" s="32"/>
      <c r="OH14" s="32"/>
      <c r="OI14" s="32"/>
      <c r="OJ14" s="32"/>
      <c r="OK14" s="32"/>
      <c r="OL14" s="32"/>
      <c r="OM14" s="32"/>
      <c r="ON14" s="32"/>
      <c r="OO14" s="32"/>
      <c r="OP14" s="32"/>
      <c r="OQ14" s="32"/>
      <c r="OR14" s="32"/>
      <c r="OS14" s="32"/>
      <c r="OT14" s="32"/>
      <c r="OU14" s="32"/>
      <c r="OV14" s="32"/>
      <c r="OW14" s="32"/>
      <c r="OX14" s="32"/>
      <c r="OY14" s="32"/>
      <c r="OZ14" s="32"/>
      <c r="PA14" s="32"/>
      <c r="PB14" s="32"/>
      <c r="PC14" s="32"/>
      <c r="PD14" s="32"/>
      <c r="PE14" s="32"/>
      <c r="PF14" s="32"/>
      <c r="PG14" s="32"/>
      <c r="PH14" s="32"/>
      <c r="PI14" s="32"/>
      <c r="PJ14" s="32"/>
      <c r="PK14" s="32"/>
      <c r="PL14" s="32"/>
      <c r="PM14" s="32"/>
      <c r="PN14" s="32"/>
      <c r="PO14" s="32"/>
      <c r="PP14" s="32"/>
      <c r="PQ14" s="32"/>
      <c r="PR14" s="32"/>
      <c r="PS14" s="32"/>
      <c r="PT14" s="32"/>
      <c r="PU14" s="32"/>
      <c r="PV14" s="32"/>
      <c r="PW14" s="32"/>
      <c r="PX14" s="32"/>
      <c r="PY14" s="32"/>
      <c r="PZ14" s="32"/>
      <c r="QA14" s="32"/>
      <c r="QB14" s="32"/>
      <c r="QC14" s="32"/>
      <c r="QD14" s="32"/>
      <c r="QE14" s="32"/>
      <c r="QF14" s="32"/>
      <c r="QG14" s="32"/>
      <c r="QH14" s="32"/>
      <c r="QI14" s="32"/>
      <c r="QJ14" s="32"/>
      <c r="QK14" s="32"/>
      <c r="QL14" s="32"/>
      <c r="QM14" s="32"/>
      <c r="QN14" s="32"/>
      <c r="QO14" s="32"/>
      <c r="QP14" s="32"/>
      <c r="QQ14" s="32"/>
      <c r="QR14" s="32"/>
      <c r="QS14" s="32"/>
      <c r="QT14" s="32"/>
      <c r="QU14" s="32"/>
      <c r="QV14" s="32"/>
      <c r="QW14" s="32"/>
      <c r="QX14" s="32"/>
      <c r="QY14" s="32"/>
      <c r="QZ14" s="32"/>
      <c r="RA14" s="32"/>
      <c r="RB14" s="32"/>
      <c r="RC14" s="32"/>
      <c r="RD14" s="32"/>
      <c r="RE14" s="32"/>
      <c r="RF14" s="32"/>
      <c r="RG14" s="32"/>
      <c r="RH14" s="32"/>
      <c r="RI14" s="32"/>
      <c r="RJ14" s="32"/>
      <c r="RK14" s="32"/>
      <c r="RL14" s="32"/>
      <c r="RM14" s="32"/>
      <c r="RN14" s="32"/>
      <c r="RO14" s="32"/>
      <c r="RP14" s="32"/>
      <c r="RQ14" s="32"/>
      <c r="RR14" s="32"/>
      <c r="RS14" s="32"/>
      <c r="RT14" s="32"/>
      <c r="RU14" s="32"/>
      <c r="RV14" s="32"/>
    </row>
    <row r="15" spans="1:490" x14ac:dyDescent="0.25">
      <c r="A15" s="36" t="str">
        <f>'Параметры ноты'!A23</f>
        <v>NVDA UW Equity</v>
      </c>
      <c r="C15" s="32">
        <f>C7/C7</f>
        <v>1</v>
      </c>
      <c r="D15" s="32">
        <f>D7/$C$7</f>
        <v>0.65790302975734927</v>
      </c>
      <c r="E15" s="32">
        <f t="shared" ref="E15:AD15" ca="1" si="3">E7/$C$7</f>
        <v>0.7424289298798491</v>
      </c>
      <c r="F15" s="32">
        <f t="shared" ca="1" si="3"/>
        <v>0.8239778117112454</v>
      </c>
      <c r="G15" s="32">
        <f t="shared" ca="1" si="3"/>
        <v>0.93741448157881224</v>
      </c>
      <c r="H15" s="32">
        <f t="shared" ca="1" si="3"/>
        <v>0.9476039647227682</v>
      </c>
      <c r="I15" s="32">
        <f t="shared" ca="1" si="3"/>
        <v>1.0013079194776131</v>
      </c>
      <c r="J15" s="32">
        <f t="shared" ca="1" si="3"/>
        <v>1.1068097941393353</v>
      </c>
      <c r="K15" s="32">
        <f t="shared" ca="1" si="3"/>
        <v>1.3165663320174259</v>
      </c>
      <c r="L15" s="32">
        <f t="shared" ca="1" si="3"/>
        <v>1.5808227572806317</v>
      </c>
      <c r="M15" s="32">
        <f t="shared" ca="1" si="3"/>
        <v>1.7805004189681908</v>
      </c>
      <c r="N15" s="32">
        <f t="shared" ca="1" si="3"/>
        <v>1.7576043367928826</v>
      </c>
      <c r="O15" s="32">
        <f t="shared" ca="1" si="3"/>
        <v>1.7410841676633089</v>
      </c>
      <c r="P15" s="32">
        <f t="shared" ca="1" si="3"/>
        <v>1.8295155476399079</v>
      </c>
      <c r="Q15" s="32">
        <f t="shared" ca="1" si="3"/>
        <v>1.470451549653103</v>
      </c>
      <c r="R15" s="32">
        <f t="shared" ca="1" si="3"/>
        <v>1.375382510989192</v>
      </c>
      <c r="S15" s="32">
        <f t="shared" ca="1" si="3"/>
        <v>1.1624327526232034</v>
      </c>
      <c r="T15" s="32">
        <f t="shared" ca="1" si="3"/>
        <v>0.95412464067908587</v>
      </c>
      <c r="U15" s="32">
        <f t="shared" ca="1" si="3"/>
        <v>0.66761896774399443</v>
      </c>
      <c r="V15" s="32">
        <f t="shared" ca="1" si="3"/>
        <v>0.62956945119582552</v>
      </c>
      <c r="W15" s="32">
        <f t="shared" ca="1" si="3"/>
        <v>0.65394745363886841</v>
      </c>
      <c r="X15" s="32">
        <f t="shared" ca="1" si="3"/>
        <v>0.72401081725625038</v>
      </c>
      <c r="Y15" s="32">
        <f t="shared" ca="1" si="3"/>
        <v>0.6916515355521321</v>
      </c>
      <c r="Z15" s="32">
        <f t="shared" ca="1" si="3"/>
        <v>0.60696550974599539</v>
      </c>
      <c r="AA15" s="32">
        <f t="shared" ca="1" si="3"/>
        <v>0.46791201346730443</v>
      </c>
      <c r="AB15" s="32">
        <f t="shared" ca="1" si="3"/>
        <v>0.43816454675940097</v>
      </c>
      <c r="AC15" s="32">
        <f t="shared" ca="1" si="3"/>
        <v>0.44438463909981413</v>
      </c>
      <c r="AD15" s="32">
        <f t="shared" ca="1" si="3"/>
        <v>0.42300008674219142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32"/>
      <c r="DQ15" s="32"/>
      <c r="DR15" s="32"/>
      <c r="DS15" s="32"/>
      <c r="DT15" s="32"/>
      <c r="DU15" s="32"/>
      <c r="DV15" s="32"/>
      <c r="DW15" s="32"/>
      <c r="DX15" s="32"/>
      <c r="DY15" s="32"/>
      <c r="DZ15" s="32"/>
      <c r="EA15" s="32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  <c r="EX15" s="32"/>
      <c r="EY15" s="32"/>
      <c r="EZ15" s="32"/>
      <c r="FA15" s="32"/>
      <c r="FB15" s="32"/>
      <c r="FC15" s="32"/>
      <c r="FD15" s="32"/>
      <c r="FE15" s="32"/>
      <c r="FF15" s="32"/>
      <c r="FG15" s="32"/>
      <c r="FH15" s="32"/>
      <c r="FI15" s="32"/>
      <c r="FJ15" s="32"/>
      <c r="FK15" s="32"/>
      <c r="FL15" s="32"/>
      <c r="FM15" s="32"/>
      <c r="FN15" s="32"/>
      <c r="FO15" s="32"/>
      <c r="FP15" s="32"/>
      <c r="FQ15" s="32"/>
      <c r="FR15" s="32"/>
      <c r="FS15" s="32"/>
      <c r="FT15" s="32"/>
      <c r="FU15" s="32"/>
      <c r="FV15" s="32"/>
      <c r="FW15" s="32"/>
      <c r="FX15" s="32"/>
      <c r="FY15" s="32"/>
      <c r="FZ15" s="32"/>
      <c r="GA15" s="32"/>
      <c r="GB15" s="32"/>
      <c r="GC15" s="32"/>
      <c r="GD15" s="32"/>
      <c r="GE15" s="32"/>
      <c r="GF15" s="32"/>
      <c r="GG15" s="32"/>
      <c r="GH15" s="32"/>
      <c r="GI15" s="32"/>
      <c r="GJ15" s="32"/>
      <c r="GK15" s="32"/>
      <c r="GL15" s="32"/>
      <c r="GM15" s="32"/>
      <c r="GN15" s="32"/>
      <c r="GO15" s="32"/>
      <c r="GP15" s="32"/>
      <c r="GQ15" s="32"/>
      <c r="GR15" s="32"/>
      <c r="GS15" s="32"/>
      <c r="GT15" s="32"/>
      <c r="GU15" s="32"/>
      <c r="GV15" s="32"/>
      <c r="GW15" s="32"/>
      <c r="GX15" s="32"/>
      <c r="GY15" s="32"/>
      <c r="GZ15" s="32"/>
      <c r="HA15" s="32"/>
      <c r="HB15" s="32"/>
      <c r="HC15" s="32"/>
      <c r="HD15" s="32"/>
      <c r="HE15" s="32"/>
      <c r="HF15" s="32"/>
      <c r="HG15" s="32"/>
      <c r="HH15" s="32"/>
      <c r="HI15" s="32"/>
      <c r="HJ15" s="32"/>
      <c r="HK15" s="32"/>
      <c r="HL15" s="32"/>
      <c r="HM15" s="32"/>
      <c r="HN15" s="32"/>
      <c r="HO15" s="32"/>
      <c r="HP15" s="32"/>
      <c r="HQ15" s="32"/>
      <c r="HR15" s="32"/>
      <c r="HS15" s="32"/>
      <c r="HT15" s="32"/>
      <c r="HU15" s="32"/>
      <c r="HV15" s="32"/>
      <c r="HW15" s="32"/>
      <c r="HX15" s="32"/>
      <c r="HY15" s="32"/>
      <c r="HZ15" s="32"/>
      <c r="IA15" s="32"/>
      <c r="IB15" s="32"/>
      <c r="IC15" s="32"/>
      <c r="ID15" s="32"/>
      <c r="IE15" s="32"/>
      <c r="IF15" s="32"/>
      <c r="IG15" s="32"/>
      <c r="IH15" s="32"/>
      <c r="II15" s="32"/>
      <c r="IJ15" s="32"/>
      <c r="IK15" s="32"/>
      <c r="IL15" s="32"/>
      <c r="IM15" s="32"/>
      <c r="IN15" s="32"/>
      <c r="IO15" s="32"/>
      <c r="IP15" s="32"/>
      <c r="IQ15" s="32"/>
      <c r="IR15" s="32"/>
      <c r="IS15" s="32"/>
      <c r="IT15" s="32"/>
      <c r="IU15" s="32"/>
      <c r="IV15" s="32"/>
      <c r="IW15" s="32"/>
      <c r="IX15" s="32"/>
      <c r="IY15" s="32"/>
      <c r="IZ15" s="32"/>
      <c r="JA15" s="32"/>
      <c r="JB15" s="32"/>
      <c r="JC15" s="32"/>
      <c r="JD15" s="32"/>
      <c r="JE15" s="32"/>
      <c r="JF15" s="32"/>
      <c r="JG15" s="32"/>
      <c r="JH15" s="32"/>
      <c r="JI15" s="32"/>
      <c r="JJ15" s="32"/>
      <c r="JK15" s="32"/>
      <c r="JL15" s="32"/>
      <c r="JM15" s="32"/>
      <c r="JN15" s="32"/>
      <c r="JO15" s="32"/>
      <c r="JP15" s="32"/>
      <c r="JQ15" s="32"/>
      <c r="JR15" s="32"/>
      <c r="JS15" s="32"/>
      <c r="JT15" s="32"/>
      <c r="JU15" s="32"/>
      <c r="JV15" s="32"/>
      <c r="JW15" s="32"/>
      <c r="JX15" s="32"/>
      <c r="JY15" s="32"/>
      <c r="JZ15" s="32"/>
      <c r="KA15" s="32"/>
      <c r="KB15" s="32"/>
      <c r="KC15" s="32"/>
      <c r="KD15" s="32"/>
      <c r="KE15" s="32"/>
      <c r="KF15" s="32"/>
      <c r="KG15" s="32"/>
      <c r="KH15" s="32"/>
      <c r="KI15" s="32"/>
      <c r="KJ15" s="32"/>
      <c r="KK15" s="32"/>
      <c r="KL15" s="32"/>
      <c r="KM15" s="32"/>
      <c r="KN15" s="32"/>
      <c r="KO15" s="32"/>
      <c r="KP15" s="32"/>
      <c r="KQ15" s="32"/>
      <c r="KR15" s="32"/>
      <c r="KS15" s="32"/>
      <c r="KT15" s="32"/>
      <c r="KU15" s="32"/>
      <c r="KV15" s="32"/>
      <c r="KW15" s="32"/>
      <c r="KX15" s="32"/>
      <c r="KY15" s="32"/>
      <c r="KZ15" s="32"/>
      <c r="LA15" s="32"/>
      <c r="LB15" s="32"/>
      <c r="LC15" s="32"/>
      <c r="LD15" s="32"/>
      <c r="LE15" s="32"/>
      <c r="LF15" s="32"/>
      <c r="LG15" s="32"/>
      <c r="LH15" s="32"/>
      <c r="LI15" s="32"/>
      <c r="LJ15" s="32"/>
      <c r="LK15" s="32"/>
      <c r="LL15" s="32"/>
      <c r="LM15" s="32"/>
      <c r="LN15" s="32"/>
      <c r="LO15" s="32"/>
      <c r="LP15" s="32"/>
      <c r="LQ15" s="32"/>
      <c r="LR15" s="32"/>
      <c r="LS15" s="32"/>
      <c r="LT15" s="32"/>
      <c r="LU15" s="32"/>
      <c r="LV15" s="32"/>
      <c r="LW15" s="32"/>
      <c r="LX15" s="32"/>
      <c r="LY15" s="32"/>
      <c r="LZ15" s="32"/>
      <c r="MA15" s="32"/>
      <c r="MB15" s="32"/>
      <c r="MC15" s="32"/>
      <c r="MD15" s="32"/>
      <c r="ME15" s="32"/>
      <c r="MF15" s="32"/>
      <c r="MG15" s="32"/>
      <c r="MH15" s="32"/>
      <c r="MI15" s="32"/>
      <c r="MJ15" s="32"/>
      <c r="MK15" s="32"/>
      <c r="ML15" s="32"/>
      <c r="MM15" s="32"/>
      <c r="MN15" s="32"/>
      <c r="MO15" s="32"/>
      <c r="MP15" s="32"/>
      <c r="MQ15" s="32"/>
      <c r="MR15" s="32"/>
      <c r="MS15" s="32"/>
      <c r="MT15" s="32"/>
      <c r="MU15" s="32"/>
      <c r="MV15" s="32"/>
      <c r="MW15" s="32"/>
      <c r="MX15" s="32"/>
      <c r="MY15" s="32"/>
      <c r="MZ15" s="32"/>
      <c r="NA15" s="32"/>
      <c r="NB15" s="32"/>
      <c r="NC15" s="32"/>
      <c r="ND15" s="32"/>
      <c r="NE15" s="32"/>
      <c r="NF15" s="32"/>
      <c r="NG15" s="32"/>
      <c r="NH15" s="32"/>
      <c r="NI15" s="32"/>
      <c r="NJ15" s="32"/>
      <c r="NK15" s="32"/>
      <c r="NL15" s="32"/>
      <c r="NM15" s="32"/>
      <c r="NN15" s="32"/>
      <c r="NO15" s="32"/>
      <c r="NP15" s="32"/>
      <c r="NQ15" s="32"/>
      <c r="NR15" s="32"/>
      <c r="NS15" s="32"/>
      <c r="NT15" s="32"/>
      <c r="NU15" s="32"/>
      <c r="NV15" s="32"/>
      <c r="NW15" s="32"/>
      <c r="NX15" s="32"/>
      <c r="NY15" s="32"/>
      <c r="NZ15" s="32"/>
      <c r="OA15" s="32"/>
      <c r="OB15" s="32"/>
      <c r="OC15" s="32"/>
      <c r="OD15" s="32"/>
      <c r="OE15" s="32"/>
      <c r="OF15" s="32"/>
      <c r="OG15" s="32"/>
      <c r="OH15" s="32"/>
      <c r="OI15" s="32"/>
      <c r="OJ15" s="32"/>
      <c r="OK15" s="32"/>
      <c r="OL15" s="32"/>
      <c r="OM15" s="32"/>
      <c r="ON15" s="32"/>
      <c r="OO15" s="32"/>
      <c r="OP15" s="32"/>
      <c r="OQ15" s="32"/>
      <c r="OR15" s="32"/>
      <c r="OS15" s="32"/>
      <c r="OT15" s="32"/>
      <c r="OU15" s="32"/>
      <c r="OV15" s="32"/>
      <c r="OW15" s="32"/>
      <c r="OX15" s="32"/>
      <c r="OY15" s="32"/>
      <c r="OZ15" s="32"/>
      <c r="PA15" s="32"/>
      <c r="PB15" s="32"/>
      <c r="PC15" s="32"/>
      <c r="PD15" s="32"/>
      <c r="PE15" s="32"/>
      <c r="PF15" s="32"/>
      <c r="PG15" s="32"/>
      <c r="PH15" s="32"/>
      <c r="PI15" s="32"/>
      <c r="PJ15" s="32"/>
      <c r="PK15" s="32"/>
      <c r="PL15" s="32"/>
      <c r="PM15" s="32"/>
      <c r="PN15" s="32"/>
      <c r="PO15" s="32"/>
      <c r="PP15" s="32"/>
      <c r="PQ15" s="32"/>
      <c r="PR15" s="32"/>
      <c r="PS15" s="32"/>
      <c r="PT15" s="32"/>
      <c r="PU15" s="32"/>
      <c r="PV15" s="32"/>
      <c r="PW15" s="32"/>
      <c r="PX15" s="32"/>
      <c r="PY15" s="32"/>
      <c r="PZ15" s="32"/>
      <c r="QA15" s="32"/>
      <c r="QB15" s="32"/>
      <c r="QC15" s="32"/>
      <c r="QD15" s="32"/>
      <c r="QE15" s="32"/>
      <c r="QF15" s="32"/>
      <c r="QG15" s="32"/>
      <c r="QH15" s="32"/>
      <c r="QI15" s="32"/>
      <c r="QJ15" s="32"/>
      <c r="QK15" s="32"/>
      <c r="QL15" s="32"/>
      <c r="QM15" s="32"/>
      <c r="QN15" s="32"/>
      <c r="QO15" s="32"/>
      <c r="QP15" s="32"/>
      <c r="QQ15" s="32"/>
      <c r="QR15" s="32"/>
      <c r="QS15" s="32"/>
      <c r="QT15" s="32"/>
      <c r="QU15" s="32"/>
      <c r="QV15" s="32"/>
      <c r="QW15" s="32"/>
      <c r="QX15" s="32"/>
      <c r="QY15" s="32"/>
      <c r="QZ15" s="32"/>
      <c r="RA15" s="32"/>
      <c r="RB15" s="32"/>
      <c r="RC15" s="32"/>
      <c r="RD15" s="32"/>
      <c r="RE15" s="32"/>
      <c r="RF15" s="32"/>
      <c r="RG15" s="32"/>
      <c r="RH15" s="32"/>
      <c r="RI15" s="32"/>
      <c r="RJ15" s="32"/>
      <c r="RK15" s="32"/>
      <c r="RL15" s="32"/>
      <c r="RM15" s="32"/>
      <c r="RN15" s="32"/>
      <c r="RO15" s="32"/>
      <c r="RP15" s="32"/>
      <c r="RQ15" s="32"/>
      <c r="RR15" s="32"/>
      <c r="RS15" s="32"/>
      <c r="RT15" s="32"/>
      <c r="RU15" s="32"/>
      <c r="RV15" s="32"/>
    </row>
    <row r="16" spans="1:490" x14ac:dyDescent="0.25">
      <c r="A16" s="36" t="str">
        <f>'Параметры ноты'!A24</f>
        <v>PYPL UW Equity</v>
      </c>
      <c r="C16" s="32">
        <f>C8/C8</f>
        <v>1</v>
      </c>
      <c r="D16" s="32">
        <f>D8/$C$8</f>
        <v>0.25647304548237243</v>
      </c>
      <c r="E16" s="32">
        <f t="shared" ref="E16:AD16" ca="1" si="4">E8/$C$8</f>
        <v>0.28809219452220225</v>
      </c>
      <c r="F16" s="32">
        <f t="shared" ca="1" si="4"/>
        <v>0.31844126529966832</v>
      </c>
      <c r="G16" s="32">
        <f t="shared" ca="1" si="4"/>
        <v>0.36047586997970316</v>
      </c>
      <c r="H16" s="32">
        <f t="shared" ca="1" si="4"/>
        <v>0.36429486412260909</v>
      </c>
      <c r="I16" s="32">
        <f t="shared" ca="1" si="4"/>
        <v>0.3841638830219205</v>
      </c>
      <c r="J16" s="32">
        <f t="shared" ca="1" si="4"/>
        <v>0.4229925524105439</v>
      </c>
      <c r="K16" s="32">
        <f t="shared" ca="1" si="4"/>
        <v>0.49977231577119824</v>
      </c>
      <c r="L16" s="32">
        <f t="shared" ca="1" si="4"/>
        <v>0.59586343676472986</v>
      </c>
      <c r="M16" s="32">
        <f t="shared" ca="1" si="4"/>
        <v>0.66809049508844354</v>
      </c>
      <c r="N16" s="32">
        <f t="shared" ca="1" si="4"/>
        <v>0.65987281289795163</v>
      </c>
      <c r="O16" s="32">
        <f t="shared" ca="1" si="4"/>
        <v>0.65398036245944291</v>
      </c>
      <c r="P16" s="32">
        <f t="shared" ca="1" si="4"/>
        <v>0.68596088864652782</v>
      </c>
      <c r="Q16" s="32">
        <f t="shared" ca="1" si="4"/>
        <v>0.55618914375822859</v>
      </c>
      <c r="R16" s="32">
        <f t="shared" ca="1" si="4"/>
        <v>0.52163726967658774</v>
      </c>
      <c r="S16" s="32">
        <f t="shared" ca="1" si="4"/>
        <v>0.44384500057517101</v>
      </c>
      <c r="T16" s="32">
        <f t="shared" ca="1" si="4"/>
        <v>0.36721245091832744</v>
      </c>
      <c r="U16" s="32">
        <f t="shared" ca="1" si="4"/>
        <v>0.26062921090462365</v>
      </c>
      <c r="V16" s="32">
        <f t="shared" ca="1" si="4"/>
        <v>0.2463596094551613</v>
      </c>
      <c r="W16" s="32">
        <f t="shared" ca="1" si="4"/>
        <v>0.25553673834232443</v>
      </c>
      <c r="X16" s="32">
        <f t="shared" ca="1" si="4"/>
        <v>0.28182483047691531</v>
      </c>
      <c r="Y16" s="32">
        <f t="shared" ca="1" si="4"/>
        <v>0.26975618648773914</v>
      </c>
      <c r="Z16" s="32">
        <f t="shared" ca="1" si="4"/>
        <v>0.23796165156836802</v>
      </c>
      <c r="AA16" s="32">
        <f ca="1">AA8/$C$8</f>
        <v>0.18535722811480246</v>
      </c>
      <c r="AB16" s="32">
        <f t="shared" ca="1" si="4"/>
        <v>0.17405010922301939</v>
      </c>
      <c r="AC16" s="32">
        <f t="shared" ca="1" si="4"/>
        <v>0.1764499283693812</v>
      </c>
      <c r="AD16" s="32">
        <f t="shared" ca="1" si="4"/>
        <v>0.16829607412485739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  <c r="CF16" s="32"/>
      <c r="CG16" s="32"/>
      <c r="CH16" s="32"/>
      <c r="CI16" s="32"/>
      <c r="CJ16" s="32"/>
      <c r="CK16" s="32"/>
      <c r="CL16" s="32"/>
      <c r="CM16" s="32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/>
      <c r="DD16" s="32"/>
      <c r="DE16" s="32"/>
      <c r="DF16" s="32"/>
      <c r="DG16" s="32"/>
      <c r="DH16" s="32"/>
      <c r="DI16" s="32"/>
      <c r="DJ16" s="32"/>
      <c r="DK16" s="32"/>
      <c r="DL16" s="32"/>
      <c r="DM16" s="32"/>
      <c r="DN16" s="32"/>
      <c r="DO16" s="32"/>
      <c r="DP16" s="32"/>
      <c r="DQ16" s="32"/>
      <c r="DR16" s="32"/>
      <c r="DS16" s="32"/>
      <c r="DT16" s="32"/>
      <c r="DU16" s="32"/>
      <c r="DV16" s="32"/>
      <c r="DW16" s="32"/>
      <c r="DX16" s="32"/>
      <c r="DY16" s="32"/>
      <c r="DZ16" s="32"/>
      <c r="EA16" s="32"/>
      <c r="EB16" s="32"/>
      <c r="EC16" s="32"/>
      <c r="ED16" s="32"/>
      <c r="EE16" s="32"/>
      <c r="EF16" s="32"/>
      <c r="EG16" s="32"/>
      <c r="EH16" s="32"/>
      <c r="EI16" s="32"/>
      <c r="EJ16" s="32"/>
      <c r="EK16" s="32"/>
      <c r="EL16" s="32"/>
      <c r="EM16" s="32"/>
      <c r="EN16" s="32"/>
      <c r="EO16" s="32"/>
      <c r="EP16" s="32"/>
      <c r="EQ16" s="32"/>
      <c r="ER16" s="32"/>
      <c r="ES16" s="32"/>
      <c r="ET16" s="32"/>
      <c r="EU16" s="32"/>
      <c r="EV16" s="32"/>
      <c r="EW16" s="32"/>
      <c r="EX16" s="32"/>
      <c r="EY16" s="32"/>
      <c r="EZ16" s="32"/>
      <c r="FA16" s="32"/>
      <c r="FB16" s="32"/>
      <c r="FC16" s="32"/>
      <c r="FD16" s="32"/>
      <c r="FE16" s="32"/>
      <c r="FF16" s="32"/>
      <c r="FG16" s="32"/>
      <c r="FH16" s="32"/>
      <c r="FI16" s="32"/>
      <c r="FJ16" s="32"/>
      <c r="FK16" s="32"/>
      <c r="FL16" s="32"/>
      <c r="FM16" s="32"/>
      <c r="FN16" s="32"/>
      <c r="FO16" s="32"/>
      <c r="FP16" s="32"/>
      <c r="FQ16" s="32"/>
      <c r="FR16" s="32"/>
      <c r="FS16" s="32"/>
      <c r="FT16" s="32"/>
      <c r="FU16" s="32"/>
      <c r="FV16" s="32"/>
      <c r="FW16" s="32"/>
      <c r="FX16" s="32"/>
      <c r="FY16" s="32"/>
      <c r="FZ16" s="32"/>
      <c r="GA16" s="32"/>
      <c r="GB16" s="32"/>
      <c r="GC16" s="32"/>
      <c r="GD16" s="32"/>
      <c r="GE16" s="32"/>
      <c r="GF16" s="32"/>
      <c r="GG16" s="32"/>
      <c r="GH16" s="32"/>
      <c r="GI16" s="32"/>
      <c r="GJ16" s="32"/>
      <c r="GK16" s="32"/>
      <c r="GL16" s="32"/>
      <c r="GM16" s="32"/>
      <c r="GN16" s="32"/>
      <c r="GO16" s="32"/>
      <c r="GP16" s="32"/>
      <c r="GQ16" s="32"/>
      <c r="GR16" s="32"/>
      <c r="GS16" s="32"/>
      <c r="GT16" s="32"/>
      <c r="GU16" s="32"/>
      <c r="GV16" s="32"/>
      <c r="GW16" s="32"/>
      <c r="GX16" s="32"/>
      <c r="GY16" s="32"/>
      <c r="GZ16" s="32"/>
      <c r="HA16" s="32"/>
      <c r="HB16" s="32"/>
      <c r="HC16" s="32"/>
      <c r="HD16" s="32"/>
      <c r="HE16" s="32"/>
      <c r="HF16" s="32"/>
      <c r="HG16" s="32"/>
      <c r="HH16" s="32"/>
      <c r="HI16" s="32"/>
      <c r="HJ16" s="32"/>
      <c r="HK16" s="32"/>
      <c r="HL16" s="32"/>
      <c r="HM16" s="32"/>
      <c r="HN16" s="32"/>
      <c r="HO16" s="32"/>
      <c r="HP16" s="32"/>
      <c r="HQ16" s="32"/>
      <c r="HR16" s="32"/>
      <c r="HS16" s="32"/>
      <c r="HT16" s="32"/>
      <c r="HU16" s="32"/>
      <c r="HV16" s="32"/>
      <c r="HW16" s="32"/>
      <c r="HX16" s="32"/>
      <c r="HY16" s="32"/>
      <c r="HZ16" s="32"/>
      <c r="IA16" s="32"/>
      <c r="IB16" s="32"/>
      <c r="IC16" s="32"/>
      <c r="ID16" s="32"/>
      <c r="IE16" s="32"/>
      <c r="IF16" s="32"/>
      <c r="IG16" s="32"/>
      <c r="IH16" s="32"/>
      <c r="II16" s="32"/>
      <c r="IJ16" s="32"/>
      <c r="IK16" s="32"/>
      <c r="IL16" s="32"/>
      <c r="IM16" s="32"/>
      <c r="IN16" s="32"/>
      <c r="IO16" s="32"/>
      <c r="IP16" s="32"/>
      <c r="IQ16" s="32"/>
      <c r="IR16" s="32"/>
      <c r="IS16" s="32"/>
      <c r="IT16" s="32"/>
      <c r="IU16" s="32"/>
      <c r="IV16" s="32"/>
      <c r="IW16" s="32"/>
      <c r="IX16" s="32"/>
      <c r="IY16" s="32"/>
      <c r="IZ16" s="32"/>
      <c r="JA16" s="32"/>
      <c r="JB16" s="32"/>
      <c r="JC16" s="32"/>
      <c r="JD16" s="32"/>
      <c r="JE16" s="32"/>
      <c r="JF16" s="32"/>
      <c r="JG16" s="32"/>
      <c r="JH16" s="32"/>
      <c r="JI16" s="32"/>
      <c r="JJ16" s="32"/>
      <c r="JK16" s="32"/>
      <c r="JL16" s="32"/>
      <c r="JM16" s="32"/>
      <c r="JN16" s="32"/>
      <c r="JO16" s="32"/>
      <c r="JP16" s="32"/>
      <c r="JQ16" s="32"/>
      <c r="JR16" s="32"/>
      <c r="JS16" s="32"/>
      <c r="JT16" s="32"/>
      <c r="JU16" s="32"/>
      <c r="JV16" s="32"/>
      <c r="JW16" s="32"/>
      <c r="JX16" s="32"/>
      <c r="JY16" s="32"/>
      <c r="JZ16" s="32"/>
      <c r="KA16" s="32"/>
      <c r="KB16" s="32"/>
      <c r="KC16" s="32"/>
      <c r="KD16" s="32"/>
      <c r="KE16" s="32"/>
      <c r="KF16" s="32"/>
      <c r="KG16" s="32"/>
      <c r="KH16" s="32"/>
      <c r="KI16" s="32"/>
      <c r="KJ16" s="32"/>
      <c r="KK16" s="32"/>
      <c r="KL16" s="32"/>
      <c r="KM16" s="32"/>
      <c r="KN16" s="32"/>
      <c r="KO16" s="32"/>
      <c r="KP16" s="32"/>
      <c r="KQ16" s="32"/>
      <c r="KR16" s="32"/>
      <c r="KS16" s="32"/>
      <c r="KT16" s="32"/>
      <c r="KU16" s="32"/>
      <c r="KV16" s="32"/>
      <c r="KW16" s="32"/>
      <c r="KX16" s="32"/>
      <c r="KY16" s="32"/>
      <c r="KZ16" s="32"/>
      <c r="LA16" s="32"/>
      <c r="LB16" s="32"/>
      <c r="LC16" s="32"/>
      <c r="LD16" s="32"/>
      <c r="LE16" s="32"/>
      <c r="LF16" s="32"/>
      <c r="LG16" s="32"/>
      <c r="LH16" s="32"/>
      <c r="LI16" s="32"/>
      <c r="LJ16" s="32"/>
      <c r="LK16" s="32"/>
      <c r="LL16" s="32"/>
      <c r="LM16" s="32"/>
      <c r="LN16" s="32"/>
      <c r="LO16" s="32"/>
      <c r="LP16" s="32"/>
      <c r="LQ16" s="32"/>
      <c r="LR16" s="32"/>
      <c r="LS16" s="32"/>
      <c r="LT16" s="32"/>
      <c r="LU16" s="32"/>
      <c r="LV16" s="32"/>
      <c r="LW16" s="32"/>
      <c r="LX16" s="32"/>
      <c r="LY16" s="32"/>
      <c r="LZ16" s="32"/>
      <c r="MA16" s="32"/>
      <c r="MB16" s="32"/>
      <c r="MC16" s="32"/>
      <c r="MD16" s="32"/>
      <c r="ME16" s="32"/>
      <c r="MF16" s="32"/>
      <c r="MG16" s="32"/>
      <c r="MH16" s="32"/>
      <c r="MI16" s="32"/>
      <c r="MJ16" s="32"/>
      <c r="MK16" s="32"/>
      <c r="ML16" s="32"/>
      <c r="MM16" s="32"/>
      <c r="MN16" s="32"/>
      <c r="MO16" s="32"/>
      <c r="MP16" s="32"/>
      <c r="MQ16" s="32"/>
      <c r="MR16" s="32"/>
      <c r="MS16" s="32"/>
      <c r="MT16" s="32"/>
      <c r="MU16" s="32"/>
      <c r="MV16" s="32"/>
      <c r="MW16" s="32"/>
      <c r="MX16" s="32"/>
      <c r="MY16" s="32"/>
      <c r="MZ16" s="32"/>
      <c r="NA16" s="32"/>
      <c r="NB16" s="32"/>
      <c r="NC16" s="32"/>
      <c r="ND16" s="32"/>
      <c r="NE16" s="32"/>
      <c r="NF16" s="32"/>
      <c r="NG16" s="32"/>
      <c r="NH16" s="32"/>
      <c r="NI16" s="32"/>
      <c r="NJ16" s="32"/>
      <c r="NK16" s="32"/>
      <c r="NL16" s="32"/>
      <c r="NM16" s="32"/>
      <c r="NN16" s="32"/>
      <c r="NO16" s="32"/>
      <c r="NP16" s="32"/>
      <c r="NQ16" s="32"/>
      <c r="NR16" s="32"/>
      <c r="NS16" s="32"/>
      <c r="NT16" s="32"/>
      <c r="NU16" s="32"/>
      <c r="NV16" s="32"/>
      <c r="NW16" s="32"/>
      <c r="NX16" s="32"/>
      <c r="NY16" s="32"/>
      <c r="NZ16" s="32"/>
      <c r="OA16" s="32"/>
      <c r="OB16" s="32"/>
      <c r="OC16" s="32"/>
      <c r="OD16" s="32"/>
      <c r="OE16" s="32"/>
      <c r="OF16" s="32"/>
      <c r="OG16" s="32"/>
      <c r="OH16" s="32"/>
      <c r="OI16" s="32"/>
      <c r="OJ16" s="32"/>
      <c r="OK16" s="32"/>
      <c r="OL16" s="32"/>
      <c r="OM16" s="32"/>
      <c r="ON16" s="32"/>
      <c r="OO16" s="32"/>
      <c r="OP16" s="32"/>
      <c r="OQ16" s="32"/>
      <c r="OR16" s="32"/>
      <c r="OS16" s="32"/>
      <c r="OT16" s="32"/>
      <c r="OU16" s="32"/>
      <c r="OV16" s="32"/>
      <c r="OW16" s="32"/>
      <c r="OX16" s="32"/>
      <c r="OY16" s="32"/>
      <c r="OZ16" s="32"/>
      <c r="PA16" s="32"/>
      <c r="PB16" s="32"/>
      <c r="PC16" s="32"/>
      <c r="PD16" s="32"/>
      <c r="PE16" s="32"/>
      <c r="PF16" s="32"/>
      <c r="PG16" s="32"/>
      <c r="PH16" s="32"/>
      <c r="PI16" s="32"/>
      <c r="PJ16" s="32"/>
      <c r="PK16" s="32"/>
      <c r="PL16" s="32"/>
      <c r="PM16" s="32"/>
      <c r="PN16" s="32"/>
      <c r="PO16" s="32"/>
      <c r="PP16" s="32"/>
      <c r="PQ16" s="32"/>
      <c r="PR16" s="32"/>
      <c r="PS16" s="32"/>
      <c r="PT16" s="32"/>
      <c r="PU16" s="32"/>
      <c r="PV16" s="32"/>
      <c r="PW16" s="32"/>
      <c r="PX16" s="32"/>
      <c r="PY16" s="32"/>
      <c r="PZ16" s="32"/>
      <c r="QA16" s="32"/>
      <c r="QB16" s="32"/>
      <c r="QC16" s="32"/>
      <c r="QD16" s="32"/>
      <c r="QE16" s="32"/>
      <c r="QF16" s="32"/>
      <c r="QG16" s="32"/>
      <c r="QH16" s="32"/>
      <c r="QI16" s="32"/>
      <c r="QJ16" s="32"/>
      <c r="QK16" s="32"/>
      <c r="QL16" s="32"/>
      <c r="QM16" s="32"/>
      <c r="QN16" s="32"/>
      <c r="QO16" s="32"/>
      <c r="QP16" s="32"/>
      <c r="QQ16" s="32"/>
      <c r="QR16" s="32"/>
      <c r="QS16" s="32"/>
      <c r="QT16" s="32"/>
      <c r="QU16" s="32"/>
      <c r="QV16" s="32"/>
      <c r="QW16" s="32"/>
      <c r="QX16" s="32"/>
      <c r="QY16" s="32"/>
      <c r="QZ16" s="32"/>
      <c r="RA16" s="32"/>
      <c r="RB16" s="32"/>
      <c r="RC16" s="32"/>
      <c r="RD16" s="32"/>
      <c r="RE16" s="32"/>
      <c r="RF16" s="32"/>
      <c r="RG16" s="32"/>
      <c r="RH16" s="32"/>
      <c r="RI16" s="32"/>
      <c r="RJ16" s="32"/>
      <c r="RK16" s="32"/>
      <c r="RL16" s="32"/>
      <c r="RM16" s="32"/>
      <c r="RN16" s="32"/>
      <c r="RO16" s="32"/>
      <c r="RP16" s="32"/>
      <c r="RQ16" s="32"/>
      <c r="RR16" s="32"/>
      <c r="RS16" s="32"/>
      <c r="RT16" s="32"/>
      <c r="RU16" s="32"/>
      <c r="RV16" s="32"/>
    </row>
    <row r="17" spans="1:490" x14ac:dyDescent="0.25">
      <c r="A17" s="36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/>
      <c r="MP17" s="32"/>
      <c r="MQ17" s="32"/>
      <c r="MR17" s="32"/>
      <c r="MS17" s="32"/>
      <c r="MT17" s="32"/>
      <c r="MU17" s="32"/>
      <c r="MV17" s="32"/>
      <c r="MW17" s="32"/>
      <c r="MX17" s="32"/>
      <c r="MY17" s="32"/>
      <c r="MZ17" s="32"/>
      <c r="NA17" s="32"/>
      <c r="NB17" s="32"/>
      <c r="NC17" s="32"/>
      <c r="ND17" s="32"/>
      <c r="NE17" s="32"/>
      <c r="NF17" s="32"/>
      <c r="NG17" s="32"/>
      <c r="NH17" s="32"/>
      <c r="NI17" s="32"/>
      <c r="NJ17" s="32"/>
      <c r="NK17" s="32"/>
      <c r="NL17" s="32"/>
      <c r="NM17" s="32"/>
      <c r="NN17" s="32"/>
      <c r="NO17" s="32"/>
      <c r="NP17" s="32"/>
      <c r="NQ17" s="32"/>
      <c r="NR17" s="32"/>
      <c r="NS17" s="32"/>
      <c r="NT17" s="32"/>
      <c r="NU17" s="32"/>
      <c r="NV17" s="32"/>
      <c r="NW17" s="32"/>
      <c r="NX17" s="32"/>
      <c r="NY17" s="32"/>
      <c r="NZ17" s="32"/>
      <c r="OA17" s="32"/>
      <c r="OB17" s="32"/>
      <c r="OC17" s="32"/>
      <c r="OD17" s="32"/>
      <c r="OE17" s="32"/>
      <c r="OF17" s="32"/>
      <c r="OG17" s="32"/>
      <c r="OH17" s="32"/>
      <c r="OI17" s="32"/>
      <c r="OJ17" s="32"/>
      <c r="OK17" s="32"/>
      <c r="OL17" s="32"/>
      <c r="OM17" s="32"/>
      <c r="ON17" s="32"/>
      <c r="OO17" s="32"/>
      <c r="OP17" s="32"/>
      <c r="OQ17" s="32"/>
      <c r="OR17" s="32"/>
      <c r="OS17" s="32"/>
      <c r="OT17" s="32"/>
      <c r="OU17" s="32"/>
      <c r="OV17" s="32"/>
      <c r="OW17" s="32"/>
      <c r="OX17" s="32"/>
      <c r="OY17" s="32"/>
      <c r="OZ17" s="32"/>
      <c r="PA17" s="32"/>
      <c r="PB17" s="32"/>
      <c r="PC17" s="32"/>
      <c r="PD17" s="32"/>
      <c r="PE17" s="32"/>
      <c r="PF17" s="32"/>
      <c r="PG17" s="32"/>
      <c r="PH17" s="32"/>
      <c r="PI17" s="32"/>
      <c r="PJ17" s="32"/>
      <c r="PK17" s="32"/>
      <c r="PL17" s="32"/>
      <c r="PM17" s="32"/>
      <c r="PN17" s="32"/>
      <c r="PO17" s="32"/>
      <c r="PP17" s="32"/>
      <c r="PQ17" s="32"/>
      <c r="PR17" s="32"/>
      <c r="PS17" s="32"/>
      <c r="PT17" s="32"/>
      <c r="PU17" s="32"/>
      <c r="PV17" s="32"/>
      <c r="PW17" s="32"/>
      <c r="PX17" s="32"/>
      <c r="PY17" s="32"/>
      <c r="PZ17" s="32"/>
      <c r="QA17" s="32"/>
      <c r="QB17" s="32"/>
      <c r="QC17" s="32"/>
      <c r="QD17" s="32"/>
      <c r="QE17" s="32"/>
      <c r="QF17" s="32"/>
      <c r="QG17" s="32"/>
      <c r="QH17" s="32"/>
      <c r="QI17" s="32"/>
      <c r="QJ17" s="32"/>
      <c r="QK17" s="32"/>
      <c r="QL17" s="32"/>
      <c r="QM17" s="32"/>
      <c r="QN17" s="32"/>
      <c r="QO17" s="32"/>
      <c r="QP17" s="32"/>
      <c r="QQ17" s="32"/>
      <c r="QR17" s="32"/>
      <c r="QS17" s="32"/>
      <c r="QT17" s="32"/>
      <c r="QU17" s="32"/>
      <c r="QV17" s="32"/>
      <c r="QW17" s="32"/>
      <c r="QX17" s="32"/>
      <c r="QY17" s="32"/>
      <c r="QZ17" s="32"/>
      <c r="RA17" s="32"/>
      <c r="RB17" s="32"/>
      <c r="RC17" s="32"/>
      <c r="RD17" s="32"/>
      <c r="RE17" s="32"/>
      <c r="RF17" s="32"/>
      <c r="RG17" s="32"/>
      <c r="RH17" s="32"/>
      <c r="RI17" s="32"/>
      <c r="RJ17" s="32"/>
      <c r="RK17" s="32"/>
      <c r="RL17" s="32"/>
      <c r="RM17" s="32"/>
      <c r="RN17" s="32"/>
      <c r="RO17" s="32"/>
      <c r="RP17" s="32"/>
      <c r="RQ17" s="32"/>
      <c r="RR17" s="32"/>
      <c r="RS17" s="32"/>
      <c r="RT17" s="32"/>
      <c r="RU17" s="32"/>
      <c r="RV17" s="32"/>
    </row>
    <row r="18" spans="1:490" x14ac:dyDescent="0.25">
      <c r="A18" t="s">
        <v>35</v>
      </c>
      <c r="B18" t="s">
        <v>36</v>
      </c>
      <c r="F18">
        <f>F3-$D$3</f>
        <v>42</v>
      </c>
      <c r="J18">
        <f>J3-$D$3</f>
        <v>133</v>
      </c>
      <c r="N18">
        <f>N3-$D$3</f>
        <v>224</v>
      </c>
      <c r="R18">
        <f>R3-$D$3</f>
        <v>318</v>
      </c>
      <c r="V18">
        <f>V3-$D$3</f>
        <v>409</v>
      </c>
      <c r="Z18">
        <f>Z3-$D$3</f>
        <v>497</v>
      </c>
      <c r="AD18">
        <f>AD3-$D$3</f>
        <v>591</v>
      </c>
    </row>
    <row r="19" spans="1:490" x14ac:dyDescent="0.25">
      <c r="B19" s="32" t="s">
        <v>93</v>
      </c>
      <c r="F19" s="32">
        <f>Ставки!B17</f>
        <v>6.6799999999999998E-2</v>
      </c>
      <c r="G19" s="32"/>
      <c r="J19" s="32">
        <f>Ставки!C17</f>
        <v>6.8699999999999997E-2</v>
      </c>
      <c r="K19" s="32"/>
      <c r="N19" s="32">
        <f>Ставки!D17</f>
        <v>7.0599999999999996E-2</v>
      </c>
      <c r="O19" s="32"/>
      <c r="R19" s="32">
        <f>Ставки!D17</f>
        <v>7.0599999999999996E-2</v>
      </c>
      <c r="S19" s="32"/>
      <c r="V19" s="32">
        <f>Ставки!E17</f>
        <v>7.2499999999999995E-2</v>
      </c>
      <c r="W19" s="32"/>
      <c r="Y19" s="32"/>
      <c r="Z19" s="32">
        <f>Ставки!E17</f>
        <v>7.2499999999999995E-2</v>
      </c>
      <c r="AA19" s="32"/>
      <c r="AD19" s="32">
        <f>Ставки!F17</f>
        <v>7.9500000000000001E-2</v>
      </c>
      <c r="AE19" s="32"/>
      <c r="AF19" s="32"/>
      <c r="AI19" s="32"/>
      <c r="CE19" s="32"/>
      <c r="DR19" s="32"/>
      <c r="ER19" s="32"/>
      <c r="HE19" s="32"/>
      <c r="IR19" s="32"/>
      <c r="JS19" s="32"/>
      <c r="MG19" s="32"/>
      <c r="MS19" s="32"/>
      <c r="OS19" s="32"/>
      <c r="RV19" s="32"/>
    </row>
    <row r="20" spans="1:490" x14ac:dyDescent="0.25">
      <c r="A20" s="28" t="s">
        <v>37</v>
      </c>
      <c r="B20" s="29"/>
      <c r="C20" s="29"/>
      <c r="D20" s="29"/>
      <c r="E20" s="29"/>
      <c r="F20" s="35">
        <f ca="1">F11/(1+F19)^(F18/365)</f>
        <v>0</v>
      </c>
      <c r="G20" s="35"/>
      <c r="H20" s="29"/>
      <c r="I20" s="29"/>
      <c r="J20" s="35">
        <f ca="1">J11/(1+J19)^(J18/365)</f>
        <v>0</v>
      </c>
      <c r="K20" s="35"/>
      <c r="L20" s="29"/>
      <c r="M20" s="29"/>
      <c r="N20" s="35">
        <f ca="1">N11/(1+N19)^(N18/365)</f>
        <v>0</v>
      </c>
      <c r="O20" s="35"/>
      <c r="P20" s="29"/>
      <c r="Q20" s="29"/>
      <c r="R20" s="35">
        <f ca="1">R11/(1+R19)^(R18/365)</f>
        <v>0</v>
      </c>
      <c r="S20" s="35"/>
      <c r="T20" s="29"/>
      <c r="U20" s="29"/>
      <c r="V20" s="35">
        <f ca="1">V11/(1+V19)^(V18/365)</f>
        <v>0</v>
      </c>
      <c r="W20" s="35"/>
      <c r="X20" s="29"/>
      <c r="Y20" s="35"/>
      <c r="Z20" s="35">
        <f ca="1">Z11/(1+Z19)^(Z18/365)</f>
        <v>0</v>
      </c>
      <c r="AA20" s="35"/>
      <c r="AB20" s="29"/>
      <c r="AC20" s="29"/>
      <c r="AD20" s="35">
        <f ca="1">AD11/(1+AD19)^(AD18/365)</f>
        <v>2360648.4808485331</v>
      </c>
      <c r="AE20" s="35"/>
      <c r="AF20" s="35"/>
      <c r="AG20" s="29"/>
      <c r="AH20" s="29"/>
      <c r="AI20" s="35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35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35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35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35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35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35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35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35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35"/>
      <c r="OT20" s="35"/>
      <c r="OU20" s="35"/>
      <c r="OV20" s="35"/>
      <c r="OW20" s="35"/>
      <c r="OX20" s="35"/>
      <c r="OY20" s="35"/>
      <c r="OZ20" s="35"/>
      <c r="PA20" s="35"/>
      <c r="PB20" s="35"/>
      <c r="PC20" s="35"/>
      <c r="PD20" s="35"/>
      <c r="PE20" s="35"/>
      <c r="PF20" s="35"/>
      <c r="PG20" s="35"/>
      <c r="PH20" s="35"/>
      <c r="PI20" s="35"/>
      <c r="PJ20" s="35"/>
      <c r="PK20" s="35"/>
      <c r="PL20" s="35"/>
      <c r="PM20" s="35"/>
      <c r="PN20" s="35"/>
      <c r="PO20" s="35"/>
      <c r="PP20" s="35"/>
      <c r="PQ20" s="35"/>
      <c r="PR20" s="35"/>
      <c r="PS20" s="35"/>
      <c r="PT20" s="35"/>
      <c r="PU20" s="35"/>
      <c r="PV20" s="35"/>
      <c r="PW20" s="35"/>
      <c r="PX20" s="35"/>
      <c r="PY20" s="35"/>
      <c r="PZ20" s="35"/>
      <c r="QA20" s="35"/>
      <c r="QB20" s="35"/>
      <c r="QC20" s="35"/>
      <c r="QD20" s="35"/>
      <c r="QE20" s="35"/>
      <c r="QF20" s="35"/>
      <c r="QG20" s="35"/>
      <c r="QH20" s="35"/>
      <c r="QI20" s="35"/>
      <c r="QJ20" s="35"/>
      <c r="QK20" s="35"/>
      <c r="QL20" s="35"/>
      <c r="QM20" s="35"/>
      <c r="QN20" s="35"/>
      <c r="QO20" s="35"/>
      <c r="QP20" s="35"/>
      <c r="QQ20" s="35"/>
      <c r="QR20" s="35"/>
      <c r="QS20" s="35"/>
      <c r="QT20" s="35"/>
      <c r="QU20" s="35"/>
      <c r="QV20" s="35"/>
      <c r="QW20" s="35"/>
      <c r="QX20" s="35"/>
      <c r="QY20" s="35"/>
      <c r="QZ20" s="35"/>
      <c r="RA20" s="35"/>
      <c r="RB20" s="35"/>
      <c r="RC20" s="35"/>
      <c r="RD20" s="35"/>
      <c r="RE20" s="35"/>
      <c r="RF20" s="35"/>
      <c r="RG20" s="35"/>
      <c r="RH20" s="35"/>
      <c r="RI20" s="35"/>
      <c r="RJ20" s="35"/>
      <c r="RK20" s="35"/>
      <c r="RL20" s="35"/>
      <c r="RM20" s="35"/>
      <c r="RN20" s="35"/>
      <c r="RO20" s="35"/>
      <c r="RP20" s="35"/>
      <c r="RQ20" s="35"/>
      <c r="RR20" s="35"/>
      <c r="RS20" s="35"/>
      <c r="RT20" s="35"/>
      <c r="RU20" s="35"/>
      <c r="RV20" s="35"/>
    </row>
    <row r="21" spans="1:490" x14ac:dyDescent="0.25">
      <c r="B21" s="32"/>
      <c r="C21" s="5"/>
      <c r="D21" s="5"/>
      <c r="E21" s="5"/>
      <c r="F21" s="5"/>
      <c r="G21" s="5"/>
      <c r="H21" s="5"/>
      <c r="I21" s="5"/>
      <c r="J21" s="5"/>
      <c r="K21" s="5"/>
      <c r="L21" s="5"/>
      <c r="N21" s="48"/>
      <c r="O21" s="71"/>
      <c r="P21" s="72"/>
      <c r="Q21" s="78"/>
      <c r="R21" s="74"/>
    </row>
    <row r="22" spans="1:490" x14ac:dyDescent="0.25">
      <c r="B22" s="32"/>
      <c r="C22" s="79"/>
      <c r="D22" s="79"/>
      <c r="E22" s="81"/>
      <c r="F22" s="81"/>
      <c r="G22" s="82"/>
      <c r="H22" s="82"/>
      <c r="I22" s="83"/>
      <c r="J22" s="83"/>
      <c r="K22" s="84"/>
      <c r="L22" s="84"/>
      <c r="N22" s="92"/>
      <c r="O22" s="93"/>
      <c r="P22" s="91"/>
      <c r="Q22" s="90"/>
      <c r="R22" s="94"/>
    </row>
    <row r="23" spans="1:490" x14ac:dyDescent="0.25">
      <c r="A23" s="77" t="s">
        <v>40</v>
      </c>
      <c r="B23" s="85">
        <f ca="1">SUM(C20:RV20)</f>
        <v>2360648.4808485331</v>
      </c>
      <c r="C23" s="68"/>
      <c r="D23" s="68"/>
      <c r="E23" s="86"/>
      <c r="F23" s="86"/>
      <c r="G23" s="87"/>
      <c r="H23" s="87"/>
      <c r="I23" s="88"/>
      <c r="J23" s="88"/>
      <c r="K23" s="75"/>
      <c r="L23" s="75"/>
      <c r="N23" s="95"/>
    </row>
    <row r="24" spans="1:490" x14ac:dyDescent="0.25">
      <c r="A24" t="s">
        <v>99</v>
      </c>
      <c r="B24" s="43">
        <f>'Параметры ноты'!B4</f>
        <v>69300000</v>
      </c>
      <c r="C24" s="92"/>
      <c r="D24" s="92"/>
      <c r="E24" s="93"/>
      <c r="F24" s="93"/>
      <c r="G24" s="91"/>
      <c r="H24" s="91"/>
      <c r="I24" s="90"/>
      <c r="J24" s="90"/>
      <c r="K24" s="94"/>
      <c r="L24" s="94"/>
    </row>
    <row r="25" spans="1:490" x14ac:dyDescent="0.25">
      <c r="A25" s="77" t="s">
        <v>41</v>
      </c>
      <c r="B25" s="80">
        <f ca="1">B23/$B$24</f>
        <v>3.4064191642835973E-2</v>
      </c>
      <c r="C25" s="69"/>
      <c r="D25" s="69"/>
      <c r="E25" s="70"/>
      <c r="F25" s="70"/>
      <c r="G25" s="73"/>
      <c r="H25" s="73"/>
      <c r="I25" s="89"/>
      <c r="J25" s="89"/>
      <c r="K25" s="76"/>
      <c r="L25" s="76"/>
    </row>
    <row r="26" spans="1:490" x14ac:dyDescent="0.25">
      <c r="B26" s="32"/>
    </row>
    <row r="27" spans="1:490" x14ac:dyDescent="0.25">
      <c r="A27" s="77" t="s">
        <v>42</v>
      </c>
      <c r="B27" s="108">
        <f>AVERAGE(B30:B10030)</f>
        <v>0.21501242353740965</v>
      </c>
      <c r="C27" s="69"/>
      <c r="D27" s="69"/>
      <c r="E27" s="70"/>
      <c r="F27" s="70"/>
      <c r="G27" s="73"/>
      <c r="H27" s="73"/>
      <c r="I27" s="89"/>
      <c r="J27" s="89"/>
      <c r="K27" s="76"/>
      <c r="L27" s="76"/>
    </row>
    <row r="28" spans="1:490" x14ac:dyDescent="0.25">
      <c r="B28" s="32"/>
    </row>
    <row r="29" spans="1:490" x14ac:dyDescent="0.25">
      <c r="A29" s="77"/>
      <c r="B29" s="80"/>
      <c r="C29" s="69"/>
      <c r="D29" s="69"/>
      <c r="E29" s="70"/>
      <c r="F29" s="70"/>
      <c r="G29" s="73"/>
      <c r="H29" s="73"/>
      <c r="I29" s="89"/>
      <c r="J29" s="89"/>
      <c r="K29" s="76"/>
      <c r="L29" s="76"/>
    </row>
    <row r="30" spans="1:490" x14ac:dyDescent="0.25">
      <c r="A30">
        <v>1</v>
      </c>
      <c r="B30" s="32">
        <v>0.26467943616320622</v>
      </c>
    </row>
    <row r="31" spans="1:490" x14ac:dyDescent="0.25">
      <c r="A31">
        <v>2</v>
      </c>
      <c r="B31" s="32">
        <v>0.35895448806576608</v>
      </c>
    </row>
    <row r="32" spans="1:490" x14ac:dyDescent="0.25">
      <c r="A32">
        <v>3</v>
      </c>
      <c r="B32" s="32">
        <v>8.2403234025538216E-2</v>
      </c>
    </row>
    <row r="33" spans="1:51" x14ac:dyDescent="0.25">
      <c r="A33">
        <v>4</v>
      </c>
      <c r="B33" s="32">
        <v>0.28518989291498753</v>
      </c>
    </row>
    <row r="34" spans="1:51" x14ac:dyDescent="0.25">
      <c r="A34">
        <v>5</v>
      </c>
      <c r="B34" s="32">
        <v>7.5264770946476336E-2</v>
      </c>
    </row>
    <row r="35" spans="1:51" x14ac:dyDescent="0.25">
      <c r="A35">
        <v>6</v>
      </c>
      <c r="B35" s="32">
        <v>5.4073752216477144E-2</v>
      </c>
    </row>
    <row r="36" spans="1:51" x14ac:dyDescent="0.25">
      <c r="A36">
        <v>7</v>
      </c>
      <c r="B36" s="32">
        <v>0.38076365891864317</v>
      </c>
      <c r="AX36" s="1"/>
    </row>
    <row r="37" spans="1:51" x14ac:dyDescent="0.25">
      <c r="A37">
        <v>8</v>
      </c>
      <c r="B37" s="32">
        <v>0.13461414714799377</v>
      </c>
      <c r="AX37" s="1"/>
      <c r="AY37" s="5"/>
    </row>
    <row r="38" spans="1:51" x14ac:dyDescent="0.25">
      <c r="A38">
        <v>9</v>
      </c>
      <c r="B38" s="32">
        <v>0.27564601758319957</v>
      </c>
      <c r="AY38" s="32"/>
    </row>
    <row r="39" spans="1:51" x14ac:dyDescent="0.25">
      <c r="A39">
        <v>10</v>
      </c>
      <c r="B39" s="32">
        <v>0.21942042792090002</v>
      </c>
    </row>
    <row r="40" spans="1:51" x14ac:dyDescent="0.25">
      <c r="A40">
        <v>11</v>
      </c>
      <c r="B40" s="32">
        <v>0.19316824546400085</v>
      </c>
    </row>
    <row r="41" spans="1:51" x14ac:dyDescent="0.25">
      <c r="A41">
        <v>12</v>
      </c>
      <c r="B41" s="32">
        <v>0.23969231142066419</v>
      </c>
    </row>
    <row r="42" spans="1:51" x14ac:dyDescent="0.25">
      <c r="A42">
        <v>13</v>
      </c>
      <c r="B42" s="32">
        <v>0.32923451974617729</v>
      </c>
    </row>
    <row r="43" spans="1:51" x14ac:dyDescent="0.25">
      <c r="A43">
        <v>14</v>
      </c>
      <c r="B43" s="32">
        <v>0.23727118393496943</v>
      </c>
    </row>
    <row r="44" spans="1:51" x14ac:dyDescent="0.25">
      <c r="A44">
        <v>15</v>
      </c>
      <c r="B44" s="32">
        <v>9.8185925545639013E-2</v>
      </c>
    </row>
    <row r="45" spans="1:51" x14ac:dyDescent="0.25">
      <c r="A45">
        <v>16</v>
      </c>
      <c r="B45" s="32">
        <v>0.30966825635944767</v>
      </c>
    </row>
    <row r="46" spans="1:51" x14ac:dyDescent="0.25">
      <c r="A46">
        <v>17</v>
      </c>
      <c r="B46" s="32">
        <v>0.29551213560122352</v>
      </c>
    </row>
    <row r="47" spans="1:51" x14ac:dyDescent="0.25">
      <c r="A47">
        <v>18</v>
      </c>
      <c r="B47" s="32">
        <v>8.8470895634345972E-2</v>
      </c>
    </row>
    <row r="48" spans="1:51" x14ac:dyDescent="0.25">
      <c r="A48">
        <v>19</v>
      </c>
      <c r="B48" s="32">
        <v>0.1748511107703874</v>
      </c>
    </row>
    <row r="49" spans="1:2" x14ac:dyDescent="0.25">
      <c r="A49">
        <v>20</v>
      </c>
      <c r="B49">
        <v>0.1956868225013994</v>
      </c>
    </row>
    <row r="50" spans="1:2" x14ac:dyDescent="0.25">
      <c r="A50">
        <v>21</v>
      </c>
      <c r="B50">
        <v>0.15882021864326104</v>
      </c>
    </row>
    <row r="51" spans="1:2" x14ac:dyDescent="0.25">
      <c r="A51">
        <v>22</v>
      </c>
      <c r="B51">
        <v>0.23077858066676246</v>
      </c>
    </row>
    <row r="52" spans="1:2" x14ac:dyDescent="0.25">
      <c r="A52">
        <v>23</v>
      </c>
      <c r="B52">
        <v>0.32159107783395319</v>
      </c>
    </row>
    <row r="53" spans="1:2" x14ac:dyDescent="0.25">
      <c r="A53">
        <v>24</v>
      </c>
      <c r="B53">
        <v>0.1774727711463365</v>
      </c>
    </row>
    <row r="54" spans="1:2" x14ac:dyDescent="0.25">
      <c r="A54">
        <v>25</v>
      </c>
      <c r="B54">
        <v>0.13346661927995571</v>
      </c>
    </row>
    <row r="55" spans="1:2" x14ac:dyDescent="0.25">
      <c r="A55">
        <v>26</v>
      </c>
      <c r="B55">
        <v>4.1178898874654687E-2</v>
      </c>
    </row>
    <row r="56" spans="1:2" x14ac:dyDescent="0.25">
      <c r="A56">
        <v>27</v>
      </c>
      <c r="B56">
        <v>0.2453140324014951</v>
      </c>
    </row>
    <row r="57" spans="1:2" x14ac:dyDescent="0.25">
      <c r="A57">
        <v>28</v>
      </c>
      <c r="B57">
        <v>0.18445215753570018</v>
      </c>
    </row>
    <row r="58" spans="1:2" x14ac:dyDescent="0.25">
      <c r="A58">
        <v>29</v>
      </c>
      <c r="B58">
        <v>0.35907349450144982</v>
      </c>
    </row>
    <row r="59" spans="1:2" x14ac:dyDescent="0.25">
      <c r="A59">
        <v>30</v>
      </c>
      <c r="B59">
        <v>0.17989994881135091</v>
      </c>
    </row>
    <row r="60" spans="1:2" x14ac:dyDescent="0.25">
      <c r="A60">
        <v>31</v>
      </c>
      <c r="B60">
        <v>6.0110267356768311E-2</v>
      </c>
    </row>
    <row r="61" spans="1:2" x14ac:dyDescent="0.25">
      <c r="A61">
        <v>32</v>
      </c>
      <c r="B61">
        <v>0.35448628327857168</v>
      </c>
    </row>
    <row r="62" spans="1:2" x14ac:dyDescent="0.25">
      <c r="A62">
        <v>33</v>
      </c>
      <c r="B62">
        <v>0.26388840672369351</v>
      </c>
    </row>
    <row r="63" spans="1:2" x14ac:dyDescent="0.25">
      <c r="A63">
        <v>34</v>
      </c>
      <c r="B63">
        <v>0.50849296820180612</v>
      </c>
    </row>
    <row r="64" spans="1:2" x14ac:dyDescent="0.25">
      <c r="A64">
        <v>35</v>
      </c>
      <c r="B64">
        <v>0.19299507669691657</v>
      </c>
    </row>
    <row r="65" spans="1:14" x14ac:dyDescent="0.25">
      <c r="A65">
        <v>36</v>
      </c>
      <c r="B65" s="5">
        <v>9.7086416035861822E-2</v>
      </c>
      <c r="H65" s="5"/>
      <c r="N65" s="5"/>
    </row>
    <row r="66" spans="1:14" x14ac:dyDescent="0.25">
      <c r="A66">
        <v>37</v>
      </c>
      <c r="B66">
        <v>5.6602462529925394E-2</v>
      </c>
    </row>
    <row r="67" spans="1:14" x14ac:dyDescent="0.25">
      <c r="A67">
        <v>38</v>
      </c>
      <c r="B67">
        <v>0.27701087633366162</v>
      </c>
    </row>
    <row r="68" spans="1:14" x14ac:dyDescent="0.25">
      <c r="A68">
        <v>39</v>
      </c>
      <c r="B68">
        <v>0.13692490500029056</v>
      </c>
    </row>
    <row r="69" spans="1:14" x14ac:dyDescent="0.25">
      <c r="A69">
        <v>40</v>
      </c>
      <c r="B69">
        <v>0.38088075085773088</v>
      </c>
    </row>
    <row r="70" spans="1:14" x14ac:dyDescent="0.25">
      <c r="A70">
        <v>41</v>
      </c>
      <c r="B70">
        <v>8.9839407353369677E-2</v>
      </c>
    </row>
    <row r="71" spans="1:14" x14ac:dyDescent="0.25">
      <c r="A71">
        <v>42</v>
      </c>
      <c r="B71">
        <v>0.16291268802330058</v>
      </c>
    </row>
    <row r="72" spans="1:14" x14ac:dyDescent="0.25">
      <c r="A72">
        <v>43</v>
      </c>
      <c r="B72">
        <v>0.23141058549388543</v>
      </c>
    </row>
    <row r="73" spans="1:14" x14ac:dyDescent="0.25">
      <c r="A73">
        <v>44</v>
      </c>
      <c r="B73">
        <v>0.20950739515613626</v>
      </c>
    </row>
    <row r="74" spans="1:14" x14ac:dyDescent="0.25">
      <c r="A74">
        <v>45</v>
      </c>
      <c r="B74">
        <v>0.19141779717224305</v>
      </c>
    </row>
    <row r="75" spans="1:14" x14ac:dyDescent="0.25">
      <c r="A75">
        <v>46</v>
      </c>
      <c r="B75">
        <v>0.23054673282564034</v>
      </c>
    </row>
    <row r="76" spans="1:14" x14ac:dyDescent="0.25">
      <c r="A76">
        <v>47</v>
      </c>
      <c r="B76">
        <v>0.12473923399134557</v>
      </c>
    </row>
    <row r="77" spans="1:14" x14ac:dyDescent="0.25">
      <c r="A77">
        <v>48</v>
      </c>
      <c r="B77">
        <v>0.32134314585487223</v>
      </c>
    </row>
    <row r="78" spans="1:14" x14ac:dyDescent="0.25">
      <c r="A78">
        <v>49</v>
      </c>
      <c r="B78">
        <v>0.10063000923210272</v>
      </c>
    </row>
    <row r="79" spans="1:14" x14ac:dyDescent="0.25">
      <c r="A79">
        <v>50</v>
      </c>
      <c r="B79">
        <v>3.8964295996444076E-2</v>
      </c>
    </row>
    <row r="80" spans="1:14" x14ac:dyDescent="0.25">
      <c r="A80">
        <v>51</v>
      </c>
      <c r="B80">
        <v>0.11162335882089322</v>
      </c>
    </row>
    <row r="81" spans="1:2" x14ac:dyDescent="0.25">
      <c r="A81">
        <v>52</v>
      </c>
      <c r="B81">
        <v>0.32680499901289312</v>
      </c>
    </row>
    <row r="82" spans="1:2" x14ac:dyDescent="0.25">
      <c r="A82">
        <v>53</v>
      </c>
      <c r="B82">
        <v>0.39011895785016221</v>
      </c>
    </row>
    <row r="83" spans="1:2" x14ac:dyDescent="0.25">
      <c r="A83">
        <v>54</v>
      </c>
      <c r="B83">
        <v>0.10041338264747132</v>
      </c>
    </row>
    <row r="84" spans="1:2" x14ac:dyDescent="0.25">
      <c r="A84">
        <v>55</v>
      </c>
      <c r="B84">
        <v>8.246095594370853E-2</v>
      </c>
    </row>
    <row r="85" spans="1:2" x14ac:dyDescent="0.25">
      <c r="A85">
        <v>56</v>
      </c>
      <c r="B85">
        <v>8.5572093669308152E-2</v>
      </c>
    </row>
    <row r="86" spans="1:2" x14ac:dyDescent="0.25">
      <c r="A86">
        <v>57</v>
      </c>
      <c r="B86">
        <v>0.18272603281084229</v>
      </c>
    </row>
    <row r="87" spans="1:2" x14ac:dyDescent="0.25">
      <c r="A87">
        <v>58</v>
      </c>
      <c r="B87">
        <v>0.1639310154872276</v>
      </c>
    </row>
    <row r="88" spans="1:2" x14ac:dyDescent="0.25">
      <c r="A88">
        <v>59</v>
      </c>
      <c r="B88">
        <v>5.2744434688907639E-2</v>
      </c>
    </row>
    <row r="89" spans="1:2" x14ac:dyDescent="0.25">
      <c r="A89">
        <v>60</v>
      </c>
      <c r="B89">
        <v>0.18901132443490362</v>
      </c>
    </row>
    <row r="90" spans="1:2" x14ac:dyDescent="0.25">
      <c r="A90">
        <v>61</v>
      </c>
      <c r="B90">
        <v>0.40801229482551105</v>
      </c>
    </row>
    <row r="91" spans="1:2" x14ac:dyDescent="0.25">
      <c r="A91">
        <v>62</v>
      </c>
      <c r="B91">
        <v>0.27479823460708147</v>
      </c>
    </row>
    <row r="92" spans="1:2" x14ac:dyDescent="0.25">
      <c r="A92">
        <v>63</v>
      </c>
      <c r="B92">
        <v>0.14668023200453842</v>
      </c>
    </row>
    <row r="93" spans="1:2" x14ac:dyDescent="0.25">
      <c r="A93">
        <v>64</v>
      </c>
      <c r="B93">
        <v>9.6642755962709978E-2</v>
      </c>
    </row>
    <row r="94" spans="1:2" x14ac:dyDescent="0.25">
      <c r="A94">
        <v>65</v>
      </c>
      <c r="B94">
        <v>0.20921775129810377</v>
      </c>
    </row>
    <row r="95" spans="1:2" x14ac:dyDescent="0.25">
      <c r="A95">
        <v>66</v>
      </c>
      <c r="B95">
        <v>0.11359666648484487</v>
      </c>
    </row>
    <row r="96" spans="1:2" x14ac:dyDescent="0.25">
      <c r="A96">
        <v>67</v>
      </c>
      <c r="B96">
        <v>0.44338154610074165</v>
      </c>
    </row>
    <row r="97" spans="1:2" x14ac:dyDescent="0.25">
      <c r="A97">
        <v>68</v>
      </c>
      <c r="B97">
        <v>0.22817542469438276</v>
      </c>
    </row>
    <row r="98" spans="1:2" x14ac:dyDescent="0.25">
      <c r="A98">
        <v>69</v>
      </c>
      <c r="B98">
        <v>0.20324336556364142</v>
      </c>
    </row>
    <row r="99" spans="1:2" x14ac:dyDescent="0.25">
      <c r="A99">
        <v>70</v>
      </c>
      <c r="B99">
        <v>7.2789992440809262E-2</v>
      </c>
    </row>
    <row r="100" spans="1:2" x14ac:dyDescent="0.25">
      <c r="A100">
        <v>71</v>
      </c>
      <c r="B100">
        <v>0.28677446067856061</v>
      </c>
    </row>
    <row r="101" spans="1:2" x14ac:dyDescent="0.25">
      <c r="A101">
        <v>72</v>
      </c>
      <c r="B101">
        <v>0.16901416825359264</v>
      </c>
    </row>
    <row r="102" spans="1:2" x14ac:dyDescent="0.25">
      <c r="A102">
        <v>73</v>
      </c>
      <c r="B102">
        <v>0.15792665018029362</v>
      </c>
    </row>
    <row r="103" spans="1:2" x14ac:dyDescent="0.25">
      <c r="A103">
        <v>74</v>
      </c>
      <c r="B103">
        <v>0.31244389735067279</v>
      </c>
    </row>
    <row r="104" spans="1:2" x14ac:dyDescent="0.25">
      <c r="A104">
        <v>75</v>
      </c>
      <c r="B104">
        <v>4.4721597771094142E-2</v>
      </c>
    </row>
    <row r="105" spans="1:2" x14ac:dyDescent="0.25">
      <c r="A105">
        <v>76</v>
      </c>
      <c r="B105">
        <v>7.5266868293921582E-2</v>
      </c>
    </row>
    <row r="106" spans="1:2" x14ac:dyDescent="0.25">
      <c r="A106">
        <v>77</v>
      </c>
      <c r="B106">
        <v>8.0788321119540193E-2</v>
      </c>
    </row>
    <row r="107" spans="1:2" x14ac:dyDescent="0.25">
      <c r="A107">
        <v>78</v>
      </c>
      <c r="B107">
        <v>0.14188405423244907</v>
      </c>
    </row>
    <row r="108" spans="1:2" x14ac:dyDescent="0.25">
      <c r="A108">
        <v>79</v>
      </c>
      <c r="B108">
        <v>0.15502880321607049</v>
      </c>
    </row>
    <row r="109" spans="1:2" x14ac:dyDescent="0.25">
      <c r="A109">
        <v>80</v>
      </c>
      <c r="B109">
        <v>0.1641092152829374</v>
      </c>
    </row>
    <row r="110" spans="1:2" x14ac:dyDescent="0.25">
      <c r="A110">
        <v>81</v>
      </c>
      <c r="B110">
        <v>9.7443971837760879E-2</v>
      </c>
    </row>
    <row r="111" spans="1:2" x14ac:dyDescent="0.25">
      <c r="A111">
        <v>82</v>
      </c>
      <c r="B111">
        <v>0.58575949518800674</v>
      </c>
    </row>
    <row r="112" spans="1:2" x14ac:dyDescent="0.25">
      <c r="A112">
        <v>83</v>
      </c>
      <c r="B112">
        <v>0.40901366544796097</v>
      </c>
    </row>
    <row r="113" spans="1:2" x14ac:dyDescent="0.25">
      <c r="A113">
        <v>84</v>
      </c>
      <c r="B113">
        <v>3.7340140083033498E-2</v>
      </c>
    </row>
    <row r="114" spans="1:2" x14ac:dyDescent="0.25">
      <c r="A114">
        <v>85</v>
      </c>
      <c r="B114">
        <v>0.10131537271078586</v>
      </c>
    </row>
    <row r="115" spans="1:2" x14ac:dyDescent="0.25">
      <c r="A115">
        <v>86</v>
      </c>
      <c r="B115">
        <v>0.14188056454790857</v>
      </c>
    </row>
    <row r="116" spans="1:2" x14ac:dyDescent="0.25">
      <c r="A116">
        <v>87</v>
      </c>
      <c r="B116">
        <v>0.19734051011578516</v>
      </c>
    </row>
    <row r="117" spans="1:2" x14ac:dyDescent="0.25">
      <c r="A117">
        <v>88</v>
      </c>
      <c r="B117">
        <v>0.25141499521815158</v>
      </c>
    </row>
    <row r="118" spans="1:2" x14ac:dyDescent="0.25">
      <c r="A118">
        <v>89</v>
      </c>
      <c r="B118">
        <v>6.7570062193254524E-2</v>
      </c>
    </row>
    <row r="119" spans="1:2" x14ac:dyDescent="0.25">
      <c r="A119">
        <v>90</v>
      </c>
      <c r="B119">
        <v>0.21324381119850036</v>
      </c>
    </row>
    <row r="120" spans="1:2" x14ac:dyDescent="0.25">
      <c r="A120">
        <v>91</v>
      </c>
      <c r="B120">
        <v>0.11439549077157124</v>
      </c>
    </row>
    <row r="121" spans="1:2" x14ac:dyDescent="0.25">
      <c r="A121">
        <v>92</v>
      </c>
      <c r="B121">
        <v>0.18429815726465559</v>
      </c>
    </row>
    <row r="122" spans="1:2" x14ac:dyDescent="0.25">
      <c r="A122">
        <v>93</v>
      </c>
      <c r="B122">
        <v>0.25137618053888861</v>
      </c>
    </row>
    <row r="123" spans="1:2" x14ac:dyDescent="0.25">
      <c r="A123">
        <v>94</v>
      </c>
      <c r="B123">
        <v>0.19143249450573788</v>
      </c>
    </row>
    <row r="124" spans="1:2" x14ac:dyDescent="0.25">
      <c r="A124">
        <v>95</v>
      </c>
      <c r="B124">
        <v>0.11239411762596327</v>
      </c>
    </row>
    <row r="125" spans="1:2" x14ac:dyDescent="0.25">
      <c r="A125">
        <v>96</v>
      </c>
      <c r="B125">
        <v>7.2217308601813301E-2</v>
      </c>
    </row>
    <row r="126" spans="1:2" x14ac:dyDescent="0.25">
      <c r="A126">
        <v>97</v>
      </c>
      <c r="B126">
        <v>3.835604026197633E-2</v>
      </c>
    </row>
    <row r="127" spans="1:2" x14ac:dyDescent="0.25">
      <c r="A127">
        <v>98</v>
      </c>
      <c r="B127">
        <v>0.20056845369676468</v>
      </c>
    </row>
    <row r="128" spans="1:2" x14ac:dyDescent="0.25">
      <c r="A128">
        <v>99</v>
      </c>
      <c r="B128">
        <v>0.21145462615621247</v>
      </c>
    </row>
    <row r="129" spans="1:2" x14ac:dyDescent="0.25">
      <c r="A129">
        <v>100</v>
      </c>
      <c r="B129">
        <v>9.3725560927302332E-2</v>
      </c>
    </row>
    <row r="130" spans="1:2" x14ac:dyDescent="0.25">
      <c r="A130">
        <v>101</v>
      </c>
      <c r="B130">
        <v>0.37555240982380783</v>
      </c>
    </row>
    <row r="131" spans="1:2" x14ac:dyDescent="0.25">
      <c r="A131">
        <v>102</v>
      </c>
      <c r="B131">
        <v>8.5117837082523656E-2</v>
      </c>
    </row>
    <row r="132" spans="1:2" x14ac:dyDescent="0.25">
      <c r="A132">
        <v>103</v>
      </c>
      <c r="B132">
        <v>0.15772160013278108</v>
      </c>
    </row>
    <row r="133" spans="1:2" x14ac:dyDescent="0.25">
      <c r="A133">
        <v>104</v>
      </c>
      <c r="B133">
        <v>9.4467587229997707E-2</v>
      </c>
    </row>
    <row r="134" spans="1:2" x14ac:dyDescent="0.25">
      <c r="A134">
        <v>105</v>
      </c>
      <c r="B134">
        <v>0.21762489993548464</v>
      </c>
    </row>
    <row r="135" spans="1:2" x14ac:dyDescent="0.25">
      <c r="A135">
        <v>106</v>
      </c>
      <c r="B135">
        <v>0.22755481208654718</v>
      </c>
    </row>
    <row r="136" spans="1:2" x14ac:dyDescent="0.25">
      <c r="A136">
        <v>107</v>
      </c>
      <c r="B136">
        <v>0.12153690064614657</v>
      </c>
    </row>
    <row r="137" spans="1:2" x14ac:dyDescent="0.25">
      <c r="A137">
        <v>108</v>
      </c>
      <c r="B137">
        <v>8.7190743636237883E-2</v>
      </c>
    </row>
    <row r="138" spans="1:2" x14ac:dyDescent="0.25">
      <c r="A138">
        <v>109</v>
      </c>
      <c r="B138">
        <v>0.16014283370614263</v>
      </c>
    </row>
    <row r="139" spans="1:2" x14ac:dyDescent="0.25">
      <c r="A139">
        <v>110</v>
      </c>
      <c r="B139">
        <v>0.11090328371816413</v>
      </c>
    </row>
    <row r="140" spans="1:2" x14ac:dyDescent="0.25">
      <c r="A140">
        <v>111</v>
      </c>
      <c r="B140">
        <v>3.5226979201642056E-2</v>
      </c>
    </row>
    <row r="141" spans="1:2" x14ac:dyDescent="0.25">
      <c r="A141">
        <v>112</v>
      </c>
      <c r="B141">
        <v>0.17758195921632799</v>
      </c>
    </row>
    <row r="142" spans="1:2" x14ac:dyDescent="0.25">
      <c r="A142">
        <v>113</v>
      </c>
      <c r="B142">
        <v>9.9880121902659991E-2</v>
      </c>
    </row>
    <row r="143" spans="1:2" x14ac:dyDescent="0.25">
      <c r="A143">
        <v>114</v>
      </c>
      <c r="B143">
        <v>0.22237852782311063</v>
      </c>
    </row>
    <row r="144" spans="1:2" x14ac:dyDescent="0.25">
      <c r="A144">
        <v>115</v>
      </c>
      <c r="B144">
        <v>0.34397151947780563</v>
      </c>
    </row>
    <row r="145" spans="1:2" x14ac:dyDescent="0.25">
      <c r="A145">
        <v>116</v>
      </c>
      <c r="B145">
        <v>0.16285122616849088</v>
      </c>
    </row>
    <row r="146" spans="1:2" x14ac:dyDescent="0.25">
      <c r="A146">
        <v>117</v>
      </c>
      <c r="B146">
        <v>0.20399629368481081</v>
      </c>
    </row>
    <row r="147" spans="1:2" x14ac:dyDescent="0.25">
      <c r="A147">
        <v>118</v>
      </c>
      <c r="B147">
        <v>0.1414745325314401</v>
      </c>
    </row>
    <row r="148" spans="1:2" x14ac:dyDescent="0.25">
      <c r="A148">
        <v>119</v>
      </c>
      <c r="B148">
        <v>0.28043037977585872</v>
      </c>
    </row>
    <row r="149" spans="1:2" x14ac:dyDescent="0.25">
      <c r="A149">
        <v>120</v>
      </c>
      <c r="B149">
        <v>0.35748808022892109</v>
      </c>
    </row>
    <row r="150" spans="1:2" x14ac:dyDescent="0.25">
      <c r="A150">
        <v>121</v>
      </c>
      <c r="B150">
        <v>0.15751530567172092</v>
      </c>
    </row>
    <row r="151" spans="1:2" x14ac:dyDescent="0.25">
      <c r="A151">
        <v>122</v>
      </c>
      <c r="B151">
        <v>8.3384950201247393E-2</v>
      </c>
    </row>
    <row r="152" spans="1:2" x14ac:dyDescent="0.25">
      <c r="A152">
        <v>123</v>
      </c>
      <c r="B152">
        <v>0.13042026273920607</v>
      </c>
    </row>
    <row r="153" spans="1:2" x14ac:dyDescent="0.25">
      <c r="A153">
        <v>124</v>
      </c>
      <c r="B153">
        <v>0.27168984970467425</v>
      </c>
    </row>
    <row r="154" spans="1:2" x14ac:dyDescent="0.25">
      <c r="A154">
        <v>125</v>
      </c>
      <c r="B154">
        <v>0.16776706770446301</v>
      </c>
    </row>
    <row r="155" spans="1:2" x14ac:dyDescent="0.25">
      <c r="A155">
        <v>126</v>
      </c>
      <c r="B155">
        <v>6.6636737872734053E-2</v>
      </c>
    </row>
    <row r="156" spans="1:2" x14ac:dyDescent="0.25">
      <c r="A156">
        <v>127</v>
      </c>
      <c r="B156">
        <v>0.11898544608666042</v>
      </c>
    </row>
    <row r="157" spans="1:2" x14ac:dyDescent="0.25">
      <c r="A157">
        <v>128</v>
      </c>
      <c r="B157">
        <v>9.4907051216235286E-2</v>
      </c>
    </row>
    <row r="158" spans="1:2" x14ac:dyDescent="0.25">
      <c r="A158">
        <v>129</v>
      </c>
      <c r="B158">
        <v>0.21285332714273092</v>
      </c>
    </row>
    <row r="159" spans="1:2" x14ac:dyDescent="0.25">
      <c r="A159">
        <v>130</v>
      </c>
      <c r="B159">
        <v>0.1833724759568196</v>
      </c>
    </row>
    <row r="160" spans="1:2" x14ac:dyDescent="0.25">
      <c r="A160">
        <v>131</v>
      </c>
      <c r="B160">
        <v>0.18492735758361206</v>
      </c>
    </row>
    <row r="161" spans="1:2" x14ac:dyDescent="0.25">
      <c r="A161">
        <v>132</v>
      </c>
      <c r="B161">
        <v>7.8533853797834993E-2</v>
      </c>
    </row>
    <row r="162" spans="1:2" x14ac:dyDescent="0.25">
      <c r="A162">
        <v>133</v>
      </c>
      <c r="B162">
        <v>4.1999588177688743E-2</v>
      </c>
    </row>
    <row r="163" spans="1:2" x14ac:dyDescent="0.25">
      <c r="A163">
        <v>134</v>
      </c>
      <c r="B163">
        <v>7.1019006095774218E-2</v>
      </c>
    </row>
    <row r="164" spans="1:2" x14ac:dyDescent="0.25">
      <c r="A164">
        <v>135</v>
      </c>
      <c r="B164">
        <v>0.23886689878157683</v>
      </c>
    </row>
    <row r="165" spans="1:2" x14ac:dyDescent="0.25">
      <c r="A165">
        <v>136</v>
      </c>
      <c r="B165">
        <v>0.145331522820696</v>
      </c>
    </row>
    <row r="166" spans="1:2" x14ac:dyDescent="0.25">
      <c r="A166">
        <v>137</v>
      </c>
      <c r="B166">
        <v>0.2530526019965989</v>
      </c>
    </row>
    <row r="167" spans="1:2" x14ac:dyDescent="0.25">
      <c r="A167">
        <v>138</v>
      </c>
      <c r="B167">
        <v>0.34991527308255127</v>
      </c>
    </row>
    <row r="168" spans="1:2" x14ac:dyDescent="0.25">
      <c r="A168">
        <v>139</v>
      </c>
      <c r="B168">
        <v>5.5605561701681232E-2</v>
      </c>
    </row>
    <row r="169" spans="1:2" x14ac:dyDescent="0.25">
      <c r="A169">
        <v>140</v>
      </c>
      <c r="B169">
        <v>9.3525385430322711E-2</v>
      </c>
    </row>
    <row r="170" spans="1:2" x14ac:dyDescent="0.25">
      <c r="A170">
        <v>141</v>
      </c>
      <c r="B170">
        <v>0.1340367959714206</v>
      </c>
    </row>
    <row r="171" spans="1:2" x14ac:dyDescent="0.25">
      <c r="A171">
        <v>142</v>
      </c>
      <c r="B171">
        <v>1.1877145997859171</v>
      </c>
    </row>
    <row r="172" spans="1:2" x14ac:dyDescent="0.25">
      <c r="A172">
        <v>143</v>
      </c>
      <c r="B172">
        <v>0.146614547281743</v>
      </c>
    </row>
    <row r="173" spans="1:2" x14ac:dyDescent="0.25">
      <c r="A173">
        <v>144</v>
      </c>
      <c r="B173">
        <v>0.18167635781535399</v>
      </c>
    </row>
    <row r="174" spans="1:2" x14ac:dyDescent="0.25">
      <c r="A174">
        <v>145</v>
      </c>
      <c r="B174">
        <v>7.0660016250026741E-2</v>
      </c>
    </row>
    <row r="175" spans="1:2" x14ac:dyDescent="0.25">
      <c r="A175">
        <v>146</v>
      </c>
      <c r="B175">
        <v>7.5117744378350185E-2</v>
      </c>
    </row>
    <row r="176" spans="1:2" x14ac:dyDescent="0.25">
      <c r="A176">
        <v>147</v>
      </c>
      <c r="B176">
        <v>8.463113238073075E-2</v>
      </c>
    </row>
    <row r="177" spans="1:2" x14ac:dyDescent="0.25">
      <c r="A177">
        <v>148</v>
      </c>
      <c r="B177">
        <v>0.28878195261208184</v>
      </c>
    </row>
    <row r="178" spans="1:2" x14ac:dyDescent="0.25">
      <c r="A178">
        <v>149</v>
      </c>
      <c r="B178">
        <v>0.16906161637402253</v>
      </c>
    </row>
    <row r="179" spans="1:2" x14ac:dyDescent="0.25">
      <c r="A179">
        <v>150</v>
      </c>
      <c r="B179">
        <v>0.12842153610462928</v>
      </c>
    </row>
    <row r="180" spans="1:2" x14ac:dyDescent="0.25">
      <c r="A180">
        <v>151</v>
      </c>
      <c r="B180">
        <v>0.14434075377777839</v>
      </c>
    </row>
    <row r="181" spans="1:2" x14ac:dyDescent="0.25">
      <c r="A181">
        <v>152</v>
      </c>
      <c r="B181">
        <v>0.11150402095338867</v>
      </c>
    </row>
    <row r="182" spans="1:2" x14ac:dyDescent="0.25">
      <c r="A182">
        <v>153</v>
      </c>
      <c r="B182">
        <v>0.36821199960578554</v>
      </c>
    </row>
    <row r="183" spans="1:2" x14ac:dyDescent="0.25">
      <c r="A183">
        <v>154</v>
      </c>
      <c r="B183">
        <v>0.10030409788708379</v>
      </c>
    </row>
    <row r="184" spans="1:2" x14ac:dyDescent="0.25">
      <c r="A184">
        <v>155</v>
      </c>
      <c r="B184">
        <v>0.10595945727560507</v>
      </c>
    </row>
    <row r="185" spans="1:2" x14ac:dyDescent="0.25">
      <c r="A185">
        <v>156</v>
      </c>
      <c r="B185">
        <v>0.17838732053152248</v>
      </c>
    </row>
    <row r="186" spans="1:2" x14ac:dyDescent="0.25">
      <c r="A186">
        <v>157</v>
      </c>
      <c r="B186">
        <v>0.14687605887167685</v>
      </c>
    </row>
    <row r="187" spans="1:2" x14ac:dyDescent="0.25">
      <c r="A187">
        <v>158</v>
      </c>
      <c r="B187">
        <v>0.12762269975609647</v>
      </c>
    </row>
    <row r="188" spans="1:2" x14ac:dyDescent="0.25">
      <c r="A188">
        <v>159</v>
      </c>
      <c r="B188">
        <v>9.980552044938866E-2</v>
      </c>
    </row>
    <row r="189" spans="1:2" x14ac:dyDescent="0.25">
      <c r="A189">
        <v>160</v>
      </c>
      <c r="B189">
        <v>0.45717921782954207</v>
      </c>
    </row>
    <row r="190" spans="1:2" x14ac:dyDescent="0.25">
      <c r="A190">
        <v>161</v>
      </c>
      <c r="B190">
        <v>0.34048333214943877</v>
      </c>
    </row>
    <row r="191" spans="1:2" x14ac:dyDescent="0.25">
      <c r="A191">
        <v>162</v>
      </c>
      <c r="B191">
        <v>0.30996818452635622</v>
      </c>
    </row>
    <row r="192" spans="1:2" x14ac:dyDescent="0.25">
      <c r="A192">
        <v>163</v>
      </c>
      <c r="B192">
        <v>0.10233404425842267</v>
      </c>
    </row>
    <row r="193" spans="1:2" x14ac:dyDescent="0.25">
      <c r="A193">
        <v>164</v>
      </c>
      <c r="B193">
        <v>0.15085360859113722</v>
      </c>
    </row>
    <row r="194" spans="1:2" x14ac:dyDescent="0.25">
      <c r="A194">
        <v>165</v>
      </c>
      <c r="B194">
        <v>0.16951081103311336</v>
      </c>
    </row>
    <row r="195" spans="1:2" x14ac:dyDescent="0.25">
      <c r="A195">
        <v>166</v>
      </c>
      <c r="B195">
        <v>0.19852329611676339</v>
      </c>
    </row>
    <row r="196" spans="1:2" x14ac:dyDescent="0.25">
      <c r="A196">
        <v>167</v>
      </c>
      <c r="B196">
        <v>0.37158659787117754</v>
      </c>
    </row>
    <row r="197" spans="1:2" x14ac:dyDescent="0.25">
      <c r="A197">
        <v>168</v>
      </c>
      <c r="B197">
        <v>0.2289120808983949</v>
      </c>
    </row>
    <row r="198" spans="1:2" x14ac:dyDescent="0.25">
      <c r="A198">
        <v>169</v>
      </c>
      <c r="B198">
        <v>0.11871864273423878</v>
      </c>
    </row>
    <row r="199" spans="1:2" x14ac:dyDescent="0.25">
      <c r="A199">
        <v>170</v>
      </c>
      <c r="B199">
        <v>0.13417393740223668</v>
      </c>
    </row>
    <row r="200" spans="1:2" x14ac:dyDescent="0.25">
      <c r="A200">
        <v>171</v>
      </c>
      <c r="B200">
        <v>5.4599065896420586E-2</v>
      </c>
    </row>
    <row r="201" spans="1:2" x14ac:dyDescent="0.25">
      <c r="A201">
        <v>172</v>
      </c>
      <c r="B201">
        <v>0.25098760821455807</v>
      </c>
    </row>
    <row r="202" spans="1:2" x14ac:dyDescent="0.25">
      <c r="A202">
        <v>173</v>
      </c>
      <c r="B202">
        <v>0.12302129673173565</v>
      </c>
    </row>
    <row r="203" spans="1:2" x14ac:dyDescent="0.25">
      <c r="A203">
        <v>174</v>
      </c>
      <c r="B203">
        <v>0.28390347794687215</v>
      </c>
    </row>
    <row r="204" spans="1:2" x14ac:dyDescent="0.25">
      <c r="A204">
        <v>175</v>
      </c>
      <c r="B204">
        <v>0.22536131678333773</v>
      </c>
    </row>
    <row r="205" spans="1:2" x14ac:dyDescent="0.25">
      <c r="A205">
        <v>176</v>
      </c>
      <c r="B205">
        <v>0.34154881063876119</v>
      </c>
    </row>
    <row r="206" spans="1:2" x14ac:dyDescent="0.25">
      <c r="A206">
        <v>177</v>
      </c>
      <c r="B206">
        <v>0.15186616973609671</v>
      </c>
    </row>
    <row r="207" spans="1:2" x14ac:dyDescent="0.25">
      <c r="A207">
        <v>178</v>
      </c>
      <c r="B207">
        <v>7.3317929073962673E-2</v>
      </c>
    </row>
    <row r="208" spans="1:2" x14ac:dyDescent="0.25">
      <c r="A208">
        <v>179</v>
      </c>
      <c r="B208">
        <v>0.1134862960236941</v>
      </c>
    </row>
    <row r="209" spans="1:2" x14ac:dyDescent="0.25">
      <c r="A209">
        <v>180</v>
      </c>
      <c r="B209">
        <v>0.15335608922474983</v>
      </c>
    </row>
    <row r="210" spans="1:2" x14ac:dyDescent="0.25">
      <c r="A210">
        <v>181</v>
      </c>
      <c r="B210">
        <v>0.28754328883493779</v>
      </c>
    </row>
    <row r="211" spans="1:2" x14ac:dyDescent="0.25">
      <c r="A211">
        <v>182</v>
      </c>
      <c r="B211">
        <v>0.12664491238662492</v>
      </c>
    </row>
    <row r="212" spans="1:2" x14ac:dyDescent="0.25">
      <c r="A212">
        <v>183</v>
      </c>
      <c r="B212">
        <v>0.22099155675303453</v>
      </c>
    </row>
    <row r="213" spans="1:2" x14ac:dyDescent="0.25">
      <c r="A213">
        <v>184</v>
      </c>
      <c r="B213">
        <v>0.12991931390603165</v>
      </c>
    </row>
    <row r="214" spans="1:2" x14ac:dyDescent="0.25">
      <c r="A214">
        <v>185</v>
      </c>
      <c r="B214">
        <v>0.22797881331373718</v>
      </c>
    </row>
    <row r="215" spans="1:2" x14ac:dyDescent="0.25">
      <c r="A215">
        <v>186</v>
      </c>
      <c r="B215">
        <v>0.17595676589620751</v>
      </c>
    </row>
    <row r="216" spans="1:2" x14ac:dyDescent="0.25">
      <c r="A216">
        <v>187</v>
      </c>
      <c r="B216">
        <v>0.16403018657729584</v>
      </c>
    </row>
    <row r="217" spans="1:2" x14ac:dyDescent="0.25">
      <c r="A217">
        <v>188</v>
      </c>
      <c r="B217">
        <v>0.16220157312993586</v>
      </c>
    </row>
    <row r="218" spans="1:2" x14ac:dyDescent="0.25">
      <c r="A218">
        <v>189</v>
      </c>
      <c r="B218">
        <v>0.47109123420992294</v>
      </c>
    </row>
    <row r="219" spans="1:2" x14ac:dyDescent="0.25">
      <c r="A219">
        <v>190</v>
      </c>
      <c r="B219">
        <v>3.6191098431887905E-2</v>
      </c>
    </row>
    <row r="220" spans="1:2" x14ac:dyDescent="0.25">
      <c r="A220">
        <v>191</v>
      </c>
      <c r="B220">
        <v>6.0944828342536186E-2</v>
      </c>
    </row>
    <row r="221" spans="1:2" x14ac:dyDescent="0.25">
      <c r="A221">
        <v>192</v>
      </c>
      <c r="B221">
        <v>5.0566578174766057E-2</v>
      </c>
    </row>
    <row r="222" spans="1:2" x14ac:dyDescent="0.25">
      <c r="A222">
        <v>193</v>
      </c>
      <c r="B222">
        <v>0.27208873154713065</v>
      </c>
    </row>
    <row r="223" spans="1:2" x14ac:dyDescent="0.25">
      <c r="A223">
        <v>194</v>
      </c>
      <c r="B223">
        <v>0.11597407606997541</v>
      </c>
    </row>
    <row r="224" spans="1:2" x14ac:dyDescent="0.25">
      <c r="A224">
        <v>195</v>
      </c>
      <c r="B224">
        <v>0.16023388342461814</v>
      </c>
    </row>
    <row r="225" spans="1:2" x14ac:dyDescent="0.25">
      <c r="A225">
        <v>196</v>
      </c>
      <c r="B225">
        <v>0.30506445604868881</v>
      </c>
    </row>
    <row r="226" spans="1:2" x14ac:dyDescent="0.25">
      <c r="A226">
        <v>197</v>
      </c>
      <c r="B226">
        <v>7.865784370677821E-2</v>
      </c>
    </row>
    <row r="227" spans="1:2" x14ac:dyDescent="0.25">
      <c r="A227">
        <v>198</v>
      </c>
      <c r="B227">
        <v>0.10550664796611922</v>
      </c>
    </row>
    <row r="228" spans="1:2" x14ac:dyDescent="0.25">
      <c r="A228">
        <v>199</v>
      </c>
      <c r="B228">
        <v>0.18196081930973462</v>
      </c>
    </row>
    <row r="229" spans="1:2" x14ac:dyDescent="0.25">
      <c r="A229">
        <v>200</v>
      </c>
      <c r="B229">
        <v>0.15540401023785372</v>
      </c>
    </row>
    <row r="230" spans="1:2" x14ac:dyDescent="0.25">
      <c r="A230">
        <v>201</v>
      </c>
      <c r="B230">
        <v>5.5497630736793556E-2</v>
      </c>
    </row>
    <row r="231" spans="1:2" x14ac:dyDescent="0.25">
      <c r="A231">
        <v>202</v>
      </c>
      <c r="B231">
        <v>0.63598588148262747</v>
      </c>
    </row>
    <row r="232" spans="1:2" x14ac:dyDescent="0.25">
      <c r="A232">
        <v>203</v>
      </c>
      <c r="B232">
        <v>0.10401181692819729</v>
      </c>
    </row>
    <row r="233" spans="1:2" x14ac:dyDescent="0.25">
      <c r="A233">
        <v>204</v>
      </c>
      <c r="B233">
        <v>0.29879031990014854</v>
      </c>
    </row>
    <row r="234" spans="1:2" x14ac:dyDescent="0.25">
      <c r="A234">
        <v>205</v>
      </c>
      <c r="B234">
        <v>0.2954137153168031</v>
      </c>
    </row>
    <row r="235" spans="1:2" x14ac:dyDescent="0.25">
      <c r="A235">
        <v>206</v>
      </c>
      <c r="B235">
        <v>0.35475774742012245</v>
      </c>
    </row>
    <row r="236" spans="1:2" x14ac:dyDescent="0.25">
      <c r="A236">
        <v>207</v>
      </c>
      <c r="B236">
        <v>0.264893067608309</v>
      </c>
    </row>
    <row r="237" spans="1:2" x14ac:dyDescent="0.25">
      <c r="A237">
        <v>208</v>
      </c>
      <c r="B237">
        <v>5.2689598047493E-2</v>
      </c>
    </row>
    <row r="238" spans="1:2" x14ac:dyDescent="0.25">
      <c r="A238">
        <v>209</v>
      </c>
      <c r="B238">
        <v>0.16891521144368168</v>
      </c>
    </row>
    <row r="239" spans="1:2" x14ac:dyDescent="0.25">
      <c r="A239">
        <v>210</v>
      </c>
      <c r="B239">
        <v>6.4833035055607738E-2</v>
      </c>
    </row>
    <row r="240" spans="1:2" x14ac:dyDescent="0.25">
      <c r="A240">
        <v>211</v>
      </c>
      <c r="B240">
        <v>0.18072395169955965</v>
      </c>
    </row>
    <row r="241" spans="1:2" x14ac:dyDescent="0.25">
      <c r="A241">
        <v>212</v>
      </c>
      <c r="B241">
        <v>0.2756761871790912</v>
      </c>
    </row>
    <row r="242" spans="1:2" x14ac:dyDescent="0.25">
      <c r="A242">
        <v>213</v>
      </c>
      <c r="B242">
        <v>0.15787860052610184</v>
      </c>
    </row>
    <row r="243" spans="1:2" x14ac:dyDescent="0.25">
      <c r="A243">
        <v>214</v>
      </c>
      <c r="B243">
        <v>0.11535813819288473</v>
      </c>
    </row>
    <row r="244" spans="1:2" x14ac:dyDescent="0.25">
      <c r="A244">
        <v>215</v>
      </c>
      <c r="B244">
        <v>0.21532760717042257</v>
      </c>
    </row>
    <row r="245" spans="1:2" x14ac:dyDescent="0.25">
      <c r="A245">
        <v>216</v>
      </c>
      <c r="B245">
        <v>9.1971546874615576E-2</v>
      </c>
    </row>
    <row r="246" spans="1:2" x14ac:dyDescent="0.25">
      <c r="A246">
        <v>217</v>
      </c>
      <c r="B246">
        <v>0.38588587830144166</v>
      </c>
    </row>
    <row r="247" spans="1:2" x14ac:dyDescent="0.25">
      <c r="A247">
        <v>218</v>
      </c>
      <c r="B247">
        <v>0.18769889654281219</v>
      </c>
    </row>
    <row r="248" spans="1:2" x14ac:dyDescent="0.25">
      <c r="A248">
        <v>219</v>
      </c>
      <c r="B248">
        <v>0.40542275437219211</v>
      </c>
    </row>
    <row r="249" spans="1:2" x14ac:dyDescent="0.25">
      <c r="A249">
        <v>220</v>
      </c>
      <c r="B249">
        <v>0.19014372635349544</v>
      </c>
    </row>
    <row r="250" spans="1:2" x14ac:dyDescent="0.25">
      <c r="A250">
        <v>221</v>
      </c>
      <c r="B250">
        <v>0.18254803724107249</v>
      </c>
    </row>
    <row r="251" spans="1:2" x14ac:dyDescent="0.25">
      <c r="A251">
        <v>222</v>
      </c>
      <c r="B251">
        <v>6.1971939897798471E-2</v>
      </c>
    </row>
    <row r="252" spans="1:2" x14ac:dyDescent="0.25">
      <c r="A252">
        <v>223</v>
      </c>
      <c r="B252">
        <v>0.15376486936198214</v>
      </c>
    </row>
    <row r="253" spans="1:2" x14ac:dyDescent="0.25">
      <c r="A253">
        <v>224</v>
      </c>
      <c r="B253">
        <v>0.27385897001882781</v>
      </c>
    </row>
    <row r="254" spans="1:2" x14ac:dyDescent="0.25">
      <c r="A254">
        <v>225</v>
      </c>
      <c r="B254">
        <v>0.11904833444536983</v>
      </c>
    </row>
    <row r="255" spans="1:2" x14ac:dyDescent="0.25">
      <c r="A255">
        <v>226</v>
      </c>
      <c r="B255">
        <v>7.1090269342723375E-2</v>
      </c>
    </row>
    <row r="256" spans="1:2" x14ac:dyDescent="0.25">
      <c r="A256">
        <v>227</v>
      </c>
      <c r="B256">
        <v>0.27048717760416924</v>
      </c>
    </row>
    <row r="257" spans="1:2" x14ac:dyDescent="0.25">
      <c r="A257">
        <v>228</v>
      </c>
      <c r="B257">
        <v>0.24032431253594094</v>
      </c>
    </row>
    <row r="258" spans="1:2" x14ac:dyDescent="0.25">
      <c r="A258">
        <v>229</v>
      </c>
      <c r="B258">
        <v>0.20962010449076798</v>
      </c>
    </row>
    <row r="259" spans="1:2" x14ac:dyDescent="0.25">
      <c r="A259">
        <v>230</v>
      </c>
      <c r="B259">
        <v>4.0430488817997975E-2</v>
      </c>
    </row>
    <row r="260" spans="1:2" x14ac:dyDescent="0.25">
      <c r="A260">
        <v>231</v>
      </c>
      <c r="B260">
        <v>0.14720197506094002</v>
      </c>
    </row>
    <row r="261" spans="1:2" x14ac:dyDescent="0.25">
      <c r="A261">
        <v>232</v>
      </c>
      <c r="B261">
        <v>0.13701431422556046</v>
      </c>
    </row>
    <row r="262" spans="1:2" x14ac:dyDescent="0.25">
      <c r="A262">
        <v>233</v>
      </c>
      <c r="B262">
        <v>0.14389849244533454</v>
      </c>
    </row>
    <row r="263" spans="1:2" x14ac:dyDescent="0.25">
      <c r="A263">
        <v>234</v>
      </c>
      <c r="B263">
        <v>0.19877069507633569</v>
      </c>
    </row>
    <row r="264" spans="1:2" x14ac:dyDescent="0.25">
      <c r="A264">
        <v>235</v>
      </c>
      <c r="B264">
        <v>6.5482229436714418E-2</v>
      </c>
    </row>
    <row r="265" spans="1:2" x14ac:dyDescent="0.25">
      <c r="A265">
        <v>236</v>
      </c>
      <c r="B265">
        <v>7.3123526071298878E-2</v>
      </c>
    </row>
    <row r="266" spans="1:2" x14ac:dyDescent="0.25">
      <c r="A266">
        <v>237</v>
      </c>
      <c r="B266">
        <v>0.19584785176074221</v>
      </c>
    </row>
    <row r="267" spans="1:2" x14ac:dyDescent="0.25">
      <c r="A267">
        <v>238</v>
      </c>
      <c r="B267">
        <v>0.19421498080719807</v>
      </c>
    </row>
    <row r="268" spans="1:2" x14ac:dyDescent="0.25">
      <c r="A268">
        <v>239</v>
      </c>
      <c r="B268">
        <v>0.21469128767541026</v>
      </c>
    </row>
    <row r="269" spans="1:2" x14ac:dyDescent="0.25">
      <c r="A269">
        <v>240</v>
      </c>
      <c r="B269">
        <v>0.28965465045870226</v>
      </c>
    </row>
    <row r="270" spans="1:2" x14ac:dyDescent="0.25">
      <c r="A270">
        <v>241</v>
      </c>
      <c r="B270">
        <v>9.5093818286317855E-2</v>
      </c>
    </row>
    <row r="271" spans="1:2" x14ac:dyDescent="0.25">
      <c r="A271">
        <v>242</v>
      </c>
      <c r="B271">
        <v>0.4098208802016669</v>
      </c>
    </row>
    <row r="272" spans="1:2" x14ac:dyDescent="0.25">
      <c r="A272">
        <v>243</v>
      </c>
      <c r="B272">
        <v>0.32702049598075494</v>
      </c>
    </row>
    <row r="273" spans="1:2" x14ac:dyDescent="0.25">
      <c r="A273">
        <v>244</v>
      </c>
      <c r="B273">
        <v>0.13346596309471198</v>
      </c>
    </row>
    <row r="274" spans="1:2" x14ac:dyDescent="0.25">
      <c r="A274">
        <v>245</v>
      </c>
      <c r="B274">
        <v>0.18002857415292547</v>
      </c>
    </row>
    <row r="275" spans="1:2" x14ac:dyDescent="0.25">
      <c r="A275">
        <v>246</v>
      </c>
      <c r="B275">
        <v>0.29695236269574737</v>
      </c>
    </row>
    <row r="276" spans="1:2" x14ac:dyDescent="0.25">
      <c r="A276">
        <v>247</v>
      </c>
      <c r="B276">
        <v>0.14951558248731095</v>
      </c>
    </row>
    <row r="277" spans="1:2" x14ac:dyDescent="0.25">
      <c r="A277">
        <v>248</v>
      </c>
      <c r="B277">
        <v>9.1668526199827668E-2</v>
      </c>
    </row>
    <row r="278" spans="1:2" x14ac:dyDescent="0.25">
      <c r="A278">
        <v>249</v>
      </c>
      <c r="B278">
        <v>0.10582650765883417</v>
      </c>
    </row>
    <row r="279" spans="1:2" x14ac:dyDescent="0.25">
      <c r="A279">
        <v>250</v>
      </c>
      <c r="B279">
        <v>0.18028404135803799</v>
      </c>
    </row>
    <row r="280" spans="1:2" x14ac:dyDescent="0.25">
      <c r="A280">
        <v>251</v>
      </c>
      <c r="B280">
        <v>0.29270594356136315</v>
      </c>
    </row>
    <row r="281" spans="1:2" x14ac:dyDescent="0.25">
      <c r="A281">
        <v>252</v>
      </c>
      <c r="B281">
        <v>0.34072141999209804</v>
      </c>
    </row>
    <row r="282" spans="1:2" x14ac:dyDescent="0.25">
      <c r="A282">
        <v>253</v>
      </c>
      <c r="B282">
        <v>0.21504054842730147</v>
      </c>
    </row>
    <row r="283" spans="1:2" x14ac:dyDescent="0.25">
      <c r="A283">
        <v>254</v>
      </c>
      <c r="B283">
        <v>0.16341486106633998</v>
      </c>
    </row>
    <row r="284" spans="1:2" x14ac:dyDescent="0.25">
      <c r="A284">
        <v>255</v>
      </c>
      <c r="B284">
        <v>8.6770488770750151E-2</v>
      </c>
    </row>
    <row r="285" spans="1:2" x14ac:dyDescent="0.25">
      <c r="A285">
        <v>256</v>
      </c>
      <c r="B285">
        <v>0.10182747568150388</v>
      </c>
    </row>
    <row r="286" spans="1:2" x14ac:dyDescent="0.25">
      <c r="A286">
        <v>257</v>
      </c>
      <c r="B286">
        <v>8.6171040362790163E-2</v>
      </c>
    </row>
    <row r="287" spans="1:2" x14ac:dyDescent="0.25">
      <c r="A287">
        <v>258</v>
      </c>
      <c r="B287">
        <v>0.43787975723260447</v>
      </c>
    </row>
    <row r="288" spans="1:2" x14ac:dyDescent="0.25">
      <c r="A288">
        <v>259</v>
      </c>
      <c r="B288">
        <v>0.28777616588015936</v>
      </c>
    </row>
    <row r="289" spans="1:2" x14ac:dyDescent="0.25">
      <c r="A289">
        <v>260</v>
      </c>
      <c r="B289">
        <v>0.20938911041438668</v>
      </c>
    </row>
    <row r="290" spans="1:2" x14ac:dyDescent="0.25">
      <c r="A290">
        <v>261</v>
      </c>
      <c r="B290">
        <v>2.5814403504769382E-2</v>
      </c>
    </row>
    <row r="291" spans="1:2" x14ac:dyDescent="0.25">
      <c r="A291">
        <v>262</v>
      </c>
      <c r="B291">
        <v>0.17323021981684195</v>
      </c>
    </row>
    <row r="292" spans="1:2" x14ac:dyDescent="0.25">
      <c r="A292">
        <v>263</v>
      </c>
      <c r="B292">
        <v>0.30744992247189651</v>
      </c>
    </row>
    <row r="293" spans="1:2" x14ac:dyDescent="0.25">
      <c r="A293">
        <v>264</v>
      </c>
      <c r="B293">
        <v>0.3321872294892923</v>
      </c>
    </row>
    <row r="294" spans="1:2" x14ac:dyDescent="0.25">
      <c r="A294">
        <v>265</v>
      </c>
      <c r="B294">
        <v>0.2243813153423346</v>
      </c>
    </row>
    <row r="295" spans="1:2" x14ac:dyDescent="0.25">
      <c r="A295">
        <v>266</v>
      </c>
      <c r="B295">
        <v>0.16676879462311317</v>
      </c>
    </row>
    <row r="296" spans="1:2" x14ac:dyDescent="0.25">
      <c r="A296">
        <v>267</v>
      </c>
      <c r="B296">
        <v>0.78033651592671016</v>
      </c>
    </row>
    <row r="297" spans="1:2" x14ac:dyDescent="0.25">
      <c r="A297">
        <v>268</v>
      </c>
      <c r="B297">
        <v>0.32559813871613524</v>
      </c>
    </row>
    <row r="298" spans="1:2" x14ac:dyDescent="0.25">
      <c r="A298">
        <v>269</v>
      </c>
      <c r="B298">
        <v>0.24646153922204778</v>
      </c>
    </row>
    <row r="299" spans="1:2" x14ac:dyDescent="0.25">
      <c r="A299">
        <v>270</v>
      </c>
      <c r="B299">
        <v>8.19041555208843E-2</v>
      </c>
    </row>
    <row r="300" spans="1:2" x14ac:dyDescent="0.25">
      <c r="A300">
        <v>271</v>
      </c>
      <c r="B300">
        <v>0.12728026568564443</v>
      </c>
    </row>
    <row r="301" spans="1:2" x14ac:dyDescent="0.25">
      <c r="A301">
        <v>272</v>
      </c>
      <c r="B301">
        <v>7.5157155762176672E-2</v>
      </c>
    </row>
    <row r="302" spans="1:2" x14ac:dyDescent="0.25">
      <c r="A302">
        <v>273</v>
      </c>
      <c r="B302">
        <v>0.31516664121976223</v>
      </c>
    </row>
    <row r="303" spans="1:2" x14ac:dyDescent="0.25">
      <c r="A303">
        <v>274</v>
      </c>
      <c r="B303">
        <v>0.16137277660631733</v>
      </c>
    </row>
    <row r="304" spans="1:2" x14ac:dyDescent="0.25">
      <c r="A304">
        <v>275</v>
      </c>
      <c r="B304">
        <v>0.37881276469367076</v>
      </c>
    </row>
    <row r="305" spans="1:2" x14ac:dyDescent="0.25">
      <c r="A305">
        <v>276</v>
      </c>
      <c r="B305">
        <v>0.21751222190602298</v>
      </c>
    </row>
    <row r="306" spans="1:2" x14ac:dyDescent="0.25">
      <c r="A306">
        <v>277</v>
      </c>
      <c r="B306">
        <v>0.31149337468184446</v>
      </c>
    </row>
    <row r="307" spans="1:2" x14ac:dyDescent="0.25">
      <c r="A307">
        <v>278</v>
      </c>
      <c r="B307">
        <v>4.3032684831917835E-2</v>
      </c>
    </row>
    <row r="308" spans="1:2" x14ac:dyDescent="0.25">
      <c r="A308">
        <v>279</v>
      </c>
      <c r="B308">
        <v>8.8039055393606902E-2</v>
      </c>
    </row>
    <row r="309" spans="1:2" x14ac:dyDescent="0.25">
      <c r="A309">
        <v>280</v>
      </c>
      <c r="B309">
        <v>9.8258182994650917E-2</v>
      </c>
    </row>
    <row r="310" spans="1:2" x14ac:dyDescent="0.25">
      <c r="A310">
        <v>281</v>
      </c>
      <c r="B310">
        <v>0.10987276771075445</v>
      </c>
    </row>
    <row r="311" spans="1:2" x14ac:dyDescent="0.25">
      <c r="A311">
        <v>282</v>
      </c>
      <c r="B311">
        <v>0.21984701201769899</v>
      </c>
    </row>
    <row r="312" spans="1:2" x14ac:dyDescent="0.25">
      <c r="A312">
        <v>283</v>
      </c>
      <c r="B312">
        <v>0.30477573561178162</v>
      </c>
    </row>
    <row r="313" spans="1:2" x14ac:dyDescent="0.25">
      <c r="A313">
        <v>284</v>
      </c>
      <c r="B313">
        <v>0.21645480420124349</v>
      </c>
    </row>
    <row r="314" spans="1:2" x14ac:dyDescent="0.25">
      <c r="A314">
        <v>285</v>
      </c>
      <c r="B314">
        <v>0.103310969248801</v>
      </c>
    </row>
    <row r="315" spans="1:2" x14ac:dyDescent="0.25">
      <c r="A315">
        <v>286</v>
      </c>
      <c r="B315">
        <v>7.9938526627269371E-2</v>
      </c>
    </row>
    <row r="316" spans="1:2" x14ac:dyDescent="0.25">
      <c r="A316">
        <v>287</v>
      </c>
      <c r="B316">
        <v>0.37391456429841546</v>
      </c>
    </row>
    <row r="317" spans="1:2" x14ac:dyDescent="0.25">
      <c r="A317">
        <v>288</v>
      </c>
      <c r="B317">
        <v>0.24881715192110654</v>
      </c>
    </row>
    <row r="318" spans="1:2" x14ac:dyDescent="0.25">
      <c r="A318">
        <v>289</v>
      </c>
      <c r="B318">
        <v>0.25088384117213181</v>
      </c>
    </row>
    <row r="319" spans="1:2" x14ac:dyDescent="0.25">
      <c r="A319">
        <v>290</v>
      </c>
      <c r="B319">
        <v>0.25349210578346376</v>
      </c>
    </row>
    <row r="320" spans="1:2" x14ac:dyDescent="0.25">
      <c r="A320">
        <v>291</v>
      </c>
      <c r="B320">
        <v>0.18354211449644012</v>
      </c>
    </row>
    <row r="321" spans="1:2" x14ac:dyDescent="0.25">
      <c r="A321">
        <v>292</v>
      </c>
      <c r="B321">
        <v>0.10180331013536564</v>
      </c>
    </row>
    <row r="322" spans="1:2" x14ac:dyDescent="0.25">
      <c r="A322">
        <v>293</v>
      </c>
      <c r="B322">
        <v>0.28749106476626463</v>
      </c>
    </row>
    <row r="323" spans="1:2" x14ac:dyDescent="0.25">
      <c r="A323">
        <v>294</v>
      </c>
      <c r="B323">
        <v>0.31385414141401485</v>
      </c>
    </row>
    <row r="324" spans="1:2" x14ac:dyDescent="0.25">
      <c r="A324">
        <v>295</v>
      </c>
      <c r="B324">
        <v>0.16204017284177566</v>
      </c>
    </row>
    <row r="325" spans="1:2" x14ac:dyDescent="0.25">
      <c r="A325">
        <v>296</v>
      </c>
      <c r="B325">
        <v>9.8206258256933382E-2</v>
      </c>
    </row>
    <row r="326" spans="1:2" x14ac:dyDescent="0.25">
      <c r="A326">
        <v>297</v>
      </c>
      <c r="B326">
        <v>9.2999611015047959E-2</v>
      </c>
    </row>
    <row r="327" spans="1:2" x14ac:dyDescent="0.25">
      <c r="A327">
        <v>298</v>
      </c>
      <c r="B327">
        <v>0.29190386784718658</v>
      </c>
    </row>
    <row r="328" spans="1:2" x14ac:dyDescent="0.25">
      <c r="A328">
        <v>299</v>
      </c>
      <c r="B328">
        <v>0.23607243842360445</v>
      </c>
    </row>
    <row r="329" spans="1:2" x14ac:dyDescent="0.25">
      <c r="A329">
        <v>300</v>
      </c>
      <c r="B329">
        <v>0.36440105518000304</v>
      </c>
    </row>
    <row r="330" spans="1:2" x14ac:dyDescent="0.25">
      <c r="A330">
        <v>301</v>
      </c>
      <c r="B330">
        <v>0.26413999733988536</v>
      </c>
    </row>
    <row r="331" spans="1:2" x14ac:dyDescent="0.25">
      <c r="A331">
        <v>302</v>
      </c>
      <c r="B331">
        <v>9.5430591258957059E-2</v>
      </c>
    </row>
    <row r="332" spans="1:2" x14ac:dyDescent="0.25">
      <c r="A332">
        <v>303</v>
      </c>
      <c r="B332">
        <v>5.9377485579693551E-2</v>
      </c>
    </row>
    <row r="333" spans="1:2" x14ac:dyDescent="0.25">
      <c r="A333">
        <v>304</v>
      </c>
      <c r="B333">
        <v>0.2423162452850437</v>
      </c>
    </row>
    <row r="334" spans="1:2" x14ac:dyDescent="0.25">
      <c r="A334">
        <v>305</v>
      </c>
      <c r="B334">
        <v>0.43786777688606027</v>
      </c>
    </row>
    <row r="335" spans="1:2" x14ac:dyDescent="0.25">
      <c r="A335">
        <v>306</v>
      </c>
      <c r="B335">
        <v>0.15060487660498129</v>
      </c>
    </row>
    <row r="336" spans="1:2" x14ac:dyDescent="0.25">
      <c r="A336">
        <v>307</v>
      </c>
      <c r="B336">
        <v>0.11984001743600867</v>
      </c>
    </row>
    <row r="337" spans="1:2" x14ac:dyDescent="0.25">
      <c r="A337">
        <v>308</v>
      </c>
      <c r="B337">
        <v>0.30980352815105783</v>
      </c>
    </row>
    <row r="338" spans="1:2" x14ac:dyDescent="0.25">
      <c r="A338">
        <v>309</v>
      </c>
      <c r="B338">
        <v>0.2340846911592481</v>
      </c>
    </row>
    <row r="339" spans="1:2" x14ac:dyDescent="0.25">
      <c r="A339">
        <v>310</v>
      </c>
      <c r="B339">
        <v>0.35887582107690708</v>
      </c>
    </row>
    <row r="340" spans="1:2" x14ac:dyDescent="0.25">
      <c r="A340">
        <v>311</v>
      </c>
      <c r="B340">
        <v>0.20684386155653151</v>
      </c>
    </row>
    <row r="341" spans="1:2" x14ac:dyDescent="0.25">
      <c r="A341">
        <v>312</v>
      </c>
      <c r="B341">
        <v>0.13589659093631132</v>
      </c>
    </row>
    <row r="342" spans="1:2" x14ac:dyDescent="0.25">
      <c r="A342">
        <v>313</v>
      </c>
      <c r="B342">
        <v>0.16035137692035223</v>
      </c>
    </row>
    <row r="343" spans="1:2" x14ac:dyDescent="0.25">
      <c r="A343">
        <v>314</v>
      </c>
      <c r="B343">
        <v>0.60985428033839362</v>
      </c>
    </row>
    <row r="344" spans="1:2" x14ac:dyDescent="0.25">
      <c r="A344">
        <v>315</v>
      </c>
      <c r="B344">
        <v>0.15868610573696393</v>
      </c>
    </row>
    <row r="345" spans="1:2" x14ac:dyDescent="0.25">
      <c r="A345">
        <v>316</v>
      </c>
      <c r="B345">
        <v>0.30929536495475296</v>
      </c>
    </row>
    <row r="346" spans="1:2" x14ac:dyDescent="0.25">
      <c r="A346">
        <v>317</v>
      </c>
      <c r="B346">
        <v>6.5675731132894016E-2</v>
      </c>
    </row>
    <row r="347" spans="1:2" x14ac:dyDescent="0.25">
      <c r="A347">
        <v>318</v>
      </c>
      <c r="B347">
        <v>9.4101438393981343E-2</v>
      </c>
    </row>
    <row r="348" spans="1:2" x14ac:dyDescent="0.25">
      <c r="A348">
        <v>319</v>
      </c>
      <c r="B348">
        <v>0.24650257780018855</v>
      </c>
    </row>
    <row r="349" spans="1:2" x14ac:dyDescent="0.25">
      <c r="A349">
        <v>320</v>
      </c>
      <c r="B349">
        <v>9.111964260483886E-2</v>
      </c>
    </row>
    <row r="350" spans="1:2" x14ac:dyDescent="0.25">
      <c r="A350">
        <v>321</v>
      </c>
      <c r="B350">
        <v>0.17364634105465332</v>
      </c>
    </row>
    <row r="351" spans="1:2" x14ac:dyDescent="0.25">
      <c r="A351">
        <v>322</v>
      </c>
      <c r="B351">
        <v>0.27388931207914258</v>
      </c>
    </row>
    <row r="352" spans="1:2" x14ac:dyDescent="0.25">
      <c r="A352">
        <v>323</v>
      </c>
      <c r="B352">
        <v>0.52530101751279146</v>
      </c>
    </row>
    <row r="353" spans="1:2" x14ac:dyDescent="0.25">
      <c r="A353">
        <v>324</v>
      </c>
      <c r="B353">
        <v>0.19441951744744956</v>
      </c>
    </row>
    <row r="354" spans="1:2" x14ac:dyDescent="0.25">
      <c r="A354">
        <v>325</v>
      </c>
      <c r="B354">
        <v>0.22140075540992546</v>
      </c>
    </row>
    <row r="355" spans="1:2" x14ac:dyDescent="0.25">
      <c r="A355">
        <v>326</v>
      </c>
      <c r="B355">
        <v>0.13067813300376813</v>
      </c>
    </row>
    <row r="356" spans="1:2" x14ac:dyDescent="0.25">
      <c r="A356">
        <v>327</v>
      </c>
      <c r="B356">
        <v>9.0156203127137152E-2</v>
      </c>
    </row>
    <row r="357" spans="1:2" x14ac:dyDescent="0.25">
      <c r="A357">
        <v>328</v>
      </c>
      <c r="B357">
        <v>1.3181890657965887</v>
      </c>
    </row>
    <row r="358" spans="1:2" x14ac:dyDescent="0.25">
      <c r="A358">
        <v>329</v>
      </c>
      <c r="B358">
        <v>0.14600078977020364</v>
      </c>
    </row>
    <row r="359" spans="1:2" x14ac:dyDescent="0.25">
      <c r="A359">
        <v>330</v>
      </c>
      <c r="B359">
        <v>0.16484128899612566</v>
      </c>
    </row>
    <row r="360" spans="1:2" x14ac:dyDescent="0.25">
      <c r="A360">
        <v>331</v>
      </c>
      <c r="B360">
        <v>0.16393845695513659</v>
      </c>
    </row>
    <row r="361" spans="1:2" x14ac:dyDescent="0.25">
      <c r="A361">
        <v>332</v>
      </c>
      <c r="B361">
        <v>7.0596955689352953E-2</v>
      </c>
    </row>
    <row r="362" spans="1:2" x14ac:dyDescent="0.25">
      <c r="A362">
        <v>333</v>
      </c>
      <c r="B362">
        <v>6.4129036805599615E-2</v>
      </c>
    </row>
    <row r="363" spans="1:2" x14ac:dyDescent="0.25">
      <c r="A363">
        <v>334</v>
      </c>
      <c r="B363">
        <v>0.1940333913071591</v>
      </c>
    </row>
    <row r="364" spans="1:2" x14ac:dyDescent="0.25">
      <c r="A364">
        <v>335</v>
      </c>
      <c r="B364">
        <v>0.27606864181824914</v>
      </c>
    </row>
    <row r="365" spans="1:2" x14ac:dyDescent="0.25">
      <c r="A365">
        <v>336</v>
      </c>
      <c r="B365">
        <v>0.37211588416241459</v>
      </c>
    </row>
    <row r="366" spans="1:2" x14ac:dyDescent="0.25">
      <c r="A366">
        <v>337</v>
      </c>
      <c r="B366">
        <v>0.39836950938208104</v>
      </c>
    </row>
    <row r="367" spans="1:2" x14ac:dyDescent="0.25">
      <c r="A367">
        <v>338</v>
      </c>
      <c r="B367">
        <v>0.11635216032234956</v>
      </c>
    </row>
    <row r="368" spans="1:2" x14ac:dyDescent="0.25">
      <c r="A368">
        <v>339</v>
      </c>
      <c r="B368">
        <v>0.3341337273166351</v>
      </c>
    </row>
    <row r="369" spans="1:2" x14ac:dyDescent="0.25">
      <c r="A369">
        <v>340</v>
      </c>
      <c r="B369">
        <v>0.1574766180545189</v>
      </c>
    </row>
    <row r="370" spans="1:2" x14ac:dyDescent="0.25">
      <c r="A370">
        <v>341</v>
      </c>
      <c r="B370">
        <v>0.21521311493117018</v>
      </c>
    </row>
    <row r="371" spans="1:2" x14ac:dyDescent="0.25">
      <c r="A371">
        <v>342</v>
      </c>
      <c r="B371">
        <v>0.34970903889043253</v>
      </c>
    </row>
    <row r="372" spans="1:2" x14ac:dyDescent="0.25">
      <c r="A372">
        <v>343</v>
      </c>
      <c r="B372">
        <v>0.12592351075045766</v>
      </c>
    </row>
    <row r="373" spans="1:2" x14ac:dyDescent="0.25">
      <c r="A373">
        <v>344</v>
      </c>
      <c r="B373">
        <v>0.17510094488591788</v>
      </c>
    </row>
    <row r="374" spans="1:2" x14ac:dyDescent="0.25">
      <c r="A374">
        <v>345</v>
      </c>
      <c r="B374">
        <v>0.19992238722723527</v>
      </c>
    </row>
    <row r="375" spans="1:2" x14ac:dyDescent="0.25">
      <c r="A375">
        <v>346</v>
      </c>
      <c r="B375">
        <v>0.12508139638652396</v>
      </c>
    </row>
    <row r="376" spans="1:2" x14ac:dyDescent="0.25">
      <c r="A376">
        <v>347</v>
      </c>
      <c r="B376">
        <v>0.18730683637560744</v>
      </c>
    </row>
    <row r="377" spans="1:2" x14ac:dyDescent="0.25">
      <c r="A377">
        <v>348</v>
      </c>
      <c r="B377">
        <v>0.16450888528304697</v>
      </c>
    </row>
    <row r="378" spans="1:2" x14ac:dyDescent="0.25">
      <c r="A378">
        <v>349</v>
      </c>
      <c r="B378">
        <v>0.27880003474169524</v>
      </c>
    </row>
    <row r="379" spans="1:2" x14ac:dyDescent="0.25">
      <c r="A379">
        <v>350</v>
      </c>
      <c r="B379">
        <v>0.4301057199375467</v>
      </c>
    </row>
    <row r="380" spans="1:2" x14ac:dyDescent="0.25">
      <c r="A380">
        <v>351</v>
      </c>
      <c r="B380">
        <v>0.15496833656723558</v>
      </c>
    </row>
    <row r="381" spans="1:2" x14ac:dyDescent="0.25">
      <c r="A381">
        <v>352</v>
      </c>
      <c r="B381">
        <v>0.10975369994152394</v>
      </c>
    </row>
    <row r="382" spans="1:2" x14ac:dyDescent="0.25">
      <c r="A382">
        <v>353</v>
      </c>
      <c r="B382">
        <v>0.34533320921966976</v>
      </c>
    </row>
    <row r="383" spans="1:2" x14ac:dyDescent="0.25">
      <c r="A383">
        <v>354</v>
      </c>
      <c r="B383">
        <v>7.0560226325639269E-2</v>
      </c>
    </row>
    <row r="384" spans="1:2" x14ac:dyDescent="0.25">
      <c r="A384">
        <v>355</v>
      </c>
      <c r="B384">
        <v>0.15042623090783178</v>
      </c>
    </row>
    <row r="385" spans="1:2" x14ac:dyDescent="0.25">
      <c r="A385">
        <v>356</v>
      </c>
      <c r="B385">
        <v>0.23212012990227229</v>
      </c>
    </row>
    <row r="386" spans="1:2" x14ac:dyDescent="0.25">
      <c r="A386">
        <v>357</v>
      </c>
      <c r="B386">
        <v>0.12364062727252387</v>
      </c>
    </row>
    <row r="387" spans="1:2" x14ac:dyDescent="0.25">
      <c r="A387">
        <v>358</v>
      </c>
      <c r="B387">
        <v>0.23292722829613638</v>
      </c>
    </row>
    <row r="388" spans="1:2" x14ac:dyDescent="0.25">
      <c r="A388">
        <v>359</v>
      </c>
      <c r="B388">
        <v>0.39400041042221012</v>
      </c>
    </row>
    <row r="389" spans="1:2" x14ac:dyDescent="0.25">
      <c r="A389">
        <v>360</v>
      </c>
      <c r="B389">
        <v>0.20244641950951983</v>
      </c>
    </row>
    <row r="390" spans="1:2" x14ac:dyDescent="0.25">
      <c r="A390">
        <v>361</v>
      </c>
      <c r="B390">
        <v>7.8841468464631664E-2</v>
      </c>
    </row>
    <row r="391" spans="1:2" x14ac:dyDescent="0.25">
      <c r="A391">
        <v>362</v>
      </c>
      <c r="B391">
        <v>0.18244637201116987</v>
      </c>
    </row>
    <row r="392" spans="1:2" x14ac:dyDescent="0.25">
      <c r="A392">
        <v>363</v>
      </c>
      <c r="B392">
        <v>0.12969168627711378</v>
      </c>
    </row>
    <row r="393" spans="1:2" x14ac:dyDescent="0.25">
      <c r="A393">
        <v>364</v>
      </c>
      <c r="B393">
        <v>0.20797940163582082</v>
      </c>
    </row>
    <row r="394" spans="1:2" x14ac:dyDescent="0.25">
      <c r="A394">
        <v>365</v>
      </c>
      <c r="B394">
        <v>0.17073444926712777</v>
      </c>
    </row>
    <row r="395" spans="1:2" x14ac:dyDescent="0.25">
      <c r="A395">
        <v>366</v>
      </c>
      <c r="B395">
        <v>0.30782847400770974</v>
      </c>
    </row>
    <row r="396" spans="1:2" x14ac:dyDescent="0.25">
      <c r="A396">
        <v>367</v>
      </c>
      <c r="B396">
        <v>0.10134357979198523</v>
      </c>
    </row>
    <row r="397" spans="1:2" x14ac:dyDescent="0.25">
      <c r="A397">
        <v>368</v>
      </c>
      <c r="B397">
        <v>0.17731645419232073</v>
      </c>
    </row>
    <row r="398" spans="1:2" x14ac:dyDescent="0.25">
      <c r="A398">
        <v>369</v>
      </c>
      <c r="B398">
        <v>0.15899550416882005</v>
      </c>
    </row>
    <row r="399" spans="1:2" x14ac:dyDescent="0.25">
      <c r="A399">
        <v>370</v>
      </c>
      <c r="B399">
        <v>0.13380005481343224</v>
      </c>
    </row>
    <row r="400" spans="1:2" x14ac:dyDescent="0.25">
      <c r="A400">
        <v>371</v>
      </c>
      <c r="B400">
        <v>4.913415256319429E-2</v>
      </c>
    </row>
    <row r="401" spans="1:2" x14ac:dyDescent="0.25">
      <c r="A401">
        <v>372</v>
      </c>
      <c r="B401">
        <v>0.13489334062821173</v>
      </c>
    </row>
    <row r="402" spans="1:2" x14ac:dyDescent="0.25">
      <c r="A402">
        <v>373</v>
      </c>
      <c r="B402">
        <v>5.5075421425978606E-2</v>
      </c>
    </row>
    <row r="403" spans="1:2" x14ac:dyDescent="0.25">
      <c r="A403">
        <v>374</v>
      </c>
      <c r="B403">
        <v>0.10477791973863193</v>
      </c>
    </row>
    <row r="404" spans="1:2" x14ac:dyDescent="0.25">
      <c r="A404">
        <v>375</v>
      </c>
      <c r="B404">
        <v>0.25452201163989652</v>
      </c>
    </row>
    <row r="405" spans="1:2" x14ac:dyDescent="0.25">
      <c r="A405">
        <v>376</v>
      </c>
      <c r="B405">
        <v>5.8276694704984276E-2</v>
      </c>
    </row>
    <row r="406" spans="1:2" x14ac:dyDescent="0.25">
      <c r="A406">
        <v>377</v>
      </c>
      <c r="B406">
        <v>0.21013027803928644</v>
      </c>
    </row>
    <row r="407" spans="1:2" x14ac:dyDescent="0.25">
      <c r="A407">
        <v>378</v>
      </c>
      <c r="B407">
        <v>0.31520097145035375</v>
      </c>
    </row>
    <row r="408" spans="1:2" x14ac:dyDescent="0.25">
      <c r="A408">
        <v>379</v>
      </c>
      <c r="B408">
        <v>0.37335368649865203</v>
      </c>
    </row>
    <row r="409" spans="1:2" x14ac:dyDescent="0.25">
      <c r="A409">
        <v>380</v>
      </c>
      <c r="B409">
        <v>0.13366501876339015</v>
      </c>
    </row>
    <row r="410" spans="1:2" x14ac:dyDescent="0.25">
      <c r="A410">
        <v>381</v>
      </c>
      <c r="B410">
        <v>0.17412014827125322</v>
      </c>
    </row>
    <row r="411" spans="1:2" x14ac:dyDescent="0.25">
      <c r="A411">
        <v>382</v>
      </c>
      <c r="B411">
        <v>0.27014784388272328</v>
      </c>
    </row>
    <row r="412" spans="1:2" x14ac:dyDescent="0.25">
      <c r="A412">
        <v>383</v>
      </c>
      <c r="B412">
        <v>1.3323507961849019</v>
      </c>
    </row>
    <row r="413" spans="1:2" x14ac:dyDescent="0.25">
      <c r="A413">
        <v>384</v>
      </c>
      <c r="B413">
        <v>0.10841420784240929</v>
      </c>
    </row>
    <row r="414" spans="1:2" x14ac:dyDescent="0.25">
      <c r="A414">
        <v>385</v>
      </c>
      <c r="B414">
        <v>5.9660882532225054E-2</v>
      </c>
    </row>
    <row r="415" spans="1:2" x14ac:dyDescent="0.25">
      <c r="A415">
        <v>386</v>
      </c>
      <c r="B415">
        <v>0.30366131237037908</v>
      </c>
    </row>
    <row r="416" spans="1:2" x14ac:dyDescent="0.25">
      <c r="A416">
        <v>387</v>
      </c>
      <c r="B416">
        <v>0.16470221753128597</v>
      </c>
    </row>
    <row r="417" spans="1:2" x14ac:dyDescent="0.25">
      <c r="A417">
        <v>388</v>
      </c>
      <c r="B417">
        <v>4.3240168768612919E-2</v>
      </c>
    </row>
    <row r="418" spans="1:2" x14ac:dyDescent="0.25">
      <c r="A418">
        <v>389</v>
      </c>
      <c r="B418">
        <v>0.33619535860357758</v>
      </c>
    </row>
    <row r="419" spans="1:2" x14ac:dyDescent="0.25">
      <c r="A419">
        <v>390</v>
      </c>
      <c r="B419">
        <v>0.26688728452909277</v>
      </c>
    </row>
    <row r="420" spans="1:2" x14ac:dyDescent="0.25">
      <c r="A420">
        <v>391</v>
      </c>
      <c r="B420">
        <v>0.51049050954473274</v>
      </c>
    </row>
    <row r="421" spans="1:2" x14ac:dyDescent="0.25">
      <c r="A421">
        <v>392</v>
      </c>
      <c r="B421">
        <v>0.1247257951893378</v>
      </c>
    </row>
    <row r="422" spans="1:2" x14ac:dyDescent="0.25">
      <c r="A422">
        <v>393</v>
      </c>
      <c r="B422">
        <v>6.9286260735829358E-2</v>
      </c>
    </row>
    <row r="423" spans="1:2" x14ac:dyDescent="0.25">
      <c r="A423">
        <v>394</v>
      </c>
      <c r="B423">
        <v>0.13800624228066763</v>
      </c>
    </row>
    <row r="424" spans="1:2" x14ac:dyDescent="0.25">
      <c r="A424">
        <v>395</v>
      </c>
      <c r="B424">
        <v>0.25199243070234734</v>
      </c>
    </row>
    <row r="425" spans="1:2" x14ac:dyDescent="0.25">
      <c r="A425">
        <v>396</v>
      </c>
      <c r="B425">
        <v>3.776944395613642E-2</v>
      </c>
    </row>
    <row r="426" spans="1:2" x14ac:dyDescent="0.25">
      <c r="A426">
        <v>397</v>
      </c>
      <c r="B426">
        <v>0.10362154837065454</v>
      </c>
    </row>
    <row r="427" spans="1:2" x14ac:dyDescent="0.25">
      <c r="A427">
        <v>398</v>
      </c>
      <c r="B427">
        <v>0.13556278995233306</v>
      </c>
    </row>
    <row r="428" spans="1:2" x14ac:dyDescent="0.25">
      <c r="A428">
        <v>399</v>
      </c>
      <c r="B428">
        <v>0.19111246433525608</v>
      </c>
    </row>
    <row r="429" spans="1:2" x14ac:dyDescent="0.25">
      <c r="A429">
        <v>400</v>
      </c>
      <c r="B429">
        <v>8.3758079265561114E-2</v>
      </c>
    </row>
    <row r="430" spans="1:2" x14ac:dyDescent="0.25">
      <c r="A430">
        <v>401</v>
      </c>
      <c r="B430">
        <v>0.29390232569503016</v>
      </c>
    </row>
    <row r="431" spans="1:2" x14ac:dyDescent="0.25">
      <c r="A431">
        <v>402</v>
      </c>
      <c r="B431">
        <v>0.22233993075507394</v>
      </c>
    </row>
    <row r="432" spans="1:2" x14ac:dyDescent="0.25">
      <c r="A432">
        <v>403</v>
      </c>
      <c r="B432">
        <v>0.15503164305727393</v>
      </c>
    </row>
    <row r="433" spans="1:2" x14ac:dyDescent="0.25">
      <c r="A433">
        <v>404</v>
      </c>
      <c r="B433">
        <v>0.10615724250083278</v>
      </c>
    </row>
    <row r="434" spans="1:2" x14ac:dyDescent="0.25">
      <c r="A434">
        <v>405</v>
      </c>
      <c r="B434">
        <v>0.32569393502503868</v>
      </c>
    </row>
    <row r="435" spans="1:2" x14ac:dyDescent="0.25">
      <c r="A435">
        <v>406</v>
      </c>
      <c r="B435">
        <v>0.13584447500810817</v>
      </c>
    </row>
    <row r="436" spans="1:2" x14ac:dyDescent="0.25">
      <c r="A436">
        <v>407</v>
      </c>
      <c r="B436">
        <v>0.12920423420646521</v>
      </c>
    </row>
    <row r="437" spans="1:2" x14ac:dyDescent="0.25">
      <c r="A437">
        <v>408</v>
      </c>
      <c r="B437">
        <v>3.6219822537739269E-2</v>
      </c>
    </row>
    <row r="438" spans="1:2" x14ac:dyDescent="0.25">
      <c r="A438">
        <v>409</v>
      </c>
      <c r="B438">
        <v>0.20258075331412098</v>
      </c>
    </row>
    <row r="439" spans="1:2" x14ac:dyDescent="0.25">
      <c r="A439">
        <v>410</v>
      </c>
      <c r="B439">
        <v>0.17693228146556925</v>
      </c>
    </row>
    <row r="440" spans="1:2" x14ac:dyDescent="0.25">
      <c r="A440">
        <v>411</v>
      </c>
      <c r="B440">
        <v>0.2772119931057368</v>
      </c>
    </row>
    <row r="441" spans="1:2" x14ac:dyDescent="0.25">
      <c r="A441">
        <v>412</v>
      </c>
      <c r="B441">
        <v>0.16806326379835873</v>
      </c>
    </row>
    <row r="442" spans="1:2" x14ac:dyDescent="0.25">
      <c r="A442">
        <v>413</v>
      </c>
      <c r="B442">
        <v>5.834395634724597E-2</v>
      </c>
    </row>
    <row r="443" spans="1:2" x14ac:dyDescent="0.25">
      <c r="A443">
        <v>414</v>
      </c>
      <c r="B443">
        <v>5.2442169548989469E-2</v>
      </c>
    </row>
    <row r="444" spans="1:2" x14ac:dyDescent="0.25">
      <c r="A444">
        <v>415</v>
      </c>
      <c r="B444">
        <v>0.25420091420195234</v>
      </c>
    </row>
    <row r="445" spans="1:2" x14ac:dyDescent="0.25">
      <c r="A445">
        <v>416</v>
      </c>
      <c r="B445">
        <v>0.13480075678146033</v>
      </c>
    </row>
    <row r="446" spans="1:2" x14ac:dyDescent="0.25">
      <c r="A446">
        <v>417</v>
      </c>
      <c r="B446">
        <v>6.6476732861593918E-2</v>
      </c>
    </row>
    <row r="447" spans="1:2" x14ac:dyDescent="0.25">
      <c r="A447">
        <v>418</v>
      </c>
      <c r="B447">
        <v>0.29794883661190003</v>
      </c>
    </row>
    <row r="448" spans="1:2" x14ac:dyDescent="0.25">
      <c r="A448">
        <v>419</v>
      </c>
      <c r="B448">
        <v>0.22487705471373892</v>
      </c>
    </row>
    <row r="449" spans="1:2" x14ac:dyDescent="0.25">
      <c r="A449">
        <v>420</v>
      </c>
      <c r="B449">
        <v>1.3244548398399543</v>
      </c>
    </row>
    <row r="450" spans="1:2" x14ac:dyDescent="0.25">
      <c r="A450">
        <v>421</v>
      </c>
      <c r="B450">
        <v>0.20168917949404674</v>
      </c>
    </row>
    <row r="451" spans="1:2" x14ac:dyDescent="0.25">
      <c r="A451">
        <v>422</v>
      </c>
      <c r="B451">
        <v>0.31324067413504397</v>
      </c>
    </row>
    <row r="452" spans="1:2" x14ac:dyDescent="0.25">
      <c r="A452">
        <v>423</v>
      </c>
      <c r="B452">
        <v>2.0697636593943514E-2</v>
      </c>
    </row>
    <row r="453" spans="1:2" x14ac:dyDescent="0.25">
      <c r="A453">
        <v>424</v>
      </c>
      <c r="B453">
        <v>9.1738065728884086E-2</v>
      </c>
    </row>
    <row r="454" spans="1:2" x14ac:dyDescent="0.25">
      <c r="A454">
        <v>425</v>
      </c>
      <c r="B454">
        <v>7.6985713206927681E-2</v>
      </c>
    </row>
    <row r="455" spans="1:2" x14ac:dyDescent="0.25">
      <c r="A455">
        <v>426</v>
      </c>
      <c r="B455">
        <v>8.0002703007466036E-2</v>
      </c>
    </row>
    <row r="456" spans="1:2" x14ac:dyDescent="0.25">
      <c r="A456">
        <v>427</v>
      </c>
      <c r="B456">
        <v>0.12595765178483498</v>
      </c>
    </row>
    <row r="457" spans="1:2" x14ac:dyDescent="0.25">
      <c r="A457">
        <v>428</v>
      </c>
      <c r="B457">
        <v>0.18596623836626305</v>
      </c>
    </row>
    <row r="458" spans="1:2" x14ac:dyDescent="0.25">
      <c r="A458">
        <v>429</v>
      </c>
      <c r="B458">
        <v>0.1222953139248113</v>
      </c>
    </row>
    <row r="459" spans="1:2" x14ac:dyDescent="0.25">
      <c r="A459">
        <v>430</v>
      </c>
      <c r="B459">
        <v>0.15350518195764853</v>
      </c>
    </row>
    <row r="460" spans="1:2" x14ac:dyDescent="0.25">
      <c r="A460">
        <v>431</v>
      </c>
      <c r="B460">
        <v>0.14235992276052853</v>
      </c>
    </row>
    <row r="461" spans="1:2" x14ac:dyDescent="0.25">
      <c r="A461">
        <v>432</v>
      </c>
      <c r="B461">
        <v>0.15256799268719365</v>
      </c>
    </row>
    <row r="462" spans="1:2" x14ac:dyDescent="0.25">
      <c r="A462">
        <v>433</v>
      </c>
      <c r="B462">
        <v>0.17824019661253476</v>
      </c>
    </row>
    <row r="463" spans="1:2" x14ac:dyDescent="0.25">
      <c r="A463">
        <v>434</v>
      </c>
      <c r="B463">
        <v>0.13952404932077067</v>
      </c>
    </row>
    <row r="464" spans="1:2" x14ac:dyDescent="0.25">
      <c r="A464">
        <v>435</v>
      </c>
      <c r="B464">
        <v>4.6546368200662366E-2</v>
      </c>
    </row>
    <row r="465" spans="1:2" x14ac:dyDescent="0.25">
      <c r="A465">
        <v>436</v>
      </c>
      <c r="B465">
        <v>5.4805686434059121E-2</v>
      </c>
    </row>
    <row r="466" spans="1:2" x14ac:dyDescent="0.25">
      <c r="A466">
        <v>437</v>
      </c>
      <c r="B466">
        <v>0.12315780377586917</v>
      </c>
    </row>
    <row r="467" spans="1:2" x14ac:dyDescent="0.25">
      <c r="A467">
        <v>438</v>
      </c>
      <c r="B467">
        <v>0.15273561215434064</v>
      </c>
    </row>
    <row r="468" spans="1:2" x14ac:dyDescent="0.25">
      <c r="A468">
        <v>439</v>
      </c>
      <c r="B468">
        <v>8.2796692361012517E-2</v>
      </c>
    </row>
    <row r="469" spans="1:2" x14ac:dyDescent="0.25">
      <c r="A469">
        <v>440</v>
      </c>
      <c r="B469">
        <v>7.7800200865956667E-2</v>
      </c>
    </row>
    <row r="470" spans="1:2" x14ac:dyDescent="0.25">
      <c r="A470">
        <v>441</v>
      </c>
      <c r="B470">
        <v>0.40336382643994062</v>
      </c>
    </row>
    <row r="471" spans="1:2" x14ac:dyDescent="0.25">
      <c r="A471">
        <v>442</v>
      </c>
      <c r="B471">
        <v>0.14127189827757891</v>
      </c>
    </row>
    <row r="472" spans="1:2" x14ac:dyDescent="0.25">
      <c r="A472">
        <v>443</v>
      </c>
      <c r="B472">
        <v>0.17662354235200414</v>
      </c>
    </row>
    <row r="473" spans="1:2" x14ac:dyDescent="0.25">
      <c r="A473">
        <v>444</v>
      </c>
      <c r="B473">
        <v>0.16663367049187866</v>
      </c>
    </row>
    <row r="474" spans="1:2" x14ac:dyDescent="0.25">
      <c r="A474">
        <v>445</v>
      </c>
      <c r="B474">
        <v>0.60962015324664665</v>
      </c>
    </row>
    <row r="475" spans="1:2" x14ac:dyDescent="0.25">
      <c r="A475">
        <v>446</v>
      </c>
      <c r="B475">
        <v>0.27559499007537308</v>
      </c>
    </row>
    <row r="476" spans="1:2" x14ac:dyDescent="0.25">
      <c r="A476">
        <v>447</v>
      </c>
      <c r="B476">
        <v>0.14449886136379048</v>
      </c>
    </row>
    <row r="477" spans="1:2" x14ac:dyDescent="0.25">
      <c r="A477">
        <v>448</v>
      </c>
      <c r="B477">
        <v>0.35766241939926668</v>
      </c>
    </row>
    <row r="478" spans="1:2" x14ac:dyDescent="0.25">
      <c r="A478">
        <v>449</v>
      </c>
      <c r="B478">
        <v>0.38652583149913639</v>
      </c>
    </row>
    <row r="479" spans="1:2" x14ac:dyDescent="0.25">
      <c r="A479">
        <v>450</v>
      </c>
      <c r="B479">
        <v>0.17129820244113647</v>
      </c>
    </row>
    <row r="480" spans="1:2" x14ac:dyDescent="0.25">
      <c r="A480">
        <v>451</v>
      </c>
      <c r="B480">
        <v>4.2057315602371359E-2</v>
      </c>
    </row>
    <row r="481" spans="1:2" x14ac:dyDescent="0.25">
      <c r="A481">
        <v>452</v>
      </c>
      <c r="B481">
        <v>0.14526147717244572</v>
      </c>
    </row>
    <row r="482" spans="1:2" x14ac:dyDescent="0.25">
      <c r="A482">
        <v>453</v>
      </c>
      <c r="B482">
        <v>4.1183185043118894E-2</v>
      </c>
    </row>
    <row r="483" spans="1:2" x14ac:dyDescent="0.25">
      <c r="A483">
        <v>454</v>
      </c>
      <c r="B483">
        <v>0.32252962486488895</v>
      </c>
    </row>
    <row r="484" spans="1:2" x14ac:dyDescent="0.25">
      <c r="A484">
        <v>455</v>
      </c>
      <c r="B484">
        <v>0.1724930009753575</v>
      </c>
    </row>
    <row r="485" spans="1:2" x14ac:dyDescent="0.25">
      <c r="A485">
        <v>456</v>
      </c>
      <c r="B485">
        <v>0.24301318022151569</v>
      </c>
    </row>
    <row r="486" spans="1:2" x14ac:dyDescent="0.25">
      <c r="A486">
        <v>457</v>
      </c>
      <c r="B486">
        <v>9.0951672618740126E-2</v>
      </c>
    </row>
    <row r="487" spans="1:2" x14ac:dyDescent="0.25">
      <c r="A487">
        <v>458</v>
      </c>
      <c r="B487">
        <v>0.36595625778287261</v>
      </c>
    </row>
    <row r="488" spans="1:2" x14ac:dyDescent="0.25">
      <c r="A488">
        <v>459</v>
      </c>
      <c r="B488">
        <v>0.41716717934329844</v>
      </c>
    </row>
    <row r="489" spans="1:2" x14ac:dyDescent="0.25">
      <c r="A489">
        <v>460</v>
      </c>
      <c r="B489">
        <v>9.8461768426765545E-2</v>
      </c>
    </row>
    <row r="490" spans="1:2" x14ac:dyDescent="0.25">
      <c r="A490">
        <v>461</v>
      </c>
      <c r="B490">
        <v>0.32006681403649306</v>
      </c>
    </row>
    <row r="491" spans="1:2" x14ac:dyDescent="0.25">
      <c r="A491">
        <v>462</v>
      </c>
      <c r="B491">
        <v>0.30245350537471483</v>
      </c>
    </row>
    <row r="492" spans="1:2" x14ac:dyDescent="0.25">
      <c r="A492">
        <v>463</v>
      </c>
      <c r="B492">
        <v>9.2213085713737347E-2</v>
      </c>
    </row>
    <row r="493" spans="1:2" x14ac:dyDescent="0.25">
      <c r="A493">
        <v>464</v>
      </c>
      <c r="B493">
        <v>3.4331963832715709E-2</v>
      </c>
    </row>
    <row r="494" spans="1:2" x14ac:dyDescent="0.25">
      <c r="A494">
        <v>465</v>
      </c>
      <c r="B494">
        <v>6.2863600389928331E-2</v>
      </c>
    </row>
    <row r="495" spans="1:2" x14ac:dyDescent="0.25">
      <c r="A495">
        <v>466</v>
      </c>
      <c r="B495">
        <v>0.41036675874835826</v>
      </c>
    </row>
    <row r="496" spans="1:2" x14ac:dyDescent="0.25">
      <c r="A496">
        <v>467</v>
      </c>
      <c r="B496">
        <v>0.27258954155045045</v>
      </c>
    </row>
    <row r="497" spans="1:2" x14ac:dyDescent="0.25">
      <c r="A497">
        <v>468</v>
      </c>
      <c r="B497">
        <v>0.1222734473340155</v>
      </c>
    </row>
    <row r="498" spans="1:2" x14ac:dyDescent="0.25">
      <c r="A498">
        <v>469</v>
      </c>
      <c r="B498">
        <v>0.42211525244751169</v>
      </c>
    </row>
    <row r="499" spans="1:2" x14ac:dyDescent="0.25">
      <c r="A499">
        <v>470</v>
      </c>
      <c r="B499">
        <v>0.17148237383264281</v>
      </c>
    </row>
    <row r="500" spans="1:2" x14ac:dyDescent="0.25">
      <c r="A500">
        <v>471</v>
      </c>
      <c r="B500">
        <v>0.12359119238422425</v>
      </c>
    </row>
    <row r="501" spans="1:2" x14ac:dyDescent="0.25">
      <c r="A501">
        <v>472</v>
      </c>
      <c r="B501">
        <v>0.29989910008086557</v>
      </c>
    </row>
    <row r="502" spans="1:2" x14ac:dyDescent="0.25">
      <c r="A502">
        <v>473</v>
      </c>
      <c r="B502">
        <v>0.1062519979275213</v>
      </c>
    </row>
    <row r="503" spans="1:2" x14ac:dyDescent="0.25">
      <c r="A503">
        <v>474</v>
      </c>
      <c r="B503">
        <v>9.9939004183732708E-2</v>
      </c>
    </row>
    <row r="504" spans="1:2" x14ac:dyDescent="0.25">
      <c r="A504">
        <v>475</v>
      </c>
      <c r="B504">
        <v>0.14359309566824405</v>
      </c>
    </row>
    <row r="505" spans="1:2" x14ac:dyDescent="0.25">
      <c r="A505">
        <v>476</v>
      </c>
      <c r="B505">
        <v>7.7038469597601883E-2</v>
      </c>
    </row>
    <row r="506" spans="1:2" x14ac:dyDescent="0.25">
      <c r="A506">
        <v>477</v>
      </c>
      <c r="B506">
        <v>0.25704624649148639</v>
      </c>
    </row>
    <row r="507" spans="1:2" x14ac:dyDescent="0.25">
      <c r="A507">
        <v>478</v>
      </c>
      <c r="B507">
        <v>0.13368142864560814</v>
      </c>
    </row>
    <row r="508" spans="1:2" x14ac:dyDescent="0.25">
      <c r="A508">
        <v>479</v>
      </c>
      <c r="B508">
        <v>4.2316184062702926E-2</v>
      </c>
    </row>
    <row r="509" spans="1:2" x14ac:dyDescent="0.25">
      <c r="A509">
        <v>480</v>
      </c>
      <c r="B509">
        <v>0.1319326456885194</v>
      </c>
    </row>
    <row r="510" spans="1:2" x14ac:dyDescent="0.25">
      <c r="A510">
        <v>481</v>
      </c>
      <c r="B510">
        <v>0.22111199766386463</v>
      </c>
    </row>
    <row r="511" spans="1:2" x14ac:dyDescent="0.25">
      <c r="A511">
        <v>482</v>
      </c>
      <c r="B511">
        <v>4.2975502383897857E-2</v>
      </c>
    </row>
    <row r="512" spans="1:2" x14ac:dyDescent="0.25">
      <c r="A512">
        <v>483</v>
      </c>
      <c r="B512">
        <v>9.6829600596942692E-2</v>
      </c>
    </row>
    <row r="513" spans="1:2" x14ac:dyDescent="0.25">
      <c r="A513">
        <v>484</v>
      </c>
      <c r="B513">
        <v>0.1854420063305201</v>
      </c>
    </row>
    <row r="514" spans="1:2" x14ac:dyDescent="0.25">
      <c r="A514">
        <v>485</v>
      </c>
      <c r="B514">
        <v>0.24702990611187942</v>
      </c>
    </row>
    <row r="515" spans="1:2" x14ac:dyDescent="0.25">
      <c r="A515">
        <v>486</v>
      </c>
      <c r="B515">
        <v>0.10737145248654771</v>
      </c>
    </row>
    <row r="516" spans="1:2" x14ac:dyDescent="0.25">
      <c r="A516">
        <v>487</v>
      </c>
      <c r="B516">
        <v>0.23882493025058318</v>
      </c>
    </row>
    <row r="517" spans="1:2" x14ac:dyDescent="0.25">
      <c r="A517">
        <v>488</v>
      </c>
      <c r="B517">
        <v>0.14034151551547089</v>
      </c>
    </row>
    <row r="518" spans="1:2" x14ac:dyDescent="0.25">
      <c r="A518">
        <v>489</v>
      </c>
      <c r="B518">
        <v>5.4678263756449158E-2</v>
      </c>
    </row>
    <row r="519" spans="1:2" x14ac:dyDescent="0.25">
      <c r="A519">
        <v>490</v>
      </c>
      <c r="B519">
        <v>0.19715309224663785</v>
      </c>
    </row>
    <row r="520" spans="1:2" x14ac:dyDescent="0.25">
      <c r="A520">
        <v>491</v>
      </c>
      <c r="B520">
        <v>0.53004349743529577</v>
      </c>
    </row>
    <row r="521" spans="1:2" x14ac:dyDescent="0.25">
      <c r="A521">
        <v>492</v>
      </c>
      <c r="B521">
        <v>0.42143141419016328</v>
      </c>
    </row>
    <row r="522" spans="1:2" x14ac:dyDescent="0.25">
      <c r="A522">
        <v>493</v>
      </c>
      <c r="B522">
        <v>5.4863251512105617E-2</v>
      </c>
    </row>
    <row r="523" spans="1:2" x14ac:dyDescent="0.25">
      <c r="A523">
        <v>494</v>
      </c>
      <c r="B523">
        <v>0.23166237924985952</v>
      </c>
    </row>
    <row r="524" spans="1:2" x14ac:dyDescent="0.25">
      <c r="A524">
        <v>495</v>
      </c>
      <c r="B524">
        <v>0.50133066725177133</v>
      </c>
    </row>
    <row r="525" spans="1:2" x14ac:dyDescent="0.25">
      <c r="A525">
        <v>496</v>
      </c>
      <c r="B525">
        <v>6.7904259118918051E-2</v>
      </c>
    </row>
    <row r="526" spans="1:2" x14ac:dyDescent="0.25">
      <c r="A526">
        <v>497</v>
      </c>
      <c r="B526">
        <v>0.18697284375815854</v>
      </c>
    </row>
    <row r="527" spans="1:2" x14ac:dyDescent="0.25">
      <c r="A527">
        <v>498</v>
      </c>
      <c r="B527">
        <v>0.39049168303144155</v>
      </c>
    </row>
    <row r="528" spans="1:2" x14ac:dyDescent="0.25">
      <c r="A528">
        <v>499</v>
      </c>
      <c r="B528">
        <v>0.11224497250509581</v>
      </c>
    </row>
    <row r="529" spans="1:2" x14ac:dyDescent="0.25">
      <c r="A529">
        <v>500</v>
      </c>
      <c r="B529">
        <v>5.9430937048352214E-2</v>
      </c>
    </row>
    <row r="530" spans="1:2" x14ac:dyDescent="0.25">
      <c r="A530">
        <v>501</v>
      </c>
      <c r="B530">
        <v>0.57969635739518732</v>
      </c>
    </row>
    <row r="531" spans="1:2" x14ac:dyDescent="0.25">
      <c r="A531">
        <v>502</v>
      </c>
      <c r="B531">
        <v>8.6662843794974923E-2</v>
      </c>
    </row>
    <row r="532" spans="1:2" x14ac:dyDescent="0.25">
      <c r="A532">
        <v>503</v>
      </c>
      <c r="B532">
        <v>0.66212239764574432</v>
      </c>
    </row>
    <row r="533" spans="1:2" x14ac:dyDescent="0.25">
      <c r="A533">
        <v>504</v>
      </c>
      <c r="B533">
        <v>0.23910737107777894</v>
      </c>
    </row>
    <row r="534" spans="1:2" x14ac:dyDescent="0.25">
      <c r="A534">
        <v>505</v>
      </c>
      <c r="B534">
        <v>0.53167719765213795</v>
      </c>
    </row>
    <row r="535" spans="1:2" x14ac:dyDescent="0.25">
      <c r="A535">
        <v>506</v>
      </c>
      <c r="B535">
        <v>0.18495208726845136</v>
      </c>
    </row>
    <row r="536" spans="1:2" x14ac:dyDescent="0.25">
      <c r="A536">
        <v>507</v>
      </c>
      <c r="B536">
        <v>9.7093528412841315E-2</v>
      </c>
    </row>
    <row r="537" spans="1:2" x14ac:dyDescent="0.25">
      <c r="A537">
        <v>508</v>
      </c>
      <c r="B537">
        <v>0.10032443205542338</v>
      </c>
    </row>
    <row r="538" spans="1:2" x14ac:dyDescent="0.25">
      <c r="A538">
        <v>509</v>
      </c>
      <c r="B538">
        <v>0.29117646210234582</v>
      </c>
    </row>
    <row r="539" spans="1:2" x14ac:dyDescent="0.25">
      <c r="A539">
        <v>510</v>
      </c>
      <c r="B539">
        <v>0.24930890370390149</v>
      </c>
    </row>
    <row r="540" spans="1:2" x14ac:dyDescent="0.25">
      <c r="A540">
        <v>511</v>
      </c>
      <c r="B540">
        <v>0.12013992849037904</v>
      </c>
    </row>
    <row r="541" spans="1:2" x14ac:dyDescent="0.25">
      <c r="A541">
        <v>512</v>
      </c>
      <c r="B541">
        <v>0.19938708966481256</v>
      </c>
    </row>
    <row r="542" spans="1:2" x14ac:dyDescent="0.25">
      <c r="A542">
        <v>513</v>
      </c>
      <c r="B542">
        <v>0.14892332999770047</v>
      </c>
    </row>
    <row r="543" spans="1:2" x14ac:dyDescent="0.25">
      <c r="A543">
        <v>514</v>
      </c>
      <c r="B543">
        <v>0.25928879356021839</v>
      </c>
    </row>
    <row r="544" spans="1:2" x14ac:dyDescent="0.25">
      <c r="A544">
        <v>515</v>
      </c>
      <c r="B544">
        <v>0.28350758691408573</v>
      </c>
    </row>
    <row r="545" spans="1:2" x14ac:dyDescent="0.25">
      <c r="A545">
        <v>516</v>
      </c>
      <c r="B545">
        <v>6.6874725772174251E-2</v>
      </c>
    </row>
    <row r="546" spans="1:2" x14ac:dyDescent="0.25">
      <c r="A546">
        <v>517</v>
      </c>
      <c r="B546">
        <v>0.26644829466940961</v>
      </c>
    </row>
    <row r="547" spans="1:2" x14ac:dyDescent="0.25">
      <c r="A547">
        <v>518</v>
      </c>
      <c r="B547">
        <v>0.15177015644436667</v>
      </c>
    </row>
    <row r="548" spans="1:2" x14ac:dyDescent="0.25">
      <c r="A548">
        <v>519</v>
      </c>
      <c r="B548">
        <v>0.28427945353676615</v>
      </c>
    </row>
    <row r="549" spans="1:2" x14ac:dyDescent="0.25">
      <c r="A549">
        <v>520</v>
      </c>
      <c r="B549">
        <v>9.5480994749838802E-2</v>
      </c>
    </row>
    <row r="550" spans="1:2" x14ac:dyDescent="0.25">
      <c r="A550">
        <v>521</v>
      </c>
      <c r="B550">
        <v>0.41101723374676269</v>
      </c>
    </row>
    <row r="551" spans="1:2" x14ac:dyDescent="0.25">
      <c r="A551">
        <v>522</v>
      </c>
      <c r="B551">
        <v>9.9800159952901729E-2</v>
      </c>
    </row>
    <row r="552" spans="1:2" x14ac:dyDescent="0.25">
      <c r="A552">
        <v>523</v>
      </c>
      <c r="B552">
        <v>0.20224716869653286</v>
      </c>
    </row>
    <row r="553" spans="1:2" x14ac:dyDescent="0.25">
      <c r="A553">
        <v>524</v>
      </c>
      <c r="B553">
        <v>0.10854497711285496</v>
      </c>
    </row>
    <row r="554" spans="1:2" x14ac:dyDescent="0.25">
      <c r="A554">
        <v>525</v>
      </c>
      <c r="B554">
        <v>0.10244638466431273</v>
      </c>
    </row>
    <row r="555" spans="1:2" x14ac:dyDescent="0.25">
      <c r="A555">
        <v>526</v>
      </c>
      <c r="B555">
        <v>0.20745481391963308</v>
      </c>
    </row>
    <row r="556" spans="1:2" x14ac:dyDescent="0.25">
      <c r="A556">
        <v>527</v>
      </c>
      <c r="B556">
        <v>0.3147332367202717</v>
      </c>
    </row>
    <row r="557" spans="1:2" x14ac:dyDescent="0.25">
      <c r="A557">
        <v>528</v>
      </c>
      <c r="B557">
        <v>0.10264849869410082</v>
      </c>
    </row>
    <row r="558" spans="1:2" x14ac:dyDescent="0.25">
      <c r="A558">
        <v>529</v>
      </c>
      <c r="B558">
        <v>0.47971112468471044</v>
      </c>
    </row>
    <row r="559" spans="1:2" x14ac:dyDescent="0.25">
      <c r="A559">
        <v>530</v>
      </c>
      <c r="B559">
        <v>0.17285142950440821</v>
      </c>
    </row>
    <row r="560" spans="1:2" x14ac:dyDescent="0.25">
      <c r="A560">
        <v>531</v>
      </c>
      <c r="B560">
        <v>1.3181890657965887</v>
      </c>
    </row>
    <row r="561" spans="1:2" x14ac:dyDescent="0.25">
      <c r="A561">
        <v>532</v>
      </c>
      <c r="B561">
        <v>4.7489071944628536E-2</v>
      </c>
    </row>
    <row r="562" spans="1:2" x14ac:dyDescent="0.25">
      <c r="A562">
        <v>533</v>
      </c>
      <c r="B562">
        <v>0.46598623860827187</v>
      </c>
    </row>
    <row r="563" spans="1:2" x14ac:dyDescent="0.25">
      <c r="A563">
        <v>534</v>
      </c>
      <c r="B563">
        <v>0.14125619648361487</v>
      </c>
    </row>
    <row r="564" spans="1:2" x14ac:dyDescent="0.25">
      <c r="A564">
        <v>535</v>
      </c>
      <c r="B564">
        <v>0.34202314919762089</v>
      </c>
    </row>
    <row r="565" spans="1:2" x14ac:dyDescent="0.25">
      <c r="A565">
        <v>536</v>
      </c>
      <c r="B565">
        <v>0.2045796333022834</v>
      </c>
    </row>
    <row r="566" spans="1:2" x14ac:dyDescent="0.25">
      <c r="A566">
        <v>537</v>
      </c>
      <c r="B566">
        <v>0.55619936843398754</v>
      </c>
    </row>
    <row r="567" spans="1:2" x14ac:dyDescent="0.25">
      <c r="A567">
        <v>538</v>
      </c>
      <c r="B567">
        <v>0.24215722591014618</v>
      </c>
    </row>
    <row r="568" spans="1:2" x14ac:dyDescent="0.25">
      <c r="A568">
        <v>539</v>
      </c>
      <c r="B568">
        <v>5.7271492126199225E-2</v>
      </c>
    </row>
    <row r="569" spans="1:2" x14ac:dyDescent="0.25">
      <c r="A569">
        <v>540</v>
      </c>
      <c r="B569">
        <v>0.14875062090357749</v>
      </c>
    </row>
    <row r="570" spans="1:2" x14ac:dyDescent="0.25">
      <c r="A570">
        <v>541</v>
      </c>
      <c r="B570">
        <v>0.20485135093862361</v>
      </c>
    </row>
    <row r="571" spans="1:2" x14ac:dyDescent="0.25">
      <c r="A571">
        <v>542</v>
      </c>
      <c r="B571">
        <v>3.499928465343978E-2</v>
      </c>
    </row>
    <row r="572" spans="1:2" x14ac:dyDescent="0.25">
      <c r="A572">
        <v>543</v>
      </c>
      <c r="B572">
        <v>0.21506916307538398</v>
      </c>
    </row>
    <row r="573" spans="1:2" x14ac:dyDescent="0.25">
      <c r="A573">
        <v>544</v>
      </c>
      <c r="B573">
        <v>7.4303871400934002E-2</v>
      </c>
    </row>
    <row r="574" spans="1:2" x14ac:dyDescent="0.25">
      <c r="A574">
        <v>545</v>
      </c>
      <c r="B574">
        <v>0.16073568609270944</v>
      </c>
    </row>
    <row r="575" spans="1:2" x14ac:dyDescent="0.25">
      <c r="A575">
        <v>546</v>
      </c>
      <c r="B575">
        <v>0.24366649279787067</v>
      </c>
    </row>
    <row r="576" spans="1:2" x14ac:dyDescent="0.25">
      <c r="A576">
        <v>547</v>
      </c>
      <c r="B576">
        <v>0.33965324588671625</v>
      </c>
    </row>
    <row r="577" spans="1:2" x14ac:dyDescent="0.25">
      <c r="A577">
        <v>548</v>
      </c>
      <c r="B577">
        <v>9.3090683871590862E-2</v>
      </c>
    </row>
    <row r="578" spans="1:2" x14ac:dyDescent="0.25">
      <c r="A578">
        <v>549</v>
      </c>
      <c r="B578">
        <v>0.11321539771834321</v>
      </c>
    </row>
    <row r="579" spans="1:2" x14ac:dyDescent="0.25">
      <c r="A579">
        <v>550</v>
      </c>
      <c r="B579">
        <v>4.8362451802950866E-2</v>
      </c>
    </row>
    <row r="580" spans="1:2" x14ac:dyDescent="0.25">
      <c r="A580">
        <v>551</v>
      </c>
      <c r="B580">
        <v>0.28733167534078025</v>
      </c>
    </row>
    <row r="581" spans="1:2" x14ac:dyDescent="0.25">
      <c r="A581">
        <v>552</v>
      </c>
      <c r="B581">
        <v>0.12283432455747462</v>
      </c>
    </row>
    <row r="582" spans="1:2" x14ac:dyDescent="0.25">
      <c r="A582">
        <v>553</v>
      </c>
      <c r="B582">
        <v>0.10895461944595951</v>
      </c>
    </row>
    <row r="583" spans="1:2" x14ac:dyDescent="0.25">
      <c r="A583">
        <v>554</v>
      </c>
      <c r="B583">
        <v>0.16826306623334289</v>
      </c>
    </row>
    <row r="584" spans="1:2" x14ac:dyDescent="0.25">
      <c r="A584">
        <v>555</v>
      </c>
      <c r="B584">
        <v>0.2927456568181776</v>
      </c>
    </row>
    <row r="585" spans="1:2" x14ac:dyDescent="0.25">
      <c r="A585">
        <v>556</v>
      </c>
      <c r="B585">
        <v>0.28673117382508717</v>
      </c>
    </row>
    <row r="586" spans="1:2" x14ac:dyDescent="0.25">
      <c r="A586">
        <v>557</v>
      </c>
      <c r="B586">
        <v>0.11616939471458967</v>
      </c>
    </row>
    <row r="587" spans="1:2" x14ac:dyDescent="0.25">
      <c r="A587">
        <v>558</v>
      </c>
      <c r="B587">
        <v>0.32310417621035264</v>
      </c>
    </row>
    <row r="588" spans="1:2" x14ac:dyDescent="0.25">
      <c r="A588">
        <v>559</v>
      </c>
      <c r="B588">
        <v>9.391502874968434E-2</v>
      </c>
    </row>
    <row r="589" spans="1:2" x14ac:dyDescent="0.25">
      <c r="A589">
        <v>560</v>
      </c>
      <c r="B589">
        <v>0.19494367646808705</v>
      </c>
    </row>
    <row r="590" spans="1:2" x14ac:dyDescent="0.25">
      <c r="A590">
        <v>561</v>
      </c>
      <c r="B590">
        <v>0.11307075476693898</v>
      </c>
    </row>
    <row r="591" spans="1:2" x14ac:dyDescent="0.25">
      <c r="A591">
        <v>562</v>
      </c>
      <c r="B591">
        <v>0.14200392823973496</v>
      </c>
    </row>
    <row r="592" spans="1:2" x14ac:dyDescent="0.25">
      <c r="A592">
        <v>563</v>
      </c>
      <c r="B592">
        <v>0.26500810104866956</v>
      </c>
    </row>
    <row r="593" spans="1:2" x14ac:dyDescent="0.25">
      <c r="A593">
        <v>564</v>
      </c>
      <c r="B593">
        <v>8.0211761237471577E-2</v>
      </c>
    </row>
    <row r="594" spans="1:2" x14ac:dyDescent="0.25">
      <c r="A594">
        <v>565</v>
      </c>
      <c r="B594">
        <v>0.16388489568052508</v>
      </c>
    </row>
    <row r="595" spans="1:2" x14ac:dyDescent="0.25">
      <c r="A595">
        <v>566</v>
      </c>
      <c r="B595">
        <v>8.623473665363901E-2</v>
      </c>
    </row>
    <row r="596" spans="1:2" x14ac:dyDescent="0.25">
      <c r="A596">
        <v>567</v>
      </c>
      <c r="B596">
        <v>0.40398046434703899</v>
      </c>
    </row>
    <row r="597" spans="1:2" x14ac:dyDescent="0.25">
      <c r="A597">
        <v>568</v>
      </c>
      <c r="B597">
        <v>0.15478784814071533</v>
      </c>
    </row>
    <row r="598" spans="1:2" x14ac:dyDescent="0.25">
      <c r="A598">
        <v>569</v>
      </c>
      <c r="B598">
        <v>5.4129367434573541E-2</v>
      </c>
    </row>
    <row r="599" spans="1:2" x14ac:dyDescent="0.25">
      <c r="A599">
        <v>570</v>
      </c>
      <c r="B599">
        <v>0.19321116147384695</v>
      </c>
    </row>
    <row r="600" spans="1:2" x14ac:dyDescent="0.25">
      <c r="A600">
        <v>571</v>
      </c>
      <c r="B600">
        <v>7.8126185330955042E-2</v>
      </c>
    </row>
    <row r="601" spans="1:2" x14ac:dyDescent="0.25">
      <c r="A601">
        <v>572</v>
      </c>
      <c r="B601">
        <v>0.10151865861823672</v>
      </c>
    </row>
    <row r="602" spans="1:2" x14ac:dyDescent="0.25">
      <c r="A602">
        <v>573</v>
      </c>
      <c r="B602">
        <v>8.0544798353752278E-2</v>
      </c>
    </row>
    <row r="603" spans="1:2" x14ac:dyDescent="0.25">
      <c r="A603">
        <v>574</v>
      </c>
      <c r="B603">
        <v>6.4064795546661932E-2</v>
      </c>
    </row>
    <row r="604" spans="1:2" x14ac:dyDescent="0.25">
      <c r="A604">
        <v>575</v>
      </c>
      <c r="B604">
        <v>0.18202324464811856</v>
      </c>
    </row>
    <row r="605" spans="1:2" x14ac:dyDescent="0.25">
      <c r="A605">
        <v>576</v>
      </c>
      <c r="B605">
        <v>0.11342303407803624</v>
      </c>
    </row>
    <row r="606" spans="1:2" x14ac:dyDescent="0.25">
      <c r="A606">
        <v>577</v>
      </c>
      <c r="B606">
        <v>0.60825092331675856</v>
      </c>
    </row>
    <row r="607" spans="1:2" x14ac:dyDescent="0.25">
      <c r="A607">
        <v>578</v>
      </c>
      <c r="B607">
        <v>0.16594812403724016</v>
      </c>
    </row>
    <row r="608" spans="1:2" x14ac:dyDescent="0.25">
      <c r="A608">
        <v>579</v>
      </c>
      <c r="B608">
        <v>0.58931292898073184</v>
      </c>
    </row>
    <row r="609" spans="1:2" x14ac:dyDescent="0.25">
      <c r="A609">
        <v>580</v>
      </c>
      <c r="B609">
        <v>8.8746236432335104E-2</v>
      </c>
    </row>
    <row r="610" spans="1:2" x14ac:dyDescent="0.25">
      <c r="A610">
        <v>581</v>
      </c>
      <c r="B610">
        <v>0.30505123227497827</v>
      </c>
    </row>
    <row r="611" spans="1:2" x14ac:dyDescent="0.25">
      <c r="A611">
        <v>582</v>
      </c>
      <c r="B611">
        <v>3.5259924587073957E-2</v>
      </c>
    </row>
    <row r="612" spans="1:2" x14ac:dyDescent="0.25">
      <c r="A612">
        <v>583</v>
      </c>
      <c r="B612">
        <v>0.22779871173576416</v>
      </c>
    </row>
    <row r="613" spans="1:2" x14ac:dyDescent="0.25">
      <c r="A613">
        <v>584</v>
      </c>
      <c r="B613">
        <v>4.6363354559353809E-2</v>
      </c>
    </row>
    <row r="614" spans="1:2" x14ac:dyDescent="0.25">
      <c r="A614">
        <v>585</v>
      </c>
      <c r="B614">
        <v>0.17949091845517134</v>
      </c>
    </row>
    <row r="615" spans="1:2" x14ac:dyDescent="0.25">
      <c r="A615">
        <v>586</v>
      </c>
      <c r="B615">
        <v>0.37727414911845608</v>
      </c>
    </row>
    <row r="616" spans="1:2" x14ac:dyDescent="0.25">
      <c r="A616">
        <v>587</v>
      </c>
      <c r="B616">
        <v>7.1651379957802061E-2</v>
      </c>
    </row>
    <row r="617" spans="1:2" x14ac:dyDescent="0.25">
      <c r="A617">
        <v>588</v>
      </c>
      <c r="B617">
        <v>0.53152319428152905</v>
      </c>
    </row>
    <row r="618" spans="1:2" x14ac:dyDescent="0.25">
      <c r="A618">
        <v>589</v>
      </c>
      <c r="B618">
        <v>4.4222407076229694E-2</v>
      </c>
    </row>
    <row r="619" spans="1:2" x14ac:dyDescent="0.25">
      <c r="A619">
        <v>590</v>
      </c>
      <c r="B619">
        <v>0.17428979798116853</v>
      </c>
    </row>
    <row r="620" spans="1:2" x14ac:dyDescent="0.25">
      <c r="A620">
        <v>591</v>
      </c>
      <c r="B620">
        <v>0.19766417519362989</v>
      </c>
    </row>
    <row r="621" spans="1:2" x14ac:dyDescent="0.25">
      <c r="A621">
        <v>592</v>
      </c>
      <c r="B621">
        <v>0.11534264179648936</v>
      </c>
    </row>
    <row r="622" spans="1:2" x14ac:dyDescent="0.25">
      <c r="A622">
        <v>593</v>
      </c>
      <c r="B622">
        <v>0.14439200806646058</v>
      </c>
    </row>
    <row r="623" spans="1:2" x14ac:dyDescent="0.25">
      <c r="A623">
        <v>594</v>
      </c>
      <c r="B623">
        <v>0.20891190076969612</v>
      </c>
    </row>
    <row r="624" spans="1:2" x14ac:dyDescent="0.25">
      <c r="A624">
        <v>595</v>
      </c>
      <c r="B624">
        <v>0.1121466651818229</v>
      </c>
    </row>
    <row r="625" spans="1:2" x14ac:dyDescent="0.25">
      <c r="A625">
        <v>596</v>
      </c>
      <c r="B625">
        <v>0.4855797045785295</v>
      </c>
    </row>
    <row r="626" spans="1:2" x14ac:dyDescent="0.25">
      <c r="A626">
        <v>597</v>
      </c>
      <c r="B626">
        <v>0.20499832529269396</v>
      </c>
    </row>
    <row r="627" spans="1:2" x14ac:dyDescent="0.25">
      <c r="A627">
        <v>598</v>
      </c>
      <c r="B627">
        <v>0.24266084088672227</v>
      </c>
    </row>
    <row r="628" spans="1:2" x14ac:dyDescent="0.25">
      <c r="A628">
        <v>599</v>
      </c>
      <c r="B628">
        <v>0.15526162971217899</v>
      </c>
    </row>
    <row r="629" spans="1:2" x14ac:dyDescent="0.25">
      <c r="A629">
        <v>600</v>
      </c>
      <c r="B629">
        <v>0.20893700054627509</v>
      </c>
    </row>
    <row r="630" spans="1:2" x14ac:dyDescent="0.25">
      <c r="A630">
        <v>601</v>
      </c>
      <c r="B630">
        <v>2.0384001002258772E-2</v>
      </c>
    </row>
    <row r="631" spans="1:2" x14ac:dyDescent="0.25">
      <c r="A631">
        <v>602</v>
      </c>
      <c r="B631">
        <v>4.1429648748668411E-2</v>
      </c>
    </row>
    <row r="632" spans="1:2" x14ac:dyDescent="0.25">
      <c r="A632">
        <v>603</v>
      </c>
      <c r="B632">
        <v>0.38581919904980483</v>
      </c>
    </row>
    <row r="633" spans="1:2" x14ac:dyDescent="0.25">
      <c r="A633">
        <v>604</v>
      </c>
      <c r="B633">
        <v>5.72407606874034E-2</v>
      </c>
    </row>
    <row r="634" spans="1:2" x14ac:dyDescent="0.25">
      <c r="A634">
        <v>605</v>
      </c>
      <c r="B634">
        <v>0.34525425558941314</v>
      </c>
    </row>
    <row r="635" spans="1:2" x14ac:dyDescent="0.25">
      <c r="A635">
        <v>606</v>
      </c>
      <c r="B635">
        <v>0.13826451287777275</v>
      </c>
    </row>
    <row r="636" spans="1:2" x14ac:dyDescent="0.25">
      <c r="A636">
        <v>607</v>
      </c>
      <c r="B636">
        <v>4.9665448037644867E-2</v>
      </c>
    </row>
    <row r="637" spans="1:2" x14ac:dyDescent="0.25">
      <c r="A637">
        <v>608</v>
      </c>
      <c r="B637">
        <v>0.15186189454484039</v>
      </c>
    </row>
    <row r="638" spans="1:2" x14ac:dyDescent="0.25">
      <c r="A638">
        <v>609</v>
      </c>
      <c r="B638">
        <v>4.9488233301439526E-2</v>
      </c>
    </row>
    <row r="639" spans="1:2" x14ac:dyDescent="0.25">
      <c r="A639">
        <v>610</v>
      </c>
      <c r="B639">
        <v>0.20295776567862506</v>
      </c>
    </row>
    <row r="640" spans="1:2" x14ac:dyDescent="0.25">
      <c r="A640">
        <v>611</v>
      </c>
      <c r="B640">
        <v>0.1327728089023742</v>
      </c>
    </row>
    <row r="641" spans="1:2" x14ac:dyDescent="0.25">
      <c r="A641">
        <v>612</v>
      </c>
      <c r="B641">
        <v>0.15199198395188543</v>
      </c>
    </row>
    <row r="642" spans="1:2" x14ac:dyDescent="0.25">
      <c r="A642">
        <v>613</v>
      </c>
      <c r="B642">
        <v>6.493820164925164E-2</v>
      </c>
    </row>
    <row r="643" spans="1:2" x14ac:dyDescent="0.25">
      <c r="A643">
        <v>614</v>
      </c>
      <c r="B643">
        <v>9.0510631851361753E-2</v>
      </c>
    </row>
    <row r="644" spans="1:2" x14ac:dyDescent="0.25">
      <c r="A644">
        <v>615</v>
      </c>
      <c r="B644">
        <v>0.17054434679635946</v>
      </c>
    </row>
    <row r="645" spans="1:2" x14ac:dyDescent="0.25">
      <c r="A645">
        <v>616</v>
      </c>
      <c r="B645">
        <v>0.10017948167028148</v>
      </c>
    </row>
    <row r="646" spans="1:2" x14ac:dyDescent="0.25">
      <c r="A646">
        <v>617</v>
      </c>
      <c r="B646">
        <v>0.24465493370145752</v>
      </c>
    </row>
    <row r="647" spans="1:2" x14ac:dyDescent="0.25">
      <c r="A647">
        <v>618</v>
      </c>
      <c r="B647">
        <v>0.21127830194644448</v>
      </c>
    </row>
    <row r="648" spans="1:2" x14ac:dyDescent="0.25">
      <c r="A648">
        <v>619</v>
      </c>
      <c r="B648">
        <v>9.0565238906926207E-2</v>
      </c>
    </row>
    <row r="649" spans="1:2" x14ac:dyDescent="0.25">
      <c r="A649">
        <v>620</v>
      </c>
      <c r="B649">
        <v>0.18902358459791202</v>
      </c>
    </row>
    <row r="650" spans="1:2" x14ac:dyDescent="0.25">
      <c r="A650">
        <v>621</v>
      </c>
      <c r="B650">
        <v>0.17443493375248359</v>
      </c>
    </row>
    <row r="651" spans="1:2" x14ac:dyDescent="0.25">
      <c r="A651">
        <v>622</v>
      </c>
      <c r="B651">
        <v>0.22414071885058842</v>
      </c>
    </row>
    <row r="652" spans="1:2" x14ac:dyDescent="0.25">
      <c r="A652">
        <v>623</v>
      </c>
      <c r="B652">
        <v>0.11383906161484723</v>
      </c>
    </row>
    <row r="653" spans="1:2" x14ac:dyDescent="0.25">
      <c r="A653">
        <v>624</v>
      </c>
      <c r="B653">
        <v>0.34198710092821466</v>
      </c>
    </row>
    <row r="654" spans="1:2" x14ac:dyDescent="0.25">
      <c r="A654">
        <v>625</v>
      </c>
      <c r="B654">
        <v>9.0332470714058782E-2</v>
      </c>
    </row>
    <row r="655" spans="1:2" x14ac:dyDescent="0.25">
      <c r="A655">
        <v>626</v>
      </c>
      <c r="B655">
        <v>0.33098978973820725</v>
      </c>
    </row>
    <row r="656" spans="1:2" x14ac:dyDescent="0.25">
      <c r="A656">
        <v>627</v>
      </c>
      <c r="B656">
        <v>0.237231540412954</v>
      </c>
    </row>
    <row r="657" spans="1:2" x14ac:dyDescent="0.25">
      <c r="A657">
        <v>628</v>
      </c>
      <c r="B657">
        <v>0.2352532949779251</v>
      </c>
    </row>
    <row r="658" spans="1:2" x14ac:dyDescent="0.25">
      <c r="A658">
        <v>629</v>
      </c>
      <c r="B658">
        <v>0.35506440503380388</v>
      </c>
    </row>
    <row r="659" spans="1:2" x14ac:dyDescent="0.25">
      <c r="A659">
        <v>630</v>
      </c>
      <c r="B659">
        <v>3.0257717748478831E-2</v>
      </c>
    </row>
    <row r="660" spans="1:2" x14ac:dyDescent="0.25">
      <c r="A660">
        <v>631</v>
      </c>
      <c r="B660">
        <v>0.20743534319031218</v>
      </c>
    </row>
    <row r="661" spans="1:2" x14ac:dyDescent="0.25">
      <c r="A661">
        <v>632</v>
      </c>
      <c r="B661">
        <v>0.20215544191653889</v>
      </c>
    </row>
    <row r="662" spans="1:2" x14ac:dyDescent="0.25">
      <c r="A662">
        <v>633</v>
      </c>
      <c r="B662">
        <v>0.17767030163052824</v>
      </c>
    </row>
    <row r="663" spans="1:2" x14ac:dyDescent="0.25">
      <c r="A663">
        <v>634</v>
      </c>
      <c r="B663">
        <v>0.3497992247980557</v>
      </c>
    </row>
    <row r="664" spans="1:2" x14ac:dyDescent="0.25">
      <c r="A664">
        <v>635</v>
      </c>
      <c r="B664">
        <v>0.14212097494946269</v>
      </c>
    </row>
    <row r="665" spans="1:2" x14ac:dyDescent="0.25">
      <c r="A665">
        <v>636</v>
      </c>
      <c r="B665">
        <v>0.3827271607550578</v>
      </c>
    </row>
    <row r="666" spans="1:2" x14ac:dyDescent="0.25">
      <c r="A666">
        <v>637</v>
      </c>
      <c r="B666">
        <v>0.50607532844453951</v>
      </c>
    </row>
    <row r="667" spans="1:2" x14ac:dyDescent="0.25">
      <c r="A667">
        <v>638</v>
      </c>
      <c r="B667">
        <v>0.25021844068133209</v>
      </c>
    </row>
    <row r="668" spans="1:2" x14ac:dyDescent="0.25">
      <c r="A668">
        <v>639</v>
      </c>
      <c r="B668">
        <v>8.747007030412246E-2</v>
      </c>
    </row>
    <row r="669" spans="1:2" x14ac:dyDescent="0.25">
      <c r="A669">
        <v>640</v>
      </c>
      <c r="B669">
        <v>5.0652678659934842E-2</v>
      </c>
    </row>
    <row r="670" spans="1:2" x14ac:dyDescent="0.25">
      <c r="A670">
        <v>641</v>
      </c>
      <c r="B670">
        <v>0.14455750180530069</v>
      </c>
    </row>
    <row r="671" spans="1:2" x14ac:dyDescent="0.25">
      <c r="A671">
        <v>642</v>
      </c>
      <c r="B671">
        <v>7.8848101601578915E-2</v>
      </c>
    </row>
    <row r="672" spans="1:2" x14ac:dyDescent="0.25">
      <c r="A672">
        <v>643</v>
      </c>
      <c r="B672">
        <v>0.11869946481528657</v>
      </c>
    </row>
    <row r="673" spans="1:2" x14ac:dyDescent="0.25">
      <c r="A673">
        <v>644</v>
      </c>
      <c r="B673">
        <v>0.10918234919621256</v>
      </c>
    </row>
    <row r="674" spans="1:2" x14ac:dyDescent="0.25">
      <c r="A674">
        <v>645</v>
      </c>
      <c r="B674">
        <v>0.11321880099922124</v>
      </c>
    </row>
    <row r="675" spans="1:2" x14ac:dyDescent="0.25">
      <c r="A675">
        <v>646</v>
      </c>
      <c r="B675">
        <v>0.22273193904173436</v>
      </c>
    </row>
    <row r="676" spans="1:2" x14ac:dyDescent="0.25">
      <c r="A676">
        <v>647</v>
      </c>
      <c r="B676">
        <v>0.22211964130369699</v>
      </c>
    </row>
    <row r="677" spans="1:2" x14ac:dyDescent="0.25">
      <c r="A677">
        <v>648</v>
      </c>
      <c r="B677">
        <v>0.27098425346973243</v>
      </c>
    </row>
    <row r="678" spans="1:2" x14ac:dyDescent="0.25">
      <c r="A678">
        <v>649</v>
      </c>
      <c r="B678">
        <v>0.21239688644068869</v>
      </c>
    </row>
    <row r="679" spans="1:2" x14ac:dyDescent="0.25">
      <c r="A679">
        <v>650</v>
      </c>
      <c r="B679">
        <v>0.1784633138101312</v>
      </c>
    </row>
    <row r="680" spans="1:2" x14ac:dyDescent="0.25">
      <c r="A680">
        <v>651</v>
      </c>
      <c r="B680">
        <v>0.2421996897630623</v>
      </c>
    </row>
    <row r="681" spans="1:2" x14ac:dyDescent="0.25">
      <c r="A681">
        <v>652</v>
      </c>
      <c r="B681">
        <v>1.3208326971886926</v>
      </c>
    </row>
    <row r="682" spans="1:2" x14ac:dyDescent="0.25">
      <c r="A682">
        <v>653</v>
      </c>
      <c r="B682">
        <v>0.21872535992573655</v>
      </c>
    </row>
    <row r="683" spans="1:2" x14ac:dyDescent="0.25">
      <c r="A683">
        <v>654</v>
      </c>
      <c r="B683">
        <v>0.21275346088422811</v>
      </c>
    </row>
    <row r="684" spans="1:2" x14ac:dyDescent="0.25">
      <c r="A684">
        <v>655</v>
      </c>
      <c r="B684">
        <v>0.4901896442563905</v>
      </c>
    </row>
    <row r="685" spans="1:2" x14ac:dyDescent="0.25">
      <c r="A685">
        <v>656</v>
      </c>
      <c r="B685">
        <v>0.18023198054207973</v>
      </c>
    </row>
    <row r="686" spans="1:2" x14ac:dyDescent="0.25">
      <c r="A686">
        <v>657</v>
      </c>
      <c r="B686">
        <v>0.17881257285108895</v>
      </c>
    </row>
    <row r="687" spans="1:2" x14ac:dyDescent="0.25">
      <c r="A687">
        <v>658</v>
      </c>
      <c r="B687">
        <v>0.22754208388560221</v>
      </c>
    </row>
    <row r="688" spans="1:2" x14ac:dyDescent="0.25">
      <c r="A688">
        <v>659</v>
      </c>
      <c r="B688">
        <v>0.45750867844256526</v>
      </c>
    </row>
    <row r="689" spans="1:2" x14ac:dyDescent="0.25">
      <c r="A689">
        <v>660</v>
      </c>
      <c r="B689">
        <v>0.22473543568856724</v>
      </c>
    </row>
    <row r="690" spans="1:2" x14ac:dyDescent="0.25">
      <c r="A690">
        <v>661</v>
      </c>
      <c r="B690">
        <v>0.10970591314419344</v>
      </c>
    </row>
    <row r="691" spans="1:2" x14ac:dyDescent="0.25">
      <c r="A691">
        <v>662</v>
      </c>
      <c r="B691">
        <v>0.13854907975851383</v>
      </c>
    </row>
    <row r="692" spans="1:2" x14ac:dyDescent="0.25">
      <c r="A692">
        <v>663</v>
      </c>
      <c r="B692">
        <v>0.16908997736658854</v>
      </c>
    </row>
    <row r="693" spans="1:2" x14ac:dyDescent="0.25">
      <c r="A693">
        <v>664</v>
      </c>
      <c r="B693">
        <v>0.16453066654808762</v>
      </c>
    </row>
    <row r="694" spans="1:2" x14ac:dyDescent="0.25">
      <c r="A694">
        <v>665</v>
      </c>
      <c r="B694">
        <v>0.21384686494211394</v>
      </c>
    </row>
    <row r="695" spans="1:2" x14ac:dyDescent="0.25">
      <c r="A695">
        <v>666</v>
      </c>
      <c r="B695">
        <v>0.13468493585134225</v>
      </c>
    </row>
    <row r="696" spans="1:2" x14ac:dyDescent="0.25">
      <c r="A696">
        <v>667</v>
      </c>
      <c r="B696">
        <v>0.1098142015462453</v>
      </c>
    </row>
    <row r="697" spans="1:2" x14ac:dyDescent="0.25">
      <c r="A697">
        <v>668</v>
      </c>
      <c r="B697">
        <v>0.22998054617561939</v>
      </c>
    </row>
    <row r="698" spans="1:2" x14ac:dyDescent="0.25">
      <c r="A698">
        <v>669</v>
      </c>
      <c r="B698">
        <v>0.11431706525233941</v>
      </c>
    </row>
    <row r="699" spans="1:2" x14ac:dyDescent="0.25">
      <c r="A699">
        <v>670</v>
      </c>
      <c r="B699">
        <v>0.22742655722646396</v>
      </c>
    </row>
    <row r="700" spans="1:2" x14ac:dyDescent="0.25">
      <c r="A700">
        <v>671</v>
      </c>
      <c r="B700">
        <v>9.4551247146556869E-2</v>
      </c>
    </row>
    <row r="701" spans="1:2" x14ac:dyDescent="0.25">
      <c r="A701">
        <v>672</v>
      </c>
      <c r="B701">
        <v>0.18831666394900923</v>
      </c>
    </row>
    <row r="702" spans="1:2" x14ac:dyDescent="0.25">
      <c r="A702">
        <v>673</v>
      </c>
      <c r="B702">
        <v>0.16403695140042229</v>
      </c>
    </row>
    <row r="703" spans="1:2" x14ac:dyDescent="0.25">
      <c r="A703">
        <v>674</v>
      </c>
      <c r="B703">
        <v>7.9764981022749953E-2</v>
      </c>
    </row>
    <row r="704" spans="1:2" x14ac:dyDescent="0.25">
      <c r="A704">
        <v>675</v>
      </c>
      <c r="B704">
        <v>0.43562211738562473</v>
      </c>
    </row>
    <row r="705" spans="1:2" x14ac:dyDescent="0.25">
      <c r="A705">
        <v>676</v>
      </c>
      <c r="B705">
        <v>0.25629123519376407</v>
      </c>
    </row>
    <row r="706" spans="1:2" x14ac:dyDescent="0.25">
      <c r="A706">
        <v>677</v>
      </c>
      <c r="B706">
        <v>7.6188665802616559E-2</v>
      </c>
    </row>
    <row r="707" spans="1:2" x14ac:dyDescent="0.25">
      <c r="A707">
        <v>678</v>
      </c>
      <c r="B707">
        <v>0.18867116881970258</v>
      </c>
    </row>
    <row r="708" spans="1:2" x14ac:dyDescent="0.25">
      <c r="A708">
        <v>679</v>
      </c>
      <c r="B708">
        <v>6.0500542043629486E-2</v>
      </c>
    </row>
    <row r="709" spans="1:2" x14ac:dyDescent="0.25">
      <c r="A709">
        <v>680</v>
      </c>
      <c r="B709">
        <v>0.22902380345068532</v>
      </c>
    </row>
    <row r="710" spans="1:2" x14ac:dyDescent="0.25">
      <c r="A710">
        <v>681</v>
      </c>
      <c r="B710">
        <v>0.17709376955637482</v>
      </c>
    </row>
    <row r="711" spans="1:2" x14ac:dyDescent="0.25">
      <c r="A711">
        <v>682</v>
      </c>
      <c r="B711">
        <v>9.8403762288107849E-2</v>
      </c>
    </row>
    <row r="712" spans="1:2" x14ac:dyDescent="0.25">
      <c r="A712">
        <v>683</v>
      </c>
      <c r="B712">
        <v>9.1796864992461313E-2</v>
      </c>
    </row>
    <row r="713" spans="1:2" x14ac:dyDescent="0.25">
      <c r="A713">
        <v>684</v>
      </c>
      <c r="B713">
        <v>3.5165011864107164E-2</v>
      </c>
    </row>
    <row r="714" spans="1:2" x14ac:dyDescent="0.25">
      <c r="A714">
        <v>685</v>
      </c>
      <c r="B714">
        <v>0.36662401807525258</v>
      </c>
    </row>
    <row r="715" spans="1:2" x14ac:dyDescent="0.25">
      <c r="A715">
        <v>686</v>
      </c>
      <c r="B715">
        <v>0.23090550854423592</v>
      </c>
    </row>
    <row r="716" spans="1:2" x14ac:dyDescent="0.25">
      <c r="A716">
        <v>687</v>
      </c>
      <c r="B716">
        <v>0.22462504920753881</v>
      </c>
    </row>
    <row r="717" spans="1:2" x14ac:dyDescent="0.25">
      <c r="A717">
        <v>688</v>
      </c>
      <c r="B717">
        <v>0.24326882528110155</v>
      </c>
    </row>
    <row r="718" spans="1:2" x14ac:dyDescent="0.25">
      <c r="A718">
        <v>689</v>
      </c>
      <c r="B718">
        <v>8.2773034213368665E-2</v>
      </c>
    </row>
    <row r="719" spans="1:2" x14ac:dyDescent="0.25">
      <c r="A719">
        <v>690</v>
      </c>
      <c r="B719">
        <v>0.31665820889640028</v>
      </c>
    </row>
    <row r="720" spans="1:2" x14ac:dyDescent="0.25">
      <c r="A720">
        <v>691</v>
      </c>
      <c r="B720">
        <v>0.15093901038332647</v>
      </c>
    </row>
    <row r="721" spans="1:2" x14ac:dyDescent="0.25">
      <c r="A721">
        <v>692</v>
      </c>
      <c r="B721">
        <v>0.17987164987726761</v>
      </c>
    </row>
    <row r="722" spans="1:2" x14ac:dyDescent="0.25">
      <c r="A722">
        <v>693</v>
      </c>
      <c r="B722">
        <v>8.6744915847560999E-2</v>
      </c>
    </row>
    <row r="723" spans="1:2" x14ac:dyDescent="0.25">
      <c r="A723">
        <v>694</v>
      </c>
      <c r="B723">
        <v>0.19373927003815986</v>
      </c>
    </row>
    <row r="724" spans="1:2" x14ac:dyDescent="0.25">
      <c r="A724">
        <v>695</v>
      </c>
      <c r="B724">
        <v>0.10321616821564455</v>
      </c>
    </row>
    <row r="725" spans="1:2" x14ac:dyDescent="0.25">
      <c r="A725">
        <v>696</v>
      </c>
      <c r="B725">
        <v>0.27609281470153851</v>
      </c>
    </row>
    <row r="726" spans="1:2" x14ac:dyDescent="0.25">
      <c r="A726">
        <v>697</v>
      </c>
      <c r="B726">
        <v>6.8112672348239214E-2</v>
      </c>
    </row>
    <row r="727" spans="1:2" x14ac:dyDescent="0.25">
      <c r="A727">
        <v>698</v>
      </c>
      <c r="B727">
        <v>2.7323398740513562E-2</v>
      </c>
    </row>
    <row r="728" spans="1:2" x14ac:dyDescent="0.25">
      <c r="A728">
        <v>699</v>
      </c>
      <c r="B728">
        <v>0.12651295486229083</v>
      </c>
    </row>
    <row r="729" spans="1:2" x14ac:dyDescent="0.25">
      <c r="A729">
        <v>700</v>
      </c>
      <c r="B729">
        <v>0.14168483955519393</v>
      </c>
    </row>
    <row r="730" spans="1:2" x14ac:dyDescent="0.25">
      <c r="A730">
        <v>701</v>
      </c>
      <c r="B730">
        <v>0.30132340895768311</v>
      </c>
    </row>
    <row r="731" spans="1:2" x14ac:dyDescent="0.25">
      <c r="A731">
        <v>702</v>
      </c>
      <c r="B731">
        <v>8.7495815728804133E-2</v>
      </c>
    </row>
    <row r="732" spans="1:2" x14ac:dyDescent="0.25">
      <c r="A732">
        <v>703</v>
      </c>
      <c r="B732">
        <v>0.16630052320404834</v>
      </c>
    </row>
    <row r="733" spans="1:2" x14ac:dyDescent="0.25">
      <c r="A733">
        <v>704</v>
      </c>
      <c r="B733">
        <v>0.10193099233509767</v>
      </c>
    </row>
    <row r="734" spans="1:2" x14ac:dyDescent="0.25">
      <c r="A734">
        <v>705</v>
      </c>
      <c r="B734">
        <v>8.1616755202485347E-2</v>
      </c>
    </row>
    <row r="735" spans="1:2" x14ac:dyDescent="0.25">
      <c r="A735">
        <v>706</v>
      </c>
      <c r="B735">
        <v>0.34488392548935626</v>
      </c>
    </row>
    <row r="736" spans="1:2" x14ac:dyDescent="0.25">
      <c r="A736">
        <v>707</v>
      </c>
      <c r="B736">
        <v>0.46585369396506815</v>
      </c>
    </row>
    <row r="737" spans="1:2" x14ac:dyDescent="0.25">
      <c r="A737">
        <v>708</v>
      </c>
      <c r="B737">
        <v>6.9140212219512151E-2</v>
      </c>
    </row>
    <row r="738" spans="1:2" x14ac:dyDescent="0.25">
      <c r="A738">
        <v>709</v>
      </c>
      <c r="B738">
        <v>0.10226939325786757</v>
      </c>
    </row>
    <row r="739" spans="1:2" x14ac:dyDescent="0.25">
      <c r="A739">
        <v>710</v>
      </c>
      <c r="B739">
        <v>0.13894585228012118</v>
      </c>
    </row>
    <row r="740" spans="1:2" x14ac:dyDescent="0.25">
      <c r="A740">
        <v>711</v>
      </c>
      <c r="B740">
        <v>0.36602334193082631</v>
      </c>
    </row>
    <row r="741" spans="1:2" x14ac:dyDescent="0.25">
      <c r="A741">
        <v>712</v>
      </c>
      <c r="B741">
        <v>0.20026528095594748</v>
      </c>
    </row>
    <row r="742" spans="1:2" x14ac:dyDescent="0.25">
      <c r="A742">
        <v>713</v>
      </c>
      <c r="B742">
        <v>0.36722907823331663</v>
      </c>
    </row>
    <row r="743" spans="1:2" x14ac:dyDescent="0.25">
      <c r="A743">
        <v>714</v>
      </c>
      <c r="B743">
        <v>0.43286930929451461</v>
      </c>
    </row>
    <row r="744" spans="1:2" x14ac:dyDescent="0.25">
      <c r="A744">
        <v>715</v>
      </c>
      <c r="B744">
        <v>0.4447551248851756</v>
      </c>
    </row>
    <row r="745" spans="1:2" x14ac:dyDescent="0.25">
      <c r="A745">
        <v>716</v>
      </c>
      <c r="B745">
        <v>5.3040067425397769E-2</v>
      </c>
    </row>
    <row r="746" spans="1:2" x14ac:dyDescent="0.25">
      <c r="A746">
        <v>717</v>
      </c>
      <c r="B746">
        <v>0.21054951231185651</v>
      </c>
    </row>
    <row r="747" spans="1:2" x14ac:dyDescent="0.25">
      <c r="A747">
        <v>718</v>
      </c>
      <c r="B747">
        <v>0.16783010855640962</v>
      </c>
    </row>
    <row r="748" spans="1:2" x14ac:dyDescent="0.25">
      <c r="A748">
        <v>719</v>
      </c>
      <c r="B748">
        <v>0.40359296737332279</v>
      </c>
    </row>
    <row r="749" spans="1:2" x14ac:dyDescent="0.25">
      <c r="A749">
        <v>720</v>
      </c>
      <c r="B749">
        <v>0.26535571048517226</v>
      </c>
    </row>
    <row r="750" spans="1:2" x14ac:dyDescent="0.25">
      <c r="A750">
        <v>721</v>
      </c>
      <c r="B750">
        <v>0.17055272424661852</v>
      </c>
    </row>
    <row r="751" spans="1:2" x14ac:dyDescent="0.25">
      <c r="A751">
        <v>722</v>
      </c>
      <c r="B751">
        <v>0.44630394151397251</v>
      </c>
    </row>
    <row r="752" spans="1:2" x14ac:dyDescent="0.25">
      <c r="A752">
        <v>723</v>
      </c>
      <c r="B752">
        <v>0.13147046096360751</v>
      </c>
    </row>
    <row r="753" spans="1:2" x14ac:dyDescent="0.25">
      <c r="A753">
        <v>724</v>
      </c>
      <c r="B753">
        <v>0.20205476241525952</v>
      </c>
    </row>
    <row r="754" spans="1:2" x14ac:dyDescent="0.25">
      <c r="A754">
        <v>725</v>
      </c>
      <c r="B754">
        <v>0.10534851024594029</v>
      </c>
    </row>
    <row r="755" spans="1:2" x14ac:dyDescent="0.25">
      <c r="A755">
        <v>726</v>
      </c>
      <c r="B755">
        <v>0.13929457985797986</v>
      </c>
    </row>
    <row r="756" spans="1:2" x14ac:dyDescent="0.25">
      <c r="A756">
        <v>727</v>
      </c>
      <c r="B756">
        <v>0.29013257597374886</v>
      </c>
    </row>
    <row r="757" spans="1:2" x14ac:dyDescent="0.25">
      <c r="A757">
        <v>728</v>
      </c>
      <c r="B757">
        <v>7.4570942633058176E-2</v>
      </c>
    </row>
    <row r="758" spans="1:2" x14ac:dyDescent="0.25">
      <c r="A758">
        <v>729</v>
      </c>
      <c r="B758">
        <v>0.24715232769270981</v>
      </c>
    </row>
    <row r="759" spans="1:2" x14ac:dyDescent="0.25">
      <c r="A759">
        <v>730</v>
      </c>
      <c r="B759">
        <v>0.14453999017586336</v>
      </c>
    </row>
    <row r="760" spans="1:2" x14ac:dyDescent="0.25">
      <c r="A760">
        <v>731</v>
      </c>
      <c r="B760">
        <v>8.1600998451994047E-2</v>
      </c>
    </row>
    <row r="761" spans="1:2" x14ac:dyDescent="0.25">
      <c r="A761">
        <v>732</v>
      </c>
      <c r="B761">
        <v>0.10701708497099049</v>
      </c>
    </row>
    <row r="762" spans="1:2" x14ac:dyDescent="0.25">
      <c r="A762">
        <v>733</v>
      </c>
      <c r="B762">
        <v>0.40245085032619371</v>
      </c>
    </row>
    <row r="763" spans="1:2" x14ac:dyDescent="0.25">
      <c r="A763">
        <v>734</v>
      </c>
      <c r="B763">
        <v>0.19930937383507455</v>
      </c>
    </row>
    <row r="764" spans="1:2" x14ac:dyDescent="0.25">
      <c r="A764">
        <v>735</v>
      </c>
      <c r="B764">
        <v>0.28420082046299144</v>
      </c>
    </row>
    <row r="765" spans="1:2" x14ac:dyDescent="0.25">
      <c r="A765">
        <v>736</v>
      </c>
      <c r="B765">
        <v>0.20562443277228734</v>
      </c>
    </row>
    <row r="766" spans="1:2" x14ac:dyDescent="0.25">
      <c r="A766">
        <v>737</v>
      </c>
      <c r="B766">
        <v>9.1481825625171515E-2</v>
      </c>
    </row>
    <row r="767" spans="1:2" x14ac:dyDescent="0.25">
      <c r="A767">
        <v>738</v>
      </c>
      <c r="B767">
        <v>0.27955799497124056</v>
      </c>
    </row>
    <row r="768" spans="1:2" x14ac:dyDescent="0.25">
      <c r="A768">
        <v>739</v>
      </c>
      <c r="B768">
        <v>0.2608600471427171</v>
      </c>
    </row>
    <row r="769" spans="1:2" x14ac:dyDescent="0.25">
      <c r="A769">
        <v>740</v>
      </c>
      <c r="B769">
        <v>0.18441571102316887</v>
      </c>
    </row>
    <row r="770" spans="1:2" x14ac:dyDescent="0.25">
      <c r="A770">
        <v>741</v>
      </c>
      <c r="B770">
        <v>9.2647166799747285E-2</v>
      </c>
    </row>
    <row r="771" spans="1:2" x14ac:dyDescent="0.25">
      <c r="A771">
        <v>742</v>
      </c>
      <c r="B771">
        <v>0.10570582306954866</v>
      </c>
    </row>
    <row r="772" spans="1:2" x14ac:dyDescent="0.25">
      <c r="A772">
        <v>743</v>
      </c>
      <c r="B772">
        <v>0.40153628975216915</v>
      </c>
    </row>
    <row r="773" spans="1:2" x14ac:dyDescent="0.25">
      <c r="A773">
        <v>744</v>
      </c>
      <c r="B773">
        <v>0.17080566889730475</v>
      </c>
    </row>
    <row r="774" spans="1:2" x14ac:dyDescent="0.25">
      <c r="A774">
        <v>745</v>
      </c>
      <c r="B774">
        <v>0.13582052382031434</v>
      </c>
    </row>
    <row r="775" spans="1:2" x14ac:dyDescent="0.25">
      <c r="A775">
        <v>746</v>
      </c>
      <c r="B775">
        <v>0.23889552838272204</v>
      </c>
    </row>
    <row r="776" spans="1:2" x14ac:dyDescent="0.25">
      <c r="A776">
        <v>747</v>
      </c>
      <c r="B776">
        <v>0.32306668981364411</v>
      </c>
    </row>
    <row r="777" spans="1:2" x14ac:dyDescent="0.25">
      <c r="A777">
        <v>748</v>
      </c>
      <c r="B777">
        <v>0.12199208222108317</v>
      </c>
    </row>
    <row r="778" spans="1:2" x14ac:dyDescent="0.25">
      <c r="A778">
        <v>749</v>
      </c>
      <c r="B778">
        <v>0.43212779770280635</v>
      </c>
    </row>
    <row r="779" spans="1:2" x14ac:dyDescent="0.25">
      <c r="A779">
        <v>750</v>
      </c>
      <c r="B779">
        <v>0.73450500439854505</v>
      </c>
    </row>
    <row r="780" spans="1:2" x14ac:dyDescent="0.25">
      <c r="A780">
        <v>751</v>
      </c>
      <c r="B780">
        <v>0.25385505260168867</v>
      </c>
    </row>
    <row r="781" spans="1:2" x14ac:dyDescent="0.25">
      <c r="A781">
        <v>752</v>
      </c>
      <c r="B781">
        <v>0.17279813677902911</v>
      </c>
    </row>
    <row r="782" spans="1:2" x14ac:dyDescent="0.25">
      <c r="A782">
        <v>753</v>
      </c>
      <c r="B782">
        <v>0.3906533427323397</v>
      </c>
    </row>
    <row r="783" spans="1:2" x14ac:dyDescent="0.25">
      <c r="A783">
        <v>754</v>
      </c>
      <c r="B783">
        <v>0.2581292629952216</v>
      </c>
    </row>
    <row r="784" spans="1:2" x14ac:dyDescent="0.25">
      <c r="A784">
        <v>755</v>
      </c>
      <c r="B784">
        <v>0.35717444492174028</v>
      </c>
    </row>
    <row r="785" spans="1:2" x14ac:dyDescent="0.25">
      <c r="A785">
        <v>756</v>
      </c>
      <c r="B785">
        <v>0.14210589186049624</v>
      </c>
    </row>
    <row r="786" spans="1:2" x14ac:dyDescent="0.25">
      <c r="A786">
        <v>757</v>
      </c>
      <c r="B786">
        <v>0.20740910214836475</v>
      </c>
    </row>
    <row r="787" spans="1:2" x14ac:dyDescent="0.25">
      <c r="A787">
        <v>758</v>
      </c>
      <c r="B787">
        <v>0.21246389340906188</v>
      </c>
    </row>
    <row r="788" spans="1:2" x14ac:dyDescent="0.25">
      <c r="A788">
        <v>759</v>
      </c>
      <c r="B788">
        <v>7.1412950666574521E-2</v>
      </c>
    </row>
    <row r="789" spans="1:2" x14ac:dyDescent="0.25">
      <c r="A789">
        <v>760</v>
      </c>
      <c r="B789">
        <v>0.10709693086855862</v>
      </c>
    </row>
    <row r="790" spans="1:2" x14ac:dyDescent="0.25">
      <c r="A790">
        <v>761</v>
      </c>
      <c r="B790">
        <v>2.0016022238982811E-2</v>
      </c>
    </row>
    <row r="791" spans="1:2" x14ac:dyDescent="0.25">
      <c r="A791">
        <v>762</v>
      </c>
      <c r="B791">
        <v>0.37708222843838557</v>
      </c>
    </row>
    <row r="792" spans="1:2" x14ac:dyDescent="0.25">
      <c r="A792">
        <v>763</v>
      </c>
      <c r="B792">
        <v>0.26238224700491097</v>
      </c>
    </row>
    <row r="793" spans="1:2" x14ac:dyDescent="0.25">
      <c r="A793">
        <v>764</v>
      </c>
      <c r="B793">
        <v>0.10776760991588268</v>
      </c>
    </row>
    <row r="794" spans="1:2" x14ac:dyDescent="0.25">
      <c r="A794">
        <v>765</v>
      </c>
      <c r="B794">
        <v>7.6539886985529673E-2</v>
      </c>
    </row>
    <row r="795" spans="1:2" x14ac:dyDescent="0.25">
      <c r="A795">
        <v>766</v>
      </c>
      <c r="B795">
        <v>0.33182067677747995</v>
      </c>
    </row>
    <row r="796" spans="1:2" x14ac:dyDescent="0.25">
      <c r="A796">
        <v>767</v>
      </c>
      <c r="B796">
        <v>0.37013668022828167</v>
      </c>
    </row>
    <row r="797" spans="1:2" x14ac:dyDescent="0.25">
      <c r="A797">
        <v>768</v>
      </c>
      <c r="B797">
        <v>6.7982732399678891E-2</v>
      </c>
    </row>
    <row r="798" spans="1:2" x14ac:dyDescent="0.25">
      <c r="A798">
        <v>769</v>
      </c>
      <c r="B798">
        <v>0.10573267703749623</v>
      </c>
    </row>
    <row r="799" spans="1:2" x14ac:dyDescent="0.25">
      <c r="A799">
        <v>770</v>
      </c>
      <c r="B799">
        <v>0.21514885428315914</v>
      </c>
    </row>
    <row r="800" spans="1:2" x14ac:dyDescent="0.25">
      <c r="A800">
        <v>771</v>
      </c>
      <c r="B800">
        <v>0.29400666077305004</v>
      </c>
    </row>
    <row r="801" spans="1:2" x14ac:dyDescent="0.25">
      <c r="A801">
        <v>772</v>
      </c>
      <c r="B801">
        <v>4.2981391101650404E-2</v>
      </c>
    </row>
    <row r="802" spans="1:2" x14ac:dyDescent="0.25">
      <c r="A802">
        <v>773</v>
      </c>
      <c r="B802">
        <v>0.25866371054699921</v>
      </c>
    </row>
    <row r="803" spans="1:2" x14ac:dyDescent="0.25">
      <c r="A803">
        <v>774</v>
      </c>
      <c r="B803">
        <v>9.0741431316174181E-2</v>
      </c>
    </row>
    <row r="804" spans="1:2" x14ac:dyDescent="0.25">
      <c r="A804">
        <v>775</v>
      </c>
      <c r="B804">
        <v>8.0648525330454163E-2</v>
      </c>
    </row>
    <row r="805" spans="1:2" x14ac:dyDescent="0.25">
      <c r="A805">
        <v>776</v>
      </c>
      <c r="B805">
        <v>0.17038809437126654</v>
      </c>
    </row>
    <row r="806" spans="1:2" x14ac:dyDescent="0.25">
      <c r="A806">
        <v>777</v>
      </c>
      <c r="B806">
        <v>0.1708478424060107</v>
      </c>
    </row>
    <row r="807" spans="1:2" x14ac:dyDescent="0.25">
      <c r="A807">
        <v>778</v>
      </c>
      <c r="B807">
        <v>0.37418490736553667</v>
      </c>
    </row>
    <row r="808" spans="1:2" x14ac:dyDescent="0.25">
      <c r="A808">
        <v>779</v>
      </c>
      <c r="B808">
        <v>0.12803293383920711</v>
      </c>
    </row>
    <row r="809" spans="1:2" x14ac:dyDescent="0.25">
      <c r="A809">
        <v>780</v>
      </c>
      <c r="B809">
        <v>0.26181813474933963</v>
      </c>
    </row>
    <row r="810" spans="1:2" x14ac:dyDescent="0.25">
      <c r="A810">
        <v>781</v>
      </c>
      <c r="B810">
        <v>0.20509175441106844</v>
      </c>
    </row>
    <row r="811" spans="1:2" x14ac:dyDescent="0.25">
      <c r="A811">
        <v>782</v>
      </c>
      <c r="B811">
        <v>0.34767798436764186</v>
      </c>
    </row>
    <row r="812" spans="1:2" x14ac:dyDescent="0.25">
      <c r="A812">
        <v>783</v>
      </c>
      <c r="B812">
        <v>5.8377890237673931E-2</v>
      </c>
    </row>
    <row r="813" spans="1:2" x14ac:dyDescent="0.25">
      <c r="A813">
        <v>784</v>
      </c>
      <c r="B813">
        <v>0.30144886231907053</v>
      </c>
    </row>
    <row r="814" spans="1:2" x14ac:dyDescent="0.25">
      <c r="A814">
        <v>785</v>
      </c>
      <c r="B814">
        <v>0.12577375566333321</v>
      </c>
    </row>
    <row r="815" spans="1:2" x14ac:dyDescent="0.25">
      <c r="A815">
        <v>786</v>
      </c>
      <c r="B815">
        <v>0.49993572034293471</v>
      </c>
    </row>
    <row r="816" spans="1:2" x14ac:dyDescent="0.25">
      <c r="A816">
        <v>787</v>
      </c>
      <c r="B816">
        <v>0.24306715054178785</v>
      </c>
    </row>
    <row r="817" spans="1:2" x14ac:dyDescent="0.25">
      <c r="A817">
        <v>788</v>
      </c>
      <c r="B817">
        <v>0.25028069897206423</v>
      </c>
    </row>
    <row r="818" spans="1:2" x14ac:dyDescent="0.25">
      <c r="A818">
        <v>789</v>
      </c>
      <c r="B818">
        <v>0.16508506972148856</v>
      </c>
    </row>
    <row r="819" spans="1:2" x14ac:dyDescent="0.25">
      <c r="A819">
        <v>790</v>
      </c>
      <c r="B819">
        <v>0.30942058243895126</v>
      </c>
    </row>
    <row r="820" spans="1:2" x14ac:dyDescent="0.25">
      <c r="A820">
        <v>791</v>
      </c>
      <c r="B820">
        <v>0.11480883351267947</v>
      </c>
    </row>
    <row r="821" spans="1:2" x14ac:dyDescent="0.25">
      <c r="A821">
        <v>792</v>
      </c>
      <c r="B821">
        <v>0.10303040123010543</v>
      </c>
    </row>
    <row r="822" spans="1:2" x14ac:dyDescent="0.25">
      <c r="A822">
        <v>793</v>
      </c>
      <c r="B822">
        <v>0.35297304754461678</v>
      </c>
    </row>
    <row r="823" spans="1:2" x14ac:dyDescent="0.25">
      <c r="A823">
        <v>794</v>
      </c>
      <c r="B823">
        <v>0.16091339256506029</v>
      </c>
    </row>
    <row r="824" spans="1:2" x14ac:dyDescent="0.25">
      <c r="A824">
        <v>795</v>
      </c>
      <c r="B824">
        <v>6.2528941808312519E-2</v>
      </c>
    </row>
    <row r="825" spans="1:2" x14ac:dyDescent="0.25">
      <c r="A825">
        <v>796</v>
      </c>
      <c r="B825">
        <v>1.2815238221592025</v>
      </c>
    </row>
    <row r="826" spans="1:2" x14ac:dyDescent="0.25">
      <c r="A826">
        <v>797</v>
      </c>
      <c r="B826">
        <v>9.9108888628401406E-2</v>
      </c>
    </row>
    <row r="827" spans="1:2" x14ac:dyDescent="0.25">
      <c r="A827">
        <v>798</v>
      </c>
      <c r="B827">
        <v>0.15568244425193278</v>
      </c>
    </row>
    <row r="828" spans="1:2" x14ac:dyDescent="0.25">
      <c r="A828">
        <v>799</v>
      </c>
      <c r="B828">
        <v>0.19790030597495786</v>
      </c>
    </row>
    <row r="829" spans="1:2" x14ac:dyDescent="0.25">
      <c r="A829">
        <v>800</v>
      </c>
      <c r="B829">
        <v>8.6814967708690127E-2</v>
      </c>
    </row>
    <row r="830" spans="1:2" x14ac:dyDescent="0.25">
      <c r="A830">
        <v>801</v>
      </c>
      <c r="B830">
        <v>0.12942980328971859</v>
      </c>
    </row>
    <row r="831" spans="1:2" x14ac:dyDescent="0.25">
      <c r="A831">
        <v>802</v>
      </c>
      <c r="B831">
        <v>0.36835500779130503</v>
      </c>
    </row>
    <row r="832" spans="1:2" x14ac:dyDescent="0.25">
      <c r="A832">
        <v>803</v>
      </c>
      <c r="B832">
        <v>0.1588614517230747</v>
      </c>
    </row>
    <row r="833" spans="1:2" x14ac:dyDescent="0.25">
      <c r="A833">
        <v>804</v>
      </c>
      <c r="B833">
        <v>0.2665752678037227</v>
      </c>
    </row>
    <row r="834" spans="1:2" x14ac:dyDescent="0.25">
      <c r="A834">
        <v>805</v>
      </c>
      <c r="B834">
        <v>0.21523261799334611</v>
      </c>
    </row>
    <row r="835" spans="1:2" x14ac:dyDescent="0.25">
      <c r="A835">
        <v>806</v>
      </c>
      <c r="B835">
        <v>0.19320467525209903</v>
      </c>
    </row>
    <row r="836" spans="1:2" x14ac:dyDescent="0.25">
      <c r="A836">
        <v>807</v>
      </c>
      <c r="B836">
        <v>0.25591506904931138</v>
      </c>
    </row>
    <row r="837" spans="1:2" x14ac:dyDescent="0.25">
      <c r="A837">
        <v>808</v>
      </c>
      <c r="B837">
        <v>0.26218078898937947</v>
      </c>
    </row>
    <row r="838" spans="1:2" x14ac:dyDescent="0.25">
      <c r="A838">
        <v>809</v>
      </c>
      <c r="B838">
        <v>0.40615175642188345</v>
      </c>
    </row>
    <row r="839" spans="1:2" x14ac:dyDescent="0.25">
      <c r="A839">
        <v>810</v>
      </c>
      <c r="B839">
        <v>5.9702902613510946E-2</v>
      </c>
    </row>
    <row r="840" spans="1:2" x14ac:dyDescent="0.25">
      <c r="A840">
        <v>811</v>
      </c>
      <c r="B840">
        <v>0.59651237122547829</v>
      </c>
    </row>
    <row r="841" spans="1:2" x14ac:dyDescent="0.25">
      <c r="A841">
        <v>812</v>
      </c>
      <c r="B841">
        <v>0.12073629336730517</v>
      </c>
    </row>
    <row r="842" spans="1:2" x14ac:dyDescent="0.25">
      <c r="A842">
        <v>813</v>
      </c>
      <c r="B842">
        <v>0.30183738051421677</v>
      </c>
    </row>
    <row r="843" spans="1:2" x14ac:dyDescent="0.25">
      <c r="A843">
        <v>814</v>
      </c>
      <c r="B843">
        <v>0.44739402247375115</v>
      </c>
    </row>
    <row r="844" spans="1:2" x14ac:dyDescent="0.25">
      <c r="A844">
        <v>815</v>
      </c>
      <c r="B844">
        <v>0.16091641290420669</v>
      </c>
    </row>
    <row r="845" spans="1:2" x14ac:dyDescent="0.25">
      <c r="A845">
        <v>816</v>
      </c>
      <c r="B845">
        <v>0.22695581780249582</v>
      </c>
    </row>
    <row r="846" spans="1:2" x14ac:dyDescent="0.25">
      <c r="A846">
        <v>817</v>
      </c>
      <c r="B846">
        <v>6.3902624844923706E-2</v>
      </c>
    </row>
    <row r="847" spans="1:2" x14ac:dyDescent="0.25">
      <c r="A847">
        <v>818</v>
      </c>
      <c r="B847">
        <v>0.26191329864628449</v>
      </c>
    </row>
    <row r="848" spans="1:2" x14ac:dyDescent="0.25">
      <c r="A848">
        <v>819</v>
      </c>
      <c r="B848">
        <v>5.8308621368830804E-2</v>
      </c>
    </row>
    <row r="849" spans="1:2" x14ac:dyDescent="0.25">
      <c r="A849">
        <v>820</v>
      </c>
      <c r="B849">
        <v>0.62466780289931179</v>
      </c>
    </row>
    <row r="850" spans="1:2" x14ac:dyDescent="0.25">
      <c r="A850">
        <v>821</v>
      </c>
      <c r="B850">
        <v>0.30859113516036007</v>
      </c>
    </row>
    <row r="851" spans="1:2" x14ac:dyDescent="0.25">
      <c r="A851">
        <v>822</v>
      </c>
      <c r="B851">
        <v>0.30464249305386515</v>
      </c>
    </row>
    <row r="852" spans="1:2" x14ac:dyDescent="0.25">
      <c r="A852">
        <v>823</v>
      </c>
      <c r="B852">
        <v>0.11062873290575545</v>
      </c>
    </row>
    <row r="853" spans="1:2" x14ac:dyDescent="0.25">
      <c r="A853">
        <v>824</v>
      </c>
      <c r="B853">
        <v>6.8707617552357783E-2</v>
      </c>
    </row>
    <row r="854" spans="1:2" x14ac:dyDescent="0.25">
      <c r="A854">
        <v>825</v>
      </c>
      <c r="B854">
        <v>0.14590774499262621</v>
      </c>
    </row>
    <row r="855" spans="1:2" x14ac:dyDescent="0.25">
      <c r="A855">
        <v>826</v>
      </c>
      <c r="B855">
        <v>0.16748588569060047</v>
      </c>
    </row>
    <row r="856" spans="1:2" x14ac:dyDescent="0.25">
      <c r="A856">
        <v>827</v>
      </c>
      <c r="B856">
        <v>0.21102549841658597</v>
      </c>
    </row>
    <row r="857" spans="1:2" x14ac:dyDescent="0.25">
      <c r="A857">
        <v>828</v>
      </c>
      <c r="B857">
        <v>0.24234664603076433</v>
      </c>
    </row>
    <row r="858" spans="1:2" x14ac:dyDescent="0.25">
      <c r="A858">
        <v>829</v>
      </c>
      <c r="B858">
        <v>0.27098902957251197</v>
      </c>
    </row>
    <row r="859" spans="1:2" x14ac:dyDescent="0.25">
      <c r="A859">
        <v>830</v>
      </c>
      <c r="B859">
        <v>0.15056006160853358</v>
      </c>
    </row>
    <row r="860" spans="1:2" x14ac:dyDescent="0.25">
      <c r="A860">
        <v>831</v>
      </c>
      <c r="B860">
        <v>0.23261465128075956</v>
      </c>
    </row>
    <row r="861" spans="1:2" x14ac:dyDescent="0.25">
      <c r="A861">
        <v>832</v>
      </c>
      <c r="B861">
        <v>0.19055714034014193</v>
      </c>
    </row>
    <row r="862" spans="1:2" x14ac:dyDescent="0.25">
      <c r="A862">
        <v>833</v>
      </c>
      <c r="B862">
        <v>0.42676898214611797</v>
      </c>
    </row>
    <row r="863" spans="1:2" x14ac:dyDescent="0.25">
      <c r="A863">
        <v>834</v>
      </c>
      <c r="B863">
        <v>0.21857171595401984</v>
      </c>
    </row>
    <row r="864" spans="1:2" x14ac:dyDescent="0.25">
      <c r="A864">
        <v>835</v>
      </c>
      <c r="B864">
        <v>0.16748834113805222</v>
      </c>
    </row>
    <row r="865" spans="1:2" x14ac:dyDescent="0.25">
      <c r="A865">
        <v>836</v>
      </c>
      <c r="B865">
        <v>7.3423150669024509E-2</v>
      </c>
    </row>
    <row r="866" spans="1:2" x14ac:dyDescent="0.25">
      <c r="A866">
        <v>837</v>
      </c>
      <c r="B866">
        <v>0.26763591539461062</v>
      </c>
    </row>
    <row r="867" spans="1:2" x14ac:dyDescent="0.25">
      <c r="A867">
        <v>838</v>
      </c>
      <c r="B867">
        <v>0.17948118210255759</v>
      </c>
    </row>
    <row r="868" spans="1:2" x14ac:dyDescent="0.25">
      <c r="A868">
        <v>839</v>
      </c>
      <c r="B868">
        <v>0.22942498282815477</v>
      </c>
    </row>
    <row r="869" spans="1:2" x14ac:dyDescent="0.25">
      <c r="A869">
        <v>840</v>
      </c>
      <c r="B869">
        <v>0.13124037678871622</v>
      </c>
    </row>
    <row r="870" spans="1:2" x14ac:dyDescent="0.25">
      <c r="A870">
        <v>841</v>
      </c>
      <c r="B870">
        <v>0.28408703616466074</v>
      </c>
    </row>
    <row r="871" spans="1:2" x14ac:dyDescent="0.25">
      <c r="A871">
        <v>842</v>
      </c>
      <c r="B871">
        <v>0.12390344338941418</v>
      </c>
    </row>
    <row r="872" spans="1:2" x14ac:dyDescent="0.25">
      <c r="A872">
        <v>843</v>
      </c>
      <c r="B872">
        <v>0.14488091863320174</v>
      </c>
    </row>
    <row r="873" spans="1:2" x14ac:dyDescent="0.25">
      <c r="A873">
        <v>844</v>
      </c>
      <c r="B873">
        <v>9.3333275187235401E-2</v>
      </c>
    </row>
    <row r="874" spans="1:2" x14ac:dyDescent="0.25">
      <c r="A874">
        <v>845</v>
      </c>
      <c r="B874">
        <v>0.2218774881830175</v>
      </c>
    </row>
    <row r="875" spans="1:2" x14ac:dyDescent="0.25">
      <c r="A875">
        <v>846</v>
      </c>
      <c r="B875">
        <v>0.19416461801311011</v>
      </c>
    </row>
    <row r="876" spans="1:2" x14ac:dyDescent="0.25">
      <c r="A876">
        <v>847</v>
      </c>
      <c r="B876">
        <v>0.31476274999011622</v>
      </c>
    </row>
    <row r="877" spans="1:2" x14ac:dyDescent="0.25">
      <c r="A877">
        <v>848</v>
      </c>
      <c r="B877">
        <v>0.21417264456468504</v>
      </c>
    </row>
    <row r="878" spans="1:2" x14ac:dyDescent="0.25">
      <c r="A878">
        <v>849</v>
      </c>
      <c r="B878">
        <v>5.7015918862663155E-2</v>
      </c>
    </row>
    <row r="879" spans="1:2" x14ac:dyDescent="0.25">
      <c r="A879">
        <v>850</v>
      </c>
      <c r="B879">
        <v>0.18920076088396473</v>
      </c>
    </row>
    <row r="880" spans="1:2" x14ac:dyDescent="0.25">
      <c r="A880">
        <v>851</v>
      </c>
      <c r="B880">
        <v>9.9754131873323451E-2</v>
      </c>
    </row>
    <row r="881" spans="1:2" x14ac:dyDescent="0.25">
      <c r="A881">
        <v>852</v>
      </c>
      <c r="B881">
        <v>0.16452248010740225</v>
      </c>
    </row>
    <row r="882" spans="1:2" x14ac:dyDescent="0.25">
      <c r="A882">
        <v>853</v>
      </c>
      <c r="B882">
        <v>0.1309281763929307</v>
      </c>
    </row>
    <row r="883" spans="1:2" x14ac:dyDescent="0.25">
      <c r="A883">
        <v>854</v>
      </c>
      <c r="B883">
        <v>0.12962484709191985</v>
      </c>
    </row>
    <row r="884" spans="1:2" x14ac:dyDescent="0.25">
      <c r="A884">
        <v>855</v>
      </c>
      <c r="B884">
        <v>0.22757792165175952</v>
      </c>
    </row>
    <row r="885" spans="1:2" x14ac:dyDescent="0.25">
      <c r="A885">
        <v>856</v>
      </c>
      <c r="B885">
        <v>8.2110071738105556E-2</v>
      </c>
    </row>
    <row r="886" spans="1:2" x14ac:dyDescent="0.25">
      <c r="A886">
        <v>857</v>
      </c>
      <c r="B886">
        <v>4.8649285890038287E-2</v>
      </c>
    </row>
    <row r="887" spans="1:2" x14ac:dyDescent="0.25">
      <c r="A887">
        <v>858</v>
      </c>
      <c r="B887">
        <v>0.32450019938659797</v>
      </c>
    </row>
    <row r="888" spans="1:2" x14ac:dyDescent="0.25">
      <c r="A888">
        <v>859</v>
      </c>
      <c r="B888">
        <v>0.19262068600061449</v>
      </c>
    </row>
    <row r="889" spans="1:2" x14ac:dyDescent="0.25">
      <c r="A889">
        <v>860</v>
      </c>
      <c r="B889">
        <v>0.11136193752577669</v>
      </c>
    </row>
    <row r="890" spans="1:2" x14ac:dyDescent="0.25">
      <c r="A890">
        <v>861</v>
      </c>
      <c r="B890">
        <v>0.21955380682174463</v>
      </c>
    </row>
    <row r="891" spans="1:2" x14ac:dyDescent="0.25">
      <c r="A891">
        <v>862</v>
      </c>
      <c r="B891">
        <v>0.284993980709982</v>
      </c>
    </row>
    <row r="892" spans="1:2" x14ac:dyDescent="0.25">
      <c r="A892">
        <v>863</v>
      </c>
      <c r="B892">
        <v>0.22851585653768544</v>
      </c>
    </row>
    <row r="893" spans="1:2" x14ac:dyDescent="0.25">
      <c r="A893">
        <v>864</v>
      </c>
      <c r="B893">
        <v>0.15876012307907772</v>
      </c>
    </row>
    <row r="894" spans="1:2" x14ac:dyDescent="0.25">
      <c r="A894">
        <v>865</v>
      </c>
      <c r="B894">
        <v>0.23730216552037045</v>
      </c>
    </row>
    <row r="895" spans="1:2" x14ac:dyDescent="0.25">
      <c r="A895">
        <v>866</v>
      </c>
      <c r="B895">
        <v>0.28046878637280631</v>
      </c>
    </row>
    <row r="896" spans="1:2" x14ac:dyDescent="0.25">
      <c r="A896">
        <v>867</v>
      </c>
      <c r="B896">
        <v>0.38867780523240558</v>
      </c>
    </row>
    <row r="897" spans="1:2" x14ac:dyDescent="0.25">
      <c r="A897">
        <v>868</v>
      </c>
      <c r="B897">
        <v>0.26139086112629412</v>
      </c>
    </row>
    <row r="898" spans="1:2" x14ac:dyDescent="0.25">
      <c r="A898">
        <v>869</v>
      </c>
      <c r="B898">
        <v>0.13767574198226556</v>
      </c>
    </row>
    <row r="899" spans="1:2" x14ac:dyDescent="0.25">
      <c r="A899">
        <v>870</v>
      </c>
      <c r="B899">
        <v>0.13762021590924928</v>
      </c>
    </row>
    <row r="900" spans="1:2" x14ac:dyDescent="0.25">
      <c r="A900">
        <v>871</v>
      </c>
      <c r="B900">
        <v>0.119692808849162</v>
      </c>
    </row>
    <row r="901" spans="1:2" x14ac:dyDescent="0.25">
      <c r="A901">
        <v>872</v>
      </c>
      <c r="B901">
        <v>0.23135590285264426</v>
      </c>
    </row>
    <row r="902" spans="1:2" x14ac:dyDescent="0.25">
      <c r="A902">
        <v>873</v>
      </c>
      <c r="B902">
        <v>0.14631317876997038</v>
      </c>
    </row>
    <row r="903" spans="1:2" x14ac:dyDescent="0.25">
      <c r="A903">
        <v>874</v>
      </c>
      <c r="B903">
        <v>0.1719607468335789</v>
      </c>
    </row>
    <row r="904" spans="1:2" x14ac:dyDescent="0.25">
      <c r="A904">
        <v>875</v>
      </c>
      <c r="B904">
        <v>0.28260341294299451</v>
      </c>
    </row>
    <row r="905" spans="1:2" x14ac:dyDescent="0.25">
      <c r="A905">
        <v>876</v>
      </c>
      <c r="B905">
        <v>0.29404282921796876</v>
      </c>
    </row>
    <row r="906" spans="1:2" x14ac:dyDescent="0.25">
      <c r="A906">
        <v>877</v>
      </c>
      <c r="B906">
        <v>0.14688170566429556</v>
      </c>
    </row>
    <row r="907" spans="1:2" x14ac:dyDescent="0.25">
      <c r="A907">
        <v>878</v>
      </c>
      <c r="B907">
        <v>0.64379101533322414</v>
      </c>
    </row>
    <row r="908" spans="1:2" x14ac:dyDescent="0.25">
      <c r="A908">
        <v>879</v>
      </c>
      <c r="B908">
        <v>0.15406112125027674</v>
      </c>
    </row>
    <row r="909" spans="1:2" x14ac:dyDescent="0.25">
      <c r="A909">
        <v>880</v>
      </c>
      <c r="B909">
        <v>0.10135552840024348</v>
      </c>
    </row>
    <row r="910" spans="1:2" x14ac:dyDescent="0.25">
      <c r="A910">
        <v>881</v>
      </c>
      <c r="B910">
        <v>0.41081474830226233</v>
      </c>
    </row>
    <row r="911" spans="1:2" x14ac:dyDescent="0.25">
      <c r="A911">
        <v>882</v>
      </c>
      <c r="B911">
        <v>0.26384206155438095</v>
      </c>
    </row>
    <row r="912" spans="1:2" x14ac:dyDescent="0.25">
      <c r="A912">
        <v>883</v>
      </c>
      <c r="B912">
        <v>8.3636674484411727E-2</v>
      </c>
    </row>
    <row r="913" spans="1:2" x14ac:dyDescent="0.25">
      <c r="A913">
        <v>884</v>
      </c>
      <c r="B913">
        <v>0.122674102982886</v>
      </c>
    </row>
    <row r="914" spans="1:2" x14ac:dyDescent="0.25">
      <c r="A914">
        <v>885</v>
      </c>
      <c r="B914">
        <v>6.3957269981327905E-2</v>
      </c>
    </row>
    <row r="915" spans="1:2" x14ac:dyDescent="0.25">
      <c r="A915">
        <v>886</v>
      </c>
      <c r="B915">
        <v>0.41607699690526451</v>
      </c>
    </row>
    <row r="916" spans="1:2" x14ac:dyDescent="0.25">
      <c r="A916">
        <v>887</v>
      </c>
      <c r="B916">
        <v>0.10177125295581782</v>
      </c>
    </row>
    <row r="917" spans="1:2" x14ac:dyDescent="0.25">
      <c r="A917">
        <v>888</v>
      </c>
      <c r="B917">
        <v>0.12447935071377861</v>
      </c>
    </row>
    <row r="918" spans="1:2" x14ac:dyDescent="0.25">
      <c r="A918">
        <v>889</v>
      </c>
      <c r="B918">
        <v>0.11396559577185172</v>
      </c>
    </row>
    <row r="919" spans="1:2" x14ac:dyDescent="0.25">
      <c r="A919">
        <v>890</v>
      </c>
      <c r="B919">
        <v>0.11727153612110627</v>
      </c>
    </row>
    <row r="920" spans="1:2" x14ac:dyDescent="0.25">
      <c r="A920">
        <v>891</v>
      </c>
      <c r="B920">
        <v>0.32027843794992683</v>
      </c>
    </row>
    <row r="921" spans="1:2" x14ac:dyDescent="0.25">
      <c r="A921">
        <v>892</v>
      </c>
      <c r="B921">
        <v>3.2049465806676836E-2</v>
      </c>
    </row>
    <row r="922" spans="1:2" x14ac:dyDescent="0.25">
      <c r="A922">
        <v>893</v>
      </c>
      <c r="B922">
        <v>8.1826249196756004E-2</v>
      </c>
    </row>
    <row r="923" spans="1:2" x14ac:dyDescent="0.25">
      <c r="A923">
        <v>894</v>
      </c>
      <c r="B923">
        <v>0.29302536382708683</v>
      </c>
    </row>
    <row r="924" spans="1:2" x14ac:dyDescent="0.25">
      <c r="A924">
        <v>895</v>
      </c>
      <c r="B924">
        <v>0.18306433572656194</v>
      </c>
    </row>
    <row r="925" spans="1:2" x14ac:dyDescent="0.25">
      <c r="A925">
        <v>896</v>
      </c>
      <c r="B925">
        <v>0.19139844311132306</v>
      </c>
    </row>
    <row r="926" spans="1:2" x14ac:dyDescent="0.25">
      <c r="A926">
        <v>897</v>
      </c>
      <c r="B926">
        <v>0.16209942884122039</v>
      </c>
    </row>
    <row r="927" spans="1:2" x14ac:dyDescent="0.25">
      <c r="A927">
        <v>898</v>
      </c>
      <c r="B927">
        <v>0.10075080689839176</v>
      </c>
    </row>
    <row r="928" spans="1:2" x14ac:dyDescent="0.25">
      <c r="A928">
        <v>899</v>
      </c>
      <c r="B928">
        <v>4.6457182467445797E-2</v>
      </c>
    </row>
    <row r="929" spans="1:2" x14ac:dyDescent="0.25">
      <c r="A929">
        <v>900</v>
      </c>
      <c r="B929">
        <v>5.2422163462772432E-2</v>
      </c>
    </row>
    <row r="930" spans="1:2" x14ac:dyDescent="0.25">
      <c r="A930">
        <v>901</v>
      </c>
      <c r="B930">
        <v>0.13812659467740826</v>
      </c>
    </row>
    <row r="931" spans="1:2" x14ac:dyDescent="0.25">
      <c r="A931">
        <v>902</v>
      </c>
      <c r="B931">
        <v>0.26347033947276155</v>
      </c>
    </row>
    <row r="932" spans="1:2" x14ac:dyDescent="0.25">
      <c r="A932">
        <v>903</v>
      </c>
      <c r="B932">
        <v>0.22308296799552227</v>
      </c>
    </row>
    <row r="933" spans="1:2" x14ac:dyDescent="0.25">
      <c r="A933">
        <v>904</v>
      </c>
      <c r="B933">
        <v>0.60728556407496503</v>
      </c>
    </row>
    <row r="934" spans="1:2" x14ac:dyDescent="0.25">
      <c r="A934">
        <v>905</v>
      </c>
      <c r="B934">
        <v>0.19440949777165176</v>
      </c>
    </row>
    <row r="935" spans="1:2" x14ac:dyDescent="0.25">
      <c r="A935">
        <v>906</v>
      </c>
      <c r="B935">
        <v>5.4903652808404743E-2</v>
      </c>
    </row>
    <row r="936" spans="1:2" x14ac:dyDescent="0.25">
      <c r="A936">
        <v>907</v>
      </c>
      <c r="B936">
        <v>0.31430043125642387</v>
      </c>
    </row>
    <row r="937" spans="1:2" x14ac:dyDescent="0.25">
      <c r="A937">
        <v>908</v>
      </c>
      <c r="B937">
        <v>0.48007319675586696</v>
      </c>
    </row>
    <row r="938" spans="1:2" x14ac:dyDescent="0.25">
      <c r="A938">
        <v>909</v>
      </c>
      <c r="B938">
        <v>7.8571489349211959E-2</v>
      </c>
    </row>
    <row r="939" spans="1:2" x14ac:dyDescent="0.25">
      <c r="A939">
        <v>910</v>
      </c>
      <c r="B939">
        <v>0.28031864600003836</v>
      </c>
    </row>
    <row r="940" spans="1:2" x14ac:dyDescent="0.25">
      <c r="A940">
        <v>911</v>
      </c>
      <c r="B940">
        <v>0.25084629565491634</v>
      </c>
    </row>
    <row r="941" spans="1:2" x14ac:dyDescent="0.25">
      <c r="A941">
        <v>912</v>
      </c>
      <c r="B941">
        <v>0.16853330333951316</v>
      </c>
    </row>
    <row r="942" spans="1:2" x14ac:dyDescent="0.25">
      <c r="A942">
        <v>913</v>
      </c>
      <c r="B942">
        <v>0.20994665948917127</v>
      </c>
    </row>
    <row r="943" spans="1:2" x14ac:dyDescent="0.25">
      <c r="A943">
        <v>914</v>
      </c>
      <c r="B943">
        <v>0.25452354287849677</v>
      </c>
    </row>
    <row r="944" spans="1:2" x14ac:dyDescent="0.25">
      <c r="A944">
        <v>915</v>
      </c>
      <c r="B944">
        <v>0.13032211550052122</v>
      </c>
    </row>
    <row r="945" spans="1:2" x14ac:dyDescent="0.25">
      <c r="A945">
        <v>916</v>
      </c>
      <c r="B945">
        <v>0.1489861661653947</v>
      </c>
    </row>
    <row r="946" spans="1:2" x14ac:dyDescent="0.25">
      <c r="A946">
        <v>917</v>
      </c>
      <c r="B946">
        <v>4.8819001717863617E-2</v>
      </c>
    </row>
    <row r="947" spans="1:2" x14ac:dyDescent="0.25">
      <c r="A947">
        <v>918</v>
      </c>
      <c r="B947">
        <v>0.46726168896894932</v>
      </c>
    </row>
    <row r="948" spans="1:2" x14ac:dyDescent="0.25">
      <c r="A948">
        <v>919</v>
      </c>
      <c r="B948">
        <v>8.5666442158778541E-2</v>
      </c>
    </row>
    <row r="949" spans="1:2" x14ac:dyDescent="0.25">
      <c r="A949">
        <v>920</v>
      </c>
      <c r="B949">
        <v>6.0156468473608317E-2</v>
      </c>
    </row>
    <row r="950" spans="1:2" x14ac:dyDescent="0.25">
      <c r="A950">
        <v>921</v>
      </c>
      <c r="B950">
        <v>6.1589379582263737E-2</v>
      </c>
    </row>
    <row r="951" spans="1:2" x14ac:dyDescent="0.25">
      <c r="A951">
        <v>922</v>
      </c>
      <c r="B951">
        <v>4.5516254012859095E-2</v>
      </c>
    </row>
    <row r="952" spans="1:2" x14ac:dyDescent="0.25">
      <c r="A952">
        <v>923</v>
      </c>
      <c r="B952">
        <v>0.28889399690478573</v>
      </c>
    </row>
    <row r="953" spans="1:2" x14ac:dyDescent="0.25">
      <c r="A953">
        <v>924</v>
      </c>
      <c r="B953">
        <v>0.20557780575822507</v>
      </c>
    </row>
    <row r="954" spans="1:2" x14ac:dyDescent="0.25">
      <c r="A954">
        <v>925</v>
      </c>
      <c r="B954">
        <v>5.4565725819244272E-2</v>
      </c>
    </row>
    <row r="955" spans="1:2" x14ac:dyDescent="0.25">
      <c r="A955">
        <v>926</v>
      </c>
      <c r="B955">
        <v>4.965622538446713E-2</v>
      </c>
    </row>
    <row r="956" spans="1:2" x14ac:dyDescent="0.25">
      <c r="A956">
        <v>927</v>
      </c>
      <c r="B956">
        <v>0.26013117921004697</v>
      </c>
    </row>
    <row r="957" spans="1:2" x14ac:dyDescent="0.25">
      <c r="A957">
        <v>928</v>
      </c>
      <c r="B957">
        <v>0.28224083069406319</v>
      </c>
    </row>
    <row r="958" spans="1:2" x14ac:dyDescent="0.25">
      <c r="A958">
        <v>929</v>
      </c>
      <c r="B958">
        <v>4.8108784796381254E-2</v>
      </c>
    </row>
    <row r="959" spans="1:2" x14ac:dyDescent="0.25">
      <c r="A959">
        <v>930</v>
      </c>
      <c r="B959">
        <v>0.19663199154180067</v>
      </c>
    </row>
    <row r="960" spans="1:2" x14ac:dyDescent="0.25">
      <c r="A960">
        <v>931</v>
      </c>
      <c r="B960">
        <v>0.10825240150870423</v>
      </c>
    </row>
    <row r="961" spans="1:2" x14ac:dyDescent="0.25">
      <c r="A961">
        <v>932</v>
      </c>
      <c r="B961">
        <v>0.23382570067184699</v>
      </c>
    </row>
    <row r="962" spans="1:2" x14ac:dyDescent="0.25">
      <c r="A962">
        <v>933</v>
      </c>
      <c r="B962">
        <v>0.16351179150588177</v>
      </c>
    </row>
    <row r="963" spans="1:2" x14ac:dyDescent="0.25">
      <c r="A963">
        <v>934</v>
      </c>
      <c r="B963">
        <v>0.2752542706889034</v>
      </c>
    </row>
    <row r="964" spans="1:2" x14ac:dyDescent="0.25">
      <c r="A964">
        <v>935</v>
      </c>
      <c r="B964">
        <v>0.4860978754554271</v>
      </c>
    </row>
    <row r="965" spans="1:2" x14ac:dyDescent="0.25">
      <c r="A965">
        <v>936</v>
      </c>
      <c r="B965">
        <v>0.11113722895416898</v>
      </c>
    </row>
    <row r="966" spans="1:2" x14ac:dyDescent="0.25">
      <c r="A966">
        <v>937</v>
      </c>
      <c r="B966">
        <v>0.32649634538658928</v>
      </c>
    </row>
    <row r="967" spans="1:2" x14ac:dyDescent="0.25">
      <c r="A967">
        <v>938</v>
      </c>
      <c r="B967">
        <v>0.12310898356972497</v>
      </c>
    </row>
    <row r="968" spans="1:2" x14ac:dyDescent="0.25">
      <c r="A968">
        <v>939</v>
      </c>
      <c r="B968">
        <v>9.0155443370207089E-2</v>
      </c>
    </row>
    <row r="969" spans="1:2" x14ac:dyDescent="0.25">
      <c r="A969">
        <v>940</v>
      </c>
      <c r="B969">
        <v>0.2729373962345063</v>
      </c>
    </row>
    <row r="970" spans="1:2" x14ac:dyDescent="0.25">
      <c r="A970">
        <v>941</v>
      </c>
      <c r="B970">
        <v>0.14168742491326586</v>
      </c>
    </row>
    <row r="971" spans="1:2" x14ac:dyDescent="0.25">
      <c r="A971">
        <v>942</v>
      </c>
      <c r="B971">
        <v>8.0276891246214954E-2</v>
      </c>
    </row>
    <row r="972" spans="1:2" x14ac:dyDescent="0.25">
      <c r="A972">
        <v>943</v>
      </c>
      <c r="B972">
        <v>0.18415226935046822</v>
      </c>
    </row>
    <row r="973" spans="1:2" x14ac:dyDescent="0.25">
      <c r="A973">
        <v>944</v>
      </c>
      <c r="B973">
        <v>9.3767232313721721E-2</v>
      </c>
    </row>
    <row r="974" spans="1:2" x14ac:dyDescent="0.25">
      <c r="A974">
        <v>945</v>
      </c>
      <c r="B974">
        <v>7.6586729186226027E-2</v>
      </c>
    </row>
    <row r="975" spans="1:2" x14ac:dyDescent="0.25">
      <c r="A975">
        <v>946</v>
      </c>
      <c r="B975">
        <v>0.2685614273028516</v>
      </c>
    </row>
    <row r="976" spans="1:2" x14ac:dyDescent="0.25">
      <c r="A976">
        <v>947</v>
      </c>
      <c r="B976">
        <v>0.14982377724513141</v>
      </c>
    </row>
    <row r="977" spans="1:2" x14ac:dyDescent="0.25">
      <c r="A977">
        <v>948</v>
      </c>
      <c r="B977">
        <v>0.25882715945057388</v>
      </c>
    </row>
    <row r="978" spans="1:2" x14ac:dyDescent="0.25">
      <c r="A978">
        <v>949</v>
      </c>
      <c r="B978">
        <v>0.40135166399798661</v>
      </c>
    </row>
    <row r="979" spans="1:2" x14ac:dyDescent="0.25">
      <c r="A979">
        <v>950</v>
      </c>
      <c r="B979">
        <v>0.23269420505317112</v>
      </c>
    </row>
    <row r="980" spans="1:2" x14ac:dyDescent="0.25">
      <c r="A980">
        <v>951</v>
      </c>
      <c r="B980">
        <v>0.14180242375194788</v>
      </c>
    </row>
    <row r="981" spans="1:2" x14ac:dyDescent="0.25">
      <c r="A981">
        <v>952</v>
      </c>
      <c r="B981">
        <v>0.11517579904723431</v>
      </c>
    </row>
    <row r="982" spans="1:2" x14ac:dyDescent="0.25">
      <c r="A982">
        <v>953</v>
      </c>
      <c r="B982">
        <v>4.9857919762208609E-2</v>
      </c>
    </row>
    <row r="983" spans="1:2" x14ac:dyDescent="0.25">
      <c r="A983">
        <v>954</v>
      </c>
      <c r="B983">
        <v>0.11435118117731589</v>
      </c>
    </row>
    <row r="984" spans="1:2" x14ac:dyDescent="0.25">
      <c r="A984">
        <v>955</v>
      </c>
      <c r="B984">
        <v>0.34563778834127562</v>
      </c>
    </row>
    <row r="985" spans="1:2" x14ac:dyDescent="0.25">
      <c r="A985">
        <v>956</v>
      </c>
      <c r="B985">
        <v>0.19958809252871257</v>
      </c>
    </row>
    <row r="986" spans="1:2" x14ac:dyDescent="0.25">
      <c r="A986">
        <v>957</v>
      </c>
      <c r="B986">
        <v>0.1042132429416073</v>
      </c>
    </row>
    <row r="987" spans="1:2" x14ac:dyDescent="0.25">
      <c r="A987">
        <v>958</v>
      </c>
      <c r="B987">
        <v>0.24967137879776113</v>
      </c>
    </row>
    <row r="988" spans="1:2" x14ac:dyDescent="0.25">
      <c r="A988">
        <v>959</v>
      </c>
      <c r="B988">
        <v>0.2663216154851904</v>
      </c>
    </row>
    <row r="989" spans="1:2" x14ac:dyDescent="0.25">
      <c r="A989">
        <v>960</v>
      </c>
      <c r="B989">
        <v>0.38326822123572735</v>
      </c>
    </row>
    <row r="990" spans="1:2" x14ac:dyDescent="0.25">
      <c r="A990">
        <v>961</v>
      </c>
      <c r="B990">
        <v>0.32416661430155885</v>
      </c>
    </row>
    <row r="991" spans="1:2" x14ac:dyDescent="0.25">
      <c r="A991">
        <v>962</v>
      </c>
      <c r="B991">
        <v>0.24999882560820436</v>
      </c>
    </row>
    <row r="992" spans="1:2" x14ac:dyDescent="0.25">
      <c r="A992">
        <v>963</v>
      </c>
      <c r="B992">
        <v>2.95928944636571E-2</v>
      </c>
    </row>
    <row r="993" spans="1:2" x14ac:dyDescent="0.25">
      <c r="A993">
        <v>964</v>
      </c>
      <c r="B993">
        <v>3.7516188721371739E-2</v>
      </c>
    </row>
    <row r="994" spans="1:2" x14ac:dyDescent="0.25">
      <c r="A994">
        <v>965</v>
      </c>
      <c r="B994">
        <v>9.2592666547657701E-2</v>
      </c>
    </row>
    <row r="995" spans="1:2" x14ac:dyDescent="0.25">
      <c r="A995">
        <v>966</v>
      </c>
      <c r="B995">
        <v>0.13049469058310986</v>
      </c>
    </row>
    <row r="996" spans="1:2" x14ac:dyDescent="0.25">
      <c r="A996">
        <v>967</v>
      </c>
      <c r="B996">
        <v>0.19204535334960857</v>
      </c>
    </row>
    <row r="997" spans="1:2" x14ac:dyDescent="0.25">
      <c r="A997">
        <v>968</v>
      </c>
      <c r="B997">
        <v>1.3374647603286467</v>
      </c>
    </row>
    <row r="998" spans="1:2" x14ac:dyDescent="0.25">
      <c r="A998">
        <v>969</v>
      </c>
      <c r="B998">
        <v>5.3126882158986914E-2</v>
      </c>
    </row>
    <row r="999" spans="1:2" x14ac:dyDescent="0.25">
      <c r="A999">
        <v>970</v>
      </c>
      <c r="B999">
        <v>0.15567583980480149</v>
      </c>
    </row>
    <row r="1000" spans="1:2" x14ac:dyDescent="0.25">
      <c r="A1000">
        <v>971</v>
      </c>
      <c r="B1000">
        <v>0.11454412954337295</v>
      </c>
    </row>
    <row r="1001" spans="1:2" x14ac:dyDescent="0.25">
      <c r="A1001">
        <v>972</v>
      </c>
      <c r="B1001">
        <v>0.37355883984912047</v>
      </c>
    </row>
    <row r="1002" spans="1:2" x14ac:dyDescent="0.25">
      <c r="A1002">
        <v>973</v>
      </c>
      <c r="B1002">
        <v>0.3411584177160622</v>
      </c>
    </row>
    <row r="1003" spans="1:2" x14ac:dyDescent="0.25">
      <c r="A1003">
        <v>974</v>
      </c>
      <c r="B1003">
        <v>0.13062463124156778</v>
      </c>
    </row>
    <row r="1004" spans="1:2" x14ac:dyDescent="0.25">
      <c r="A1004">
        <v>975</v>
      </c>
      <c r="B1004">
        <v>0.285385831255691</v>
      </c>
    </row>
    <row r="1005" spans="1:2" x14ac:dyDescent="0.25">
      <c r="A1005">
        <v>976</v>
      </c>
      <c r="B1005">
        <v>0.28369387997336182</v>
      </c>
    </row>
    <row r="1006" spans="1:2" x14ac:dyDescent="0.25">
      <c r="A1006">
        <v>977</v>
      </c>
      <c r="B1006">
        <v>5.4818285735731748E-2</v>
      </c>
    </row>
    <row r="1007" spans="1:2" x14ac:dyDescent="0.25">
      <c r="A1007">
        <v>978</v>
      </c>
      <c r="B1007">
        <v>0.34939257346198932</v>
      </c>
    </row>
    <row r="1008" spans="1:2" x14ac:dyDescent="0.25">
      <c r="A1008">
        <v>979</v>
      </c>
      <c r="B1008">
        <v>0.22032892805665086</v>
      </c>
    </row>
    <row r="1009" spans="1:2" x14ac:dyDescent="0.25">
      <c r="A1009">
        <v>980</v>
      </c>
      <c r="B1009">
        <v>0.10185836170814655</v>
      </c>
    </row>
    <row r="1010" spans="1:2" x14ac:dyDescent="0.25">
      <c r="A1010">
        <v>981</v>
      </c>
      <c r="B1010">
        <v>0.19666955839511827</v>
      </c>
    </row>
    <row r="1011" spans="1:2" x14ac:dyDescent="0.25">
      <c r="A1011">
        <v>982</v>
      </c>
      <c r="B1011">
        <v>0.2009483138873652</v>
      </c>
    </row>
    <row r="1012" spans="1:2" x14ac:dyDescent="0.25">
      <c r="A1012">
        <v>983</v>
      </c>
      <c r="B1012">
        <v>0.24199491852947222</v>
      </c>
    </row>
    <row r="1013" spans="1:2" x14ac:dyDescent="0.25">
      <c r="A1013">
        <v>984</v>
      </c>
      <c r="B1013">
        <v>6.6125508081238682E-2</v>
      </c>
    </row>
    <row r="1014" spans="1:2" x14ac:dyDescent="0.25">
      <c r="A1014">
        <v>985</v>
      </c>
      <c r="B1014">
        <v>0.29796323426134408</v>
      </c>
    </row>
    <row r="1015" spans="1:2" x14ac:dyDescent="0.25">
      <c r="A1015">
        <v>986</v>
      </c>
      <c r="B1015">
        <v>0.1468531102376604</v>
      </c>
    </row>
    <row r="1016" spans="1:2" x14ac:dyDescent="0.25">
      <c r="A1016">
        <v>987</v>
      </c>
      <c r="B1016">
        <v>0.46562895324272874</v>
      </c>
    </row>
    <row r="1017" spans="1:2" x14ac:dyDescent="0.25">
      <c r="A1017">
        <v>988</v>
      </c>
      <c r="B1017">
        <v>0.41548815032500303</v>
      </c>
    </row>
    <row r="1018" spans="1:2" x14ac:dyDescent="0.25">
      <c r="A1018">
        <v>989</v>
      </c>
      <c r="B1018">
        <v>0.28992680382721092</v>
      </c>
    </row>
    <row r="1019" spans="1:2" x14ac:dyDescent="0.25">
      <c r="A1019">
        <v>990</v>
      </c>
      <c r="B1019">
        <v>0.55406295195552469</v>
      </c>
    </row>
    <row r="1020" spans="1:2" x14ac:dyDescent="0.25">
      <c r="A1020">
        <v>991</v>
      </c>
      <c r="B1020">
        <v>5.5647707774779266E-2</v>
      </c>
    </row>
    <row r="1021" spans="1:2" x14ac:dyDescent="0.25">
      <c r="A1021">
        <v>992</v>
      </c>
      <c r="B1021">
        <v>6.345779700472147E-2</v>
      </c>
    </row>
    <row r="1022" spans="1:2" x14ac:dyDescent="0.25">
      <c r="A1022">
        <v>993</v>
      </c>
      <c r="B1022">
        <v>0.23537457821813673</v>
      </c>
    </row>
    <row r="1023" spans="1:2" x14ac:dyDescent="0.25">
      <c r="A1023">
        <v>994</v>
      </c>
      <c r="B1023">
        <v>0.12758710566820242</v>
      </c>
    </row>
    <row r="1024" spans="1:2" x14ac:dyDescent="0.25">
      <c r="A1024">
        <v>995</v>
      </c>
      <c r="B1024">
        <v>5.9973379233413067E-2</v>
      </c>
    </row>
    <row r="1025" spans="1:2" x14ac:dyDescent="0.25">
      <c r="A1025">
        <v>996</v>
      </c>
      <c r="B1025">
        <v>0.25039259626337007</v>
      </c>
    </row>
    <row r="1026" spans="1:2" x14ac:dyDescent="0.25">
      <c r="A1026">
        <v>997</v>
      </c>
      <c r="B1026">
        <v>0.19638682202994068</v>
      </c>
    </row>
    <row r="1027" spans="1:2" x14ac:dyDescent="0.25">
      <c r="A1027">
        <v>998</v>
      </c>
      <c r="B1027">
        <v>6.8643845377440657E-2</v>
      </c>
    </row>
    <row r="1028" spans="1:2" x14ac:dyDescent="0.25">
      <c r="A1028">
        <v>999</v>
      </c>
      <c r="B1028">
        <v>0.1216904012580417</v>
      </c>
    </row>
    <row r="1029" spans="1:2" x14ac:dyDescent="0.25">
      <c r="A1029">
        <v>1000</v>
      </c>
      <c r="B1029">
        <v>0.32299869733594117</v>
      </c>
    </row>
    <row r="1030" spans="1:2" x14ac:dyDescent="0.25">
      <c r="A1030">
        <v>1001</v>
      </c>
      <c r="B1030">
        <v>0.10891761351149933</v>
      </c>
    </row>
    <row r="1031" spans="1:2" x14ac:dyDescent="0.25">
      <c r="A1031">
        <v>1002</v>
      </c>
      <c r="B1031">
        <v>0.29263743658868369</v>
      </c>
    </row>
    <row r="1032" spans="1:2" x14ac:dyDescent="0.25">
      <c r="A1032">
        <v>1003</v>
      </c>
      <c r="B1032">
        <v>0.10023311782684291</v>
      </c>
    </row>
    <row r="1033" spans="1:2" x14ac:dyDescent="0.25">
      <c r="A1033">
        <v>1004</v>
      </c>
      <c r="B1033">
        <v>0.37495497463462046</v>
      </c>
    </row>
    <row r="1034" spans="1:2" x14ac:dyDescent="0.25">
      <c r="A1034">
        <v>1005</v>
      </c>
      <c r="B1034">
        <v>0.37232079848577715</v>
      </c>
    </row>
    <row r="1035" spans="1:2" x14ac:dyDescent="0.25">
      <c r="A1035">
        <v>1006</v>
      </c>
      <c r="B1035">
        <v>0.20676788255194442</v>
      </c>
    </row>
    <row r="1036" spans="1:2" x14ac:dyDescent="0.25">
      <c r="A1036">
        <v>1007</v>
      </c>
      <c r="B1036">
        <v>0.12125830548143425</v>
      </c>
    </row>
    <row r="1037" spans="1:2" x14ac:dyDescent="0.25">
      <c r="A1037">
        <v>1008</v>
      </c>
      <c r="B1037">
        <v>0.18017841297935977</v>
      </c>
    </row>
    <row r="1038" spans="1:2" x14ac:dyDescent="0.25">
      <c r="A1038">
        <v>1009</v>
      </c>
      <c r="B1038">
        <v>0.10306216306849131</v>
      </c>
    </row>
    <row r="1039" spans="1:2" x14ac:dyDescent="0.25">
      <c r="A1039">
        <v>1010</v>
      </c>
      <c r="B1039">
        <v>0.37175373611436019</v>
      </c>
    </row>
    <row r="1040" spans="1:2" x14ac:dyDescent="0.25">
      <c r="A1040">
        <v>1011</v>
      </c>
      <c r="B1040">
        <v>0.60305282956573469</v>
      </c>
    </row>
    <row r="1041" spans="1:2" x14ac:dyDescent="0.25">
      <c r="A1041">
        <v>1012</v>
      </c>
      <c r="B1041">
        <v>0.1123363864007621</v>
      </c>
    </row>
    <row r="1042" spans="1:2" x14ac:dyDescent="0.25">
      <c r="A1042">
        <v>1013</v>
      </c>
      <c r="B1042">
        <v>0.2904239521729452</v>
      </c>
    </row>
    <row r="1043" spans="1:2" x14ac:dyDescent="0.25">
      <c r="A1043">
        <v>1014</v>
      </c>
      <c r="B1043">
        <v>5.2891205196381748E-2</v>
      </c>
    </row>
    <row r="1044" spans="1:2" x14ac:dyDescent="0.25">
      <c r="A1044">
        <v>1015</v>
      </c>
      <c r="B1044">
        <v>0.10264889575122016</v>
      </c>
    </row>
    <row r="1045" spans="1:2" x14ac:dyDescent="0.25">
      <c r="A1045">
        <v>1016</v>
      </c>
      <c r="B1045">
        <v>0.32573738837398813</v>
      </c>
    </row>
    <row r="1046" spans="1:2" x14ac:dyDescent="0.25">
      <c r="A1046">
        <v>1017</v>
      </c>
      <c r="B1046">
        <v>0.21998314433673954</v>
      </c>
    </row>
    <row r="1047" spans="1:2" x14ac:dyDescent="0.25">
      <c r="A1047">
        <v>1018</v>
      </c>
      <c r="B1047">
        <v>0.34606787958202379</v>
      </c>
    </row>
    <row r="1048" spans="1:2" x14ac:dyDescent="0.25">
      <c r="A1048">
        <v>1019</v>
      </c>
      <c r="B1048">
        <v>0.11758919432316459</v>
      </c>
    </row>
    <row r="1049" spans="1:2" x14ac:dyDescent="0.25">
      <c r="A1049">
        <v>1020</v>
      </c>
      <c r="B1049">
        <v>0.16142078974347338</v>
      </c>
    </row>
    <row r="1050" spans="1:2" x14ac:dyDescent="0.25">
      <c r="A1050">
        <v>1021</v>
      </c>
      <c r="B1050">
        <v>0.72384448498250598</v>
      </c>
    </row>
    <row r="1051" spans="1:2" x14ac:dyDescent="0.25">
      <c r="A1051">
        <v>1022</v>
      </c>
      <c r="B1051">
        <v>8.8275791940226916E-2</v>
      </c>
    </row>
    <row r="1052" spans="1:2" x14ac:dyDescent="0.25">
      <c r="A1052">
        <v>1023</v>
      </c>
      <c r="B1052">
        <v>0.34890551935477865</v>
      </c>
    </row>
    <row r="1053" spans="1:2" x14ac:dyDescent="0.25">
      <c r="A1053">
        <v>1024</v>
      </c>
      <c r="B1053">
        <v>0.29065048904643304</v>
      </c>
    </row>
    <row r="1054" spans="1:2" x14ac:dyDescent="0.25">
      <c r="A1054">
        <v>1025</v>
      </c>
      <c r="B1054">
        <v>5.2148329113839507E-2</v>
      </c>
    </row>
    <row r="1055" spans="1:2" x14ac:dyDescent="0.25">
      <c r="A1055">
        <v>1026</v>
      </c>
      <c r="B1055">
        <v>0.10762456822070708</v>
      </c>
    </row>
    <row r="1056" spans="1:2" x14ac:dyDescent="0.25">
      <c r="A1056">
        <v>1027</v>
      </c>
      <c r="B1056">
        <v>0.20401337913937315</v>
      </c>
    </row>
    <row r="1057" spans="1:2" x14ac:dyDescent="0.25">
      <c r="A1057">
        <v>1028</v>
      </c>
      <c r="B1057">
        <v>6.7122328378486029E-2</v>
      </c>
    </row>
    <row r="1058" spans="1:2" x14ac:dyDescent="0.25">
      <c r="A1058">
        <v>1029</v>
      </c>
      <c r="B1058">
        <v>0.28269934657736562</v>
      </c>
    </row>
    <row r="1059" spans="1:2" x14ac:dyDescent="0.25">
      <c r="A1059">
        <v>1030</v>
      </c>
      <c r="B1059">
        <v>0.29544085756023108</v>
      </c>
    </row>
    <row r="1060" spans="1:2" x14ac:dyDescent="0.25">
      <c r="A1060">
        <v>1031</v>
      </c>
      <c r="B1060">
        <v>0.13368867079835342</v>
      </c>
    </row>
    <row r="1061" spans="1:2" x14ac:dyDescent="0.25">
      <c r="A1061">
        <v>1032</v>
      </c>
      <c r="B1061">
        <v>0.26428651309581225</v>
      </c>
    </row>
    <row r="1062" spans="1:2" x14ac:dyDescent="0.25">
      <c r="A1062">
        <v>1033</v>
      </c>
      <c r="B1062">
        <v>0.21688569759487863</v>
      </c>
    </row>
    <row r="1063" spans="1:2" x14ac:dyDescent="0.25">
      <c r="A1063">
        <v>1034</v>
      </c>
      <c r="B1063">
        <v>0.30140591736817823</v>
      </c>
    </row>
    <row r="1064" spans="1:2" x14ac:dyDescent="0.25">
      <c r="A1064">
        <v>1035</v>
      </c>
      <c r="B1064">
        <v>0.12467603947753711</v>
      </c>
    </row>
    <row r="1065" spans="1:2" x14ac:dyDescent="0.25">
      <c r="A1065">
        <v>1036</v>
      </c>
      <c r="B1065">
        <v>0.10798574853824117</v>
      </c>
    </row>
    <row r="1066" spans="1:2" x14ac:dyDescent="0.25">
      <c r="A1066">
        <v>1037</v>
      </c>
      <c r="B1066">
        <v>0.27317052865658548</v>
      </c>
    </row>
    <row r="1067" spans="1:2" x14ac:dyDescent="0.25">
      <c r="A1067">
        <v>1038</v>
      </c>
      <c r="B1067">
        <v>0.18100260355444384</v>
      </c>
    </row>
    <row r="1068" spans="1:2" x14ac:dyDescent="0.25">
      <c r="A1068">
        <v>1039</v>
      </c>
      <c r="B1068">
        <v>0.42505353978917609</v>
      </c>
    </row>
    <row r="1069" spans="1:2" x14ac:dyDescent="0.25">
      <c r="A1069">
        <v>1040</v>
      </c>
      <c r="B1069">
        <v>0.28958333092737104</v>
      </c>
    </row>
    <row r="1070" spans="1:2" x14ac:dyDescent="0.25">
      <c r="A1070">
        <v>1041</v>
      </c>
      <c r="B1070">
        <v>5.6208207577259063E-2</v>
      </c>
    </row>
    <row r="1071" spans="1:2" x14ac:dyDescent="0.25">
      <c r="A1071">
        <v>1042</v>
      </c>
      <c r="B1071">
        <v>4.5073284731789086E-2</v>
      </c>
    </row>
    <row r="1072" spans="1:2" x14ac:dyDescent="0.25">
      <c r="A1072">
        <v>1043</v>
      </c>
      <c r="B1072">
        <v>0.38166194796338682</v>
      </c>
    </row>
    <row r="1073" spans="1:2" x14ac:dyDescent="0.25">
      <c r="A1073">
        <v>1044</v>
      </c>
      <c r="B1073">
        <v>7.4175272794030175E-2</v>
      </c>
    </row>
    <row r="1074" spans="1:2" x14ac:dyDescent="0.25">
      <c r="A1074">
        <v>1045</v>
      </c>
      <c r="B1074">
        <v>5.8852081719119077E-2</v>
      </c>
    </row>
    <row r="1075" spans="1:2" x14ac:dyDescent="0.25">
      <c r="A1075">
        <v>1046</v>
      </c>
      <c r="B1075">
        <v>5.8642099227165442E-2</v>
      </c>
    </row>
    <row r="1076" spans="1:2" x14ac:dyDescent="0.25">
      <c r="A1076">
        <v>1047</v>
      </c>
      <c r="B1076">
        <v>0.37934171561145658</v>
      </c>
    </row>
    <row r="1077" spans="1:2" x14ac:dyDescent="0.25">
      <c r="A1077">
        <v>1048</v>
      </c>
      <c r="B1077">
        <v>0.21416215075723838</v>
      </c>
    </row>
    <row r="1078" spans="1:2" x14ac:dyDescent="0.25">
      <c r="A1078">
        <v>1049</v>
      </c>
      <c r="B1078">
        <v>0.16425770743131921</v>
      </c>
    </row>
    <row r="1079" spans="1:2" x14ac:dyDescent="0.25">
      <c r="A1079">
        <v>1050</v>
      </c>
      <c r="B1079">
        <v>6.8810951733913703E-2</v>
      </c>
    </row>
    <row r="1080" spans="1:2" x14ac:dyDescent="0.25">
      <c r="A1080">
        <v>1051</v>
      </c>
      <c r="B1080">
        <v>4.4080587603943913E-2</v>
      </c>
    </row>
    <row r="1081" spans="1:2" x14ac:dyDescent="0.25">
      <c r="A1081">
        <v>1052</v>
      </c>
      <c r="B1081">
        <v>0.32106114958480775</v>
      </c>
    </row>
    <row r="1082" spans="1:2" x14ac:dyDescent="0.25">
      <c r="A1082">
        <v>1053</v>
      </c>
      <c r="B1082">
        <v>0.15980483983775579</v>
      </c>
    </row>
    <row r="1083" spans="1:2" x14ac:dyDescent="0.25">
      <c r="A1083">
        <v>1054</v>
      </c>
      <c r="B1083">
        <v>0.51438715016155812</v>
      </c>
    </row>
    <row r="1084" spans="1:2" x14ac:dyDescent="0.25">
      <c r="A1084">
        <v>1055</v>
      </c>
      <c r="B1084">
        <v>0.10285660851776915</v>
      </c>
    </row>
    <row r="1085" spans="1:2" x14ac:dyDescent="0.25">
      <c r="A1085">
        <v>1056</v>
      </c>
      <c r="B1085">
        <v>0.27306085719908862</v>
      </c>
    </row>
    <row r="1086" spans="1:2" x14ac:dyDescent="0.25">
      <c r="A1086">
        <v>1057</v>
      </c>
      <c r="B1086">
        <v>0.32870286439366897</v>
      </c>
    </row>
    <row r="1087" spans="1:2" x14ac:dyDescent="0.25">
      <c r="A1087">
        <v>1058</v>
      </c>
      <c r="B1087">
        <v>0.10237196724404969</v>
      </c>
    </row>
    <row r="1088" spans="1:2" x14ac:dyDescent="0.25">
      <c r="A1088">
        <v>1059</v>
      </c>
      <c r="B1088">
        <v>0.29181719011991192</v>
      </c>
    </row>
    <row r="1089" spans="1:2" x14ac:dyDescent="0.25">
      <c r="A1089">
        <v>1060</v>
      </c>
      <c r="B1089">
        <v>0.31789329010423695</v>
      </c>
    </row>
    <row r="1090" spans="1:2" x14ac:dyDescent="0.25">
      <c r="A1090">
        <v>1061</v>
      </c>
      <c r="B1090">
        <v>9.8870597056060411E-2</v>
      </c>
    </row>
    <row r="1091" spans="1:2" x14ac:dyDescent="0.25">
      <c r="A1091">
        <v>1062</v>
      </c>
      <c r="B1091">
        <v>0.12949747741153661</v>
      </c>
    </row>
    <row r="1092" spans="1:2" x14ac:dyDescent="0.25">
      <c r="A1092">
        <v>1063</v>
      </c>
      <c r="B1092">
        <v>0.20829311455224736</v>
      </c>
    </row>
    <row r="1093" spans="1:2" x14ac:dyDescent="0.25">
      <c r="A1093">
        <v>1064</v>
      </c>
      <c r="B1093">
        <v>0.2008765951347051</v>
      </c>
    </row>
    <row r="1094" spans="1:2" x14ac:dyDescent="0.25">
      <c r="A1094">
        <v>1065</v>
      </c>
      <c r="B1094">
        <v>9.9616259378467936E-2</v>
      </c>
    </row>
    <row r="1095" spans="1:2" x14ac:dyDescent="0.25">
      <c r="A1095">
        <v>1066</v>
      </c>
      <c r="B1095">
        <v>7.0748537352192581E-2</v>
      </c>
    </row>
    <row r="1096" spans="1:2" x14ac:dyDescent="0.25">
      <c r="A1096">
        <v>1067</v>
      </c>
      <c r="B1096">
        <v>0.13528525913404355</v>
      </c>
    </row>
    <row r="1097" spans="1:2" x14ac:dyDescent="0.25">
      <c r="A1097">
        <v>1068</v>
      </c>
      <c r="B1097">
        <v>0.69186089013998642</v>
      </c>
    </row>
    <row r="1098" spans="1:2" x14ac:dyDescent="0.25">
      <c r="A1098">
        <v>1069</v>
      </c>
      <c r="B1098">
        <v>0.14958082821882362</v>
      </c>
    </row>
    <row r="1099" spans="1:2" x14ac:dyDescent="0.25">
      <c r="A1099">
        <v>1070</v>
      </c>
      <c r="B1099">
        <v>0.16462420618104229</v>
      </c>
    </row>
    <row r="1100" spans="1:2" x14ac:dyDescent="0.25">
      <c r="A1100">
        <v>1071</v>
      </c>
      <c r="B1100">
        <v>0.35917676618595612</v>
      </c>
    </row>
    <row r="1101" spans="1:2" x14ac:dyDescent="0.25">
      <c r="A1101">
        <v>1072</v>
      </c>
      <c r="B1101">
        <v>0.13407108051800951</v>
      </c>
    </row>
    <row r="1102" spans="1:2" x14ac:dyDescent="0.25">
      <c r="A1102">
        <v>1073</v>
      </c>
      <c r="B1102">
        <v>0.10228524593313337</v>
      </c>
    </row>
    <row r="1103" spans="1:2" x14ac:dyDescent="0.25">
      <c r="A1103">
        <v>1074</v>
      </c>
      <c r="B1103">
        <v>0.15263265920180652</v>
      </c>
    </row>
    <row r="1104" spans="1:2" x14ac:dyDescent="0.25">
      <c r="A1104">
        <v>1075</v>
      </c>
      <c r="B1104">
        <v>0.52836897757432022</v>
      </c>
    </row>
    <row r="1105" spans="1:2" x14ac:dyDescent="0.25">
      <c r="A1105">
        <v>1076</v>
      </c>
      <c r="B1105">
        <v>0.25509243655243397</v>
      </c>
    </row>
    <row r="1106" spans="1:2" x14ac:dyDescent="0.25">
      <c r="A1106">
        <v>1077</v>
      </c>
      <c r="B1106">
        <v>0.32646550582289208</v>
      </c>
    </row>
    <row r="1107" spans="1:2" x14ac:dyDescent="0.25">
      <c r="A1107">
        <v>1078</v>
      </c>
      <c r="B1107">
        <v>0.44270225871492669</v>
      </c>
    </row>
    <row r="1108" spans="1:2" x14ac:dyDescent="0.25">
      <c r="A1108">
        <v>1079</v>
      </c>
      <c r="B1108">
        <v>0.1687606090659326</v>
      </c>
    </row>
    <row r="1109" spans="1:2" x14ac:dyDescent="0.25">
      <c r="A1109">
        <v>1080</v>
      </c>
      <c r="B1109">
        <v>9.8114050411658063E-2</v>
      </c>
    </row>
    <row r="1110" spans="1:2" x14ac:dyDescent="0.25">
      <c r="A1110">
        <v>1081</v>
      </c>
      <c r="B1110">
        <v>0.45433333257869019</v>
      </c>
    </row>
    <row r="1111" spans="1:2" x14ac:dyDescent="0.25">
      <c r="A1111">
        <v>1082</v>
      </c>
      <c r="B1111">
        <v>0.14381939451870854</v>
      </c>
    </row>
    <row r="1112" spans="1:2" x14ac:dyDescent="0.25">
      <c r="A1112">
        <v>1083</v>
      </c>
      <c r="B1112">
        <v>0.13311158723185773</v>
      </c>
    </row>
    <row r="1113" spans="1:2" x14ac:dyDescent="0.25">
      <c r="A1113">
        <v>1084</v>
      </c>
      <c r="B1113">
        <v>0.18715626300925028</v>
      </c>
    </row>
    <row r="1114" spans="1:2" x14ac:dyDescent="0.25">
      <c r="A1114">
        <v>1085</v>
      </c>
      <c r="B1114">
        <v>0.18816754641148922</v>
      </c>
    </row>
    <row r="1115" spans="1:2" x14ac:dyDescent="0.25">
      <c r="A1115">
        <v>1086</v>
      </c>
      <c r="B1115">
        <v>0.12526973115857329</v>
      </c>
    </row>
    <row r="1116" spans="1:2" x14ac:dyDescent="0.25">
      <c r="A1116">
        <v>1087</v>
      </c>
      <c r="B1116">
        <v>0.40109929095859997</v>
      </c>
    </row>
    <row r="1117" spans="1:2" x14ac:dyDescent="0.25">
      <c r="A1117">
        <v>1088</v>
      </c>
      <c r="B1117">
        <v>0.31478900080770839</v>
      </c>
    </row>
    <row r="1118" spans="1:2" x14ac:dyDescent="0.25">
      <c r="A1118">
        <v>1089</v>
      </c>
      <c r="B1118">
        <v>0.19481079592481121</v>
      </c>
    </row>
    <row r="1119" spans="1:2" x14ac:dyDescent="0.25">
      <c r="A1119">
        <v>1090</v>
      </c>
      <c r="B1119">
        <v>0.29722188827391077</v>
      </c>
    </row>
    <row r="1120" spans="1:2" x14ac:dyDescent="0.25">
      <c r="A1120">
        <v>1091</v>
      </c>
      <c r="B1120">
        <v>0.17948491790163684</v>
      </c>
    </row>
    <row r="1121" spans="1:2" x14ac:dyDescent="0.25">
      <c r="A1121">
        <v>1092</v>
      </c>
      <c r="B1121">
        <v>0.31015119789464718</v>
      </c>
    </row>
    <row r="1122" spans="1:2" x14ac:dyDescent="0.25">
      <c r="A1122">
        <v>1093</v>
      </c>
      <c r="B1122">
        <v>0.24954005552025671</v>
      </c>
    </row>
    <row r="1123" spans="1:2" x14ac:dyDescent="0.25">
      <c r="A1123">
        <v>1094</v>
      </c>
      <c r="B1123">
        <v>0.33004944603675662</v>
      </c>
    </row>
    <row r="1124" spans="1:2" x14ac:dyDescent="0.25">
      <c r="A1124">
        <v>1095</v>
      </c>
      <c r="B1124">
        <v>0.34088531524501697</v>
      </c>
    </row>
    <row r="1125" spans="1:2" x14ac:dyDescent="0.25">
      <c r="A1125">
        <v>1096</v>
      </c>
      <c r="B1125">
        <v>2.9097635331590269E-2</v>
      </c>
    </row>
    <row r="1126" spans="1:2" x14ac:dyDescent="0.25">
      <c r="A1126">
        <v>1097</v>
      </c>
      <c r="B1126">
        <v>0.14834879161180112</v>
      </c>
    </row>
    <row r="1127" spans="1:2" x14ac:dyDescent="0.25">
      <c r="A1127">
        <v>1098</v>
      </c>
      <c r="B1127">
        <v>0.73028662251878884</v>
      </c>
    </row>
    <row r="1128" spans="1:2" x14ac:dyDescent="0.25">
      <c r="A1128">
        <v>1099</v>
      </c>
      <c r="B1128">
        <v>0.19278473584157949</v>
      </c>
    </row>
    <row r="1129" spans="1:2" x14ac:dyDescent="0.25">
      <c r="A1129">
        <v>1100</v>
      </c>
      <c r="B1129">
        <v>0.18972569370244716</v>
      </c>
    </row>
    <row r="1130" spans="1:2" x14ac:dyDescent="0.25">
      <c r="A1130">
        <v>1101</v>
      </c>
      <c r="B1130">
        <v>0.15594604833206036</v>
      </c>
    </row>
    <row r="1131" spans="1:2" x14ac:dyDescent="0.25">
      <c r="A1131">
        <v>1102</v>
      </c>
      <c r="B1131">
        <v>8.0559886699739347E-2</v>
      </c>
    </row>
    <row r="1132" spans="1:2" x14ac:dyDescent="0.25">
      <c r="A1132">
        <v>1103</v>
      </c>
      <c r="B1132">
        <v>0.2270043371734041</v>
      </c>
    </row>
    <row r="1133" spans="1:2" x14ac:dyDescent="0.25">
      <c r="A1133">
        <v>1104</v>
      </c>
      <c r="B1133">
        <v>6.736149072950233E-2</v>
      </c>
    </row>
    <row r="1134" spans="1:2" x14ac:dyDescent="0.25">
      <c r="A1134">
        <v>1105</v>
      </c>
      <c r="B1134">
        <v>0.21519374992148071</v>
      </c>
    </row>
    <row r="1135" spans="1:2" x14ac:dyDescent="0.25">
      <c r="A1135">
        <v>1106</v>
      </c>
      <c r="B1135">
        <v>0.29564154906871148</v>
      </c>
    </row>
    <row r="1136" spans="1:2" x14ac:dyDescent="0.25">
      <c r="A1136">
        <v>1107</v>
      </c>
      <c r="B1136">
        <v>0.25170634232330186</v>
      </c>
    </row>
    <row r="1137" spans="1:2" x14ac:dyDescent="0.25">
      <c r="A1137">
        <v>1108</v>
      </c>
      <c r="B1137">
        <v>7.7891860138672581E-2</v>
      </c>
    </row>
    <row r="1138" spans="1:2" x14ac:dyDescent="0.25">
      <c r="A1138">
        <v>1109</v>
      </c>
      <c r="B1138">
        <v>0.26710284430092612</v>
      </c>
    </row>
    <row r="1139" spans="1:2" x14ac:dyDescent="0.25">
      <c r="A1139">
        <v>1110</v>
      </c>
      <c r="B1139">
        <v>0.1691214710585083</v>
      </c>
    </row>
    <row r="1140" spans="1:2" x14ac:dyDescent="0.25">
      <c r="A1140">
        <v>1111</v>
      </c>
      <c r="B1140">
        <v>0.33288715535554902</v>
      </c>
    </row>
    <row r="1141" spans="1:2" x14ac:dyDescent="0.25">
      <c r="A1141">
        <v>1112</v>
      </c>
      <c r="B1141">
        <v>0.13973906831422764</v>
      </c>
    </row>
    <row r="1142" spans="1:2" x14ac:dyDescent="0.25">
      <c r="A1142">
        <v>1113</v>
      </c>
      <c r="B1142">
        <v>8.0429171233440858E-2</v>
      </c>
    </row>
    <row r="1143" spans="1:2" x14ac:dyDescent="0.25">
      <c r="A1143">
        <v>1114</v>
      </c>
      <c r="B1143">
        <v>0.25165128959802924</v>
      </c>
    </row>
    <row r="1144" spans="1:2" x14ac:dyDescent="0.25">
      <c r="A1144">
        <v>1115</v>
      </c>
      <c r="B1144">
        <v>5.5765896993325861E-2</v>
      </c>
    </row>
    <row r="1145" spans="1:2" x14ac:dyDescent="0.25">
      <c r="A1145">
        <v>1116</v>
      </c>
      <c r="B1145">
        <v>0.1646829630029891</v>
      </c>
    </row>
    <row r="1146" spans="1:2" x14ac:dyDescent="0.25">
      <c r="A1146">
        <v>1117</v>
      </c>
      <c r="B1146">
        <v>7.3802624756156579E-2</v>
      </c>
    </row>
    <row r="1147" spans="1:2" x14ac:dyDescent="0.25">
      <c r="A1147">
        <v>1118</v>
      </c>
      <c r="B1147">
        <v>9.3932878955906907E-2</v>
      </c>
    </row>
    <row r="1148" spans="1:2" x14ac:dyDescent="0.25">
      <c r="A1148">
        <v>1119</v>
      </c>
      <c r="B1148">
        <v>0.14072663411752412</v>
      </c>
    </row>
    <row r="1149" spans="1:2" x14ac:dyDescent="0.25">
      <c r="A1149">
        <v>1120</v>
      </c>
      <c r="B1149">
        <v>5.6578833410689228E-2</v>
      </c>
    </row>
    <row r="1150" spans="1:2" x14ac:dyDescent="0.25">
      <c r="A1150">
        <v>1121</v>
      </c>
      <c r="B1150">
        <v>0.23838514789071896</v>
      </c>
    </row>
    <row r="1151" spans="1:2" x14ac:dyDescent="0.25">
      <c r="A1151">
        <v>1122</v>
      </c>
      <c r="B1151">
        <v>0.31589708268685729</v>
      </c>
    </row>
    <row r="1152" spans="1:2" x14ac:dyDescent="0.25">
      <c r="A1152">
        <v>1123</v>
      </c>
      <c r="B1152">
        <v>9.3124708032459716E-2</v>
      </c>
    </row>
    <row r="1153" spans="1:2" x14ac:dyDescent="0.25">
      <c r="A1153">
        <v>1124</v>
      </c>
      <c r="B1153">
        <v>0.50480333402304756</v>
      </c>
    </row>
    <row r="1154" spans="1:2" x14ac:dyDescent="0.25">
      <c r="A1154">
        <v>1125</v>
      </c>
      <c r="B1154">
        <v>5.4027075879318605E-2</v>
      </c>
    </row>
    <row r="1155" spans="1:2" x14ac:dyDescent="0.25">
      <c r="A1155">
        <v>1126</v>
      </c>
      <c r="B1155">
        <v>0.13584940801642353</v>
      </c>
    </row>
    <row r="1156" spans="1:2" x14ac:dyDescent="0.25">
      <c r="A1156">
        <v>1127</v>
      </c>
      <c r="B1156">
        <v>0.25995473015090698</v>
      </c>
    </row>
    <row r="1157" spans="1:2" x14ac:dyDescent="0.25">
      <c r="A1157">
        <v>1128</v>
      </c>
      <c r="B1157">
        <v>5.9121625729443676E-2</v>
      </c>
    </row>
    <row r="1158" spans="1:2" x14ac:dyDescent="0.25">
      <c r="A1158">
        <v>1129</v>
      </c>
      <c r="B1158">
        <v>0.24664999825964021</v>
      </c>
    </row>
    <row r="1159" spans="1:2" x14ac:dyDescent="0.25">
      <c r="A1159">
        <v>1130</v>
      </c>
      <c r="B1159">
        <v>7.2158065502224089E-2</v>
      </c>
    </row>
    <row r="1160" spans="1:2" x14ac:dyDescent="0.25">
      <c r="A1160">
        <v>1131</v>
      </c>
      <c r="B1160">
        <v>0.25550000163254349</v>
      </c>
    </row>
    <row r="1161" spans="1:2" x14ac:dyDescent="0.25">
      <c r="A1161">
        <v>1132</v>
      </c>
      <c r="B1161">
        <v>0.29631291498221873</v>
      </c>
    </row>
    <row r="1162" spans="1:2" x14ac:dyDescent="0.25">
      <c r="A1162">
        <v>1133</v>
      </c>
      <c r="B1162">
        <v>0.24051544406876771</v>
      </c>
    </row>
    <row r="1163" spans="1:2" x14ac:dyDescent="0.25">
      <c r="A1163">
        <v>1134</v>
      </c>
      <c r="B1163">
        <v>9.9374736481653694E-2</v>
      </c>
    </row>
    <row r="1164" spans="1:2" x14ac:dyDescent="0.25">
      <c r="A1164">
        <v>1135</v>
      </c>
      <c r="B1164">
        <v>0.29166306217300453</v>
      </c>
    </row>
    <row r="1165" spans="1:2" x14ac:dyDescent="0.25">
      <c r="A1165">
        <v>1136</v>
      </c>
      <c r="B1165">
        <v>8.6621257571879981E-2</v>
      </c>
    </row>
    <row r="1166" spans="1:2" x14ac:dyDescent="0.25">
      <c r="A1166">
        <v>1137</v>
      </c>
      <c r="B1166">
        <v>0.11206023846562806</v>
      </c>
    </row>
    <row r="1167" spans="1:2" x14ac:dyDescent="0.25">
      <c r="A1167">
        <v>1138</v>
      </c>
      <c r="B1167">
        <v>0.17133333774808737</v>
      </c>
    </row>
    <row r="1168" spans="1:2" x14ac:dyDescent="0.25">
      <c r="A1168">
        <v>1139</v>
      </c>
      <c r="B1168">
        <v>0.3859780821480126</v>
      </c>
    </row>
    <row r="1169" spans="1:2" x14ac:dyDescent="0.25">
      <c r="A1169">
        <v>1140</v>
      </c>
      <c r="B1169">
        <v>7.0233343363855921E-2</v>
      </c>
    </row>
    <row r="1170" spans="1:2" x14ac:dyDescent="0.25">
      <c r="A1170">
        <v>1141</v>
      </c>
      <c r="B1170">
        <v>0.17029824603740196</v>
      </c>
    </row>
    <row r="1171" spans="1:2" x14ac:dyDescent="0.25">
      <c r="A1171">
        <v>1142</v>
      </c>
      <c r="B1171">
        <v>0.1871495590606429</v>
      </c>
    </row>
    <row r="1172" spans="1:2" x14ac:dyDescent="0.25">
      <c r="A1172">
        <v>1143</v>
      </c>
      <c r="B1172">
        <v>0.12461338975844523</v>
      </c>
    </row>
    <row r="1173" spans="1:2" x14ac:dyDescent="0.25">
      <c r="A1173">
        <v>1144</v>
      </c>
      <c r="B1173">
        <v>0.38867817613188149</v>
      </c>
    </row>
    <row r="1174" spans="1:2" x14ac:dyDescent="0.25">
      <c r="A1174">
        <v>1145</v>
      </c>
      <c r="B1174">
        <v>0.15963527317885695</v>
      </c>
    </row>
    <row r="1175" spans="1:2" x14ac:dyDescent="0.25">
      <c r="A1175">
        <v>1146</v>
      </c>
      <c r="B1175">
        <v>0.14370083443669721</v>
      </c>
    </row>
    <row r="1176" spans="1:2" x14ac:dyDescent="0.25">
      <c r="A1176">
        <v>1147</v>
      </c>
      <c r="B1176">
        <v>0.44179583430875918</v>
      </c>
    </row>
    <row r="1177" spans="1:2" x14ac:dyDescent="0.25">
      <c r="A1177">
        <v>1148</v>
      </c>
      <c r="B1177">
        <v>8.5144412743376238E-2</v>
      </c>
    </row>
    <row r="1178" spans="1:2" x14ac:dyDescent="0.25">
      <c r="A1178">
        <v>1149</v>
      </c>
      <c r="B1178">
        <v>0.13828732222142617</v>
      </c>
    </row>
    <row r="1179" spans="1:2" x14ac:dyDescent="0.25">
      <c r="A1179">
        <v>1150</v>
      </c>
      <c r="B1179">
        <v>0.19086404649737976</v>
      </c>
    </row>
    <row r="1180" spans="1:2" x14ac:dyDescent="0.25">
      <c r="A1180">
        <v>1151</v>
      </c>
      <c r="B1180">
        <v>0.18741147829832494</v>
      </c>
    </row>
    <row r="1181" spans="1:2" x14ac:dyDescent="0.25">
      <c r="A1181">
        <v>1152</v>
      </c>
      <c r="B1181">
        <v>0.29558720173036024</v>
      </c>
    </row>
    <row r="1182" spans="1:2" x14ac:dyDescent="0.25">
      <c r="A1182">
        <v>1153</v>
      </c>
      <c r="B1182">
        <v>0.12767831290349407</v>
      </c>
    </row>
    <row r="1183" spans="1:2" x14ac:dyDescent="0.25">
      <c r="A1183">
        <v>1154</v>
      </c>
      <c r="B1183">
        <v>0.15585659074317607</v>
      </c>
    </row>
    <row r="1184" spans="1:2" x14ac:dyDescent="0.25">
      <c r="A1184">
        <v>1155</v>
      </c>
      <c r="B1184">
        <v>0.37141594738669598</v>
      </c>
    </row>
    <row r="1185" spans="1:2" x14ac:dyDescent="0.25">
      <c r="A1185">
        <v>1156</v>
      </c>
      <c r="B1185">
        <v>0.22950287518715107</v>
      </c>
    </row>
    <row r="1186" spans="1:2" x14ac:dyDescent="0.25">
      <c r="A1186">
        <v>1157</v>
      </c>
      <c r="B1186">
        <v>1.3244548398399543</v>
      </c>
    </row>
    <row r="1187" spans="1:2" x14ac:dyDescent="0.25">
      <c r="A1187">
        <v>1158</v>
      </c>
      <c r="B1187">
        <v>0.10818633562071238</v>
      </c>
    </row>
    <row r="1188" spans="1:2" x14ac:dyDescent="0.25">
      <c r="A1188">
        <v>1159</v>
      </c>
      <c r="B1188">
        <v>5.9667819690444338E-2</v>
      </c>
    </row>
    <row r="1189" spans="1:2" x14ac:dyDescent="0.25">
      <c r="A1189">
        <v>1160</v>
      </c>
      <c r="B1189">
        <v>0.16645883482601062</v>
      </c>
    </row>
    <row r="1190" spans="1:2" x14ac:dyDescent="0.25">
      <c r="A1190">
        <v>1161</v>
      </c>
      <c r="B1190">
        <v>0.23920022659623819</v>
      </c>
    </row>
    <row r="1191" spans="1:2" x14ac:dyDescent="0.25">
      <c r="A1191">
        <v>1162</v>
      </c>
      <c r="B1191">
        <v>0.16062748228974102</v>
      </c>
    </row>
    <row r="1192" spans="1:2" x14ac:dyDescent="0.25">
      <c r="A1192">
        <v>1163</v>
      </c>
      <c r="B1192">
        <v>0.11510377632529671</v>
      </c>
    </row>
    <row r="1193" spans="1:2" x14ac:dyDescent="0.25">
      <c r="A1193">
        <v>1164</v>
      </c>
      <c r="B1193">
        <v>6.4503836458782701E-2</v>
      </c>
    </row>
    <row r="1194" spans="1:2" x14ac:dyDescent="0.25">
      <c r="A1194">
        <v>1165</v>
      </c>
      <c r="B1194">
        <v>0.16188740284505521</v>
      </c>
    </row>
    <row r="1195" spans="1:2" x14ac:dyDescent="0.25">
      <c r="A1195">
        <v>1166</v>
      </c>
      <c r="B1195">
        <v>0.19592512195718872</v>
      </c>
    </row>
    <row r="1196" spans="1:2" x14ac:dyDescent="0.25">
      <c r="A1196">
        <v>1167</v>
      </c>
      <c r="B1196">
        <v>0.26065260620685732</v>
      </c>
    </row>
    <row r="1197" spans="1:2" x14ac:dyDescent="0.25">
      <c r="A1197">
        <v>1168</v>
      </c>
      <c r="B1197">
        <v>0.14149130046741079</v>
      </c>
    </row>
    <row r="1198" spans="1:2" x14ac:dyDescent="0.25">
      <c r="A1198">
        <v>1169</v>
      </c>
      <c r="B1198">
        <v>0.40805329786205474</v>
      </c>
    </row>
    <row r="1199" spans="1:2" x14ac:dyDescent="0.25">
      <c r="A1199">
        <v>1170</v>
      </c>
      <c r="B1199">
        <v>0.14888672352680327</v>
      </c>
    </row>
    <row r="1200" spans="1:2" x14ac:dyDescent="0.25">
      <c r="A1200">
        <v>1171</v>
      </c>
      <c r="B1200">
        <v>0.15201747423331002</v>
      </c>
    </row>
    <row r="1201" spans="1:2" x14ac:dyDescent="0.25">
      <c r="A1201">
        <v>1172</v>
      </c>
      <c r="B1201">
        <v>0.10463229548201365</v>
      </c>
    </row>
    <row r="1202" spans="1:2" x14ac:dyDescent="0.25">
      <c r="A1202">
        <v>1173</v>
      </c>
      <c r="B1202">
        <v>7.3563414860634307E-2</v>
      </c>
    </row>
    <row r="1203" spans="1:2" x14ac:dyDescent="0.25">
      <c r="A1203">
        <v>1174</v>
      </c>
      <c r="B1203">
        <v>0.32839704720311597</v>
      </c>
    </row>
    <row r="1204" spans="1:2" x14ac:dyDescent="0.25">
      <c r="A1204">
        <v>1175</v>
      </c>
      <c r="B1204">
        <v>0.12123789346423298</v>
      </c>
    </row>
    <row r="1205" spans="1:2" x14ac:dyDescent="0.25">
      <c r="A1205">
        <v>1176</v>
      </c>
      <c r="B1205">
        <v>0.21910283530894439</v>
      </c>
    </row>
    <row r="1206" spans="1:2" x14ac:dyDescent="0.25">
      <c r="A1206">
        <v>1177</v>
      </c>
      <c r="B1206">
        <v>0.21096155930167637</v>
      </c>
    </row>
    <row r="1207" spans="1:2" x14ac:dyDescent="0.25">
      <c r="A1207">
        <v>1178</v>
      </c>
      <c r="B1207">
        <v>8.3131672799789127E-2</v>
      </c>
    </row>
    <row r="1208" spans="1:2" x14ac:dyDescent="0.25">
      <c r="A1208">
        <v>1179</v>
      </c>
      <c r="B1208">
        <v>0.15063979334325894</v>
      </c>
    </row>
    <row r="1209" spans="1:2" x14ac:dyDescent="0.25">
      <c r="A1209">
        <v>1180</v>
      </c>
      <c r="B1209">
        <v>0.14731755982860734</v>
      </c>
    </row>
    <row r="1210" spans="1:2" x14ac:dyDescent="0.25">
      <c r="A1210">
        <v>1181</v>
      </c>
      <c r="B1210">
        <v>0.56519303859879044</v>
      </c>
    </row>
    <row r="1211" spans="1:2" x14ac:dyDescent="0.25">
      <c r="A1211">
        <v>1182</v>
      </c>
      <c r="B1211">
        <v>4.9957305061756857E-2</v>
      </c>
    </row>
    <row r="1212" spans="1:2" x14ac:dyDescent="0.25">
      <c r="A1212">
        <v>1183</v>
      </c>
      <c r="B1212">
        <v>0.11237943112992592</v>
      </c>
    </row>
    <row r="1213" spans="1:2" x14ac:dyDescent="0.25">
      <c r="A1213">
        <v>1184</v>
      </c>
      <c r="B1213">
        <v>0.12117560204068906</v>
      </c>
    </row>
    <row r="1214" spans="1:2" x14ac:dyDescent="0.25">
      <c r="A1214">
        <v>1185</v>
      </c>
      <c r="B1214">
        <v>0.2655866045901043</v>
      </c>
    </row>
    <row r="1215" spans="1:2" x14ac:dyDescent="0.25">
      <c r="A1215">
        <v>1186</v>
      </c>
      <c r="B1215">
        <v>0.13780975514103541</v>
      </c>
    </row>
    <row r="1216" spans="1:2" x14ac:dyDescent="0.25">
      <c r="A1216">
        <v>1187</v>
      </c>
      <c r="B1216">
        <v>0.19579137776722391</v>
      </c>
    </row>
    <row r="1217" spans="1:2" x14ac:dyDescent="0.25">
      <c r="A1217">
        <v>1188</v>
      </c>
      <c r="B1217">
        <v>0.18612128312003637</v>
      </c>
    </row>
    <row r="1218" spans="1:2" x14ac:dyDescent="0.25">
      <c r="A1218">
        <v>1189</v>
      </c>
      <c r="B1218">
        <v>0.15852633379404035</v>
      </c>
    </row>
    <row r="1219" spans="1:2" x14ac:dyDescent="0.25">
      <c r="A1219">
        <v>1190</v>
      </c>
      <c r="B1219">
        <v>0.35990054029571272</v>
      </c>
    </row>
    <row r="1220" spans="1:2" x14ac:dyDescent="0.25">
      <c r="A1220">
        <v>1191</v>
      </c>
      <c r="B1220">
        <v>0.22100591008021112</v>
      </c>
    </row>
    <row r="1221" spans="1:2" x14ac:dyDescent="0.25">
      <c r="A1221">
        <v>1192</v>
      </c>
      <c r="B1221">
        <v>0.25196051143086556</v>
      </c>
    </row>
    <row r="1222" spans="1:2" x14ac:dyDescent="0.25">
      <c r="A1222">
        <v>1193</v>
      </c>
      <c r="B1222">
        <v>7.1089374426938454E-2</v>
      </c>
    </row>
    <row r="1223" spans="1:2" x14ac:dyDescent="0.25">
      <c r="A1223">
        <v>1194</v>
      </c>
      <c r="B1223">
        <v>0.2611170053491943</v>
      </c>
    </row>
    <row r="1224" spans="1:2" x14ac:dyDescent="0.25">
      <c r="A1224">
        <v>1195</v>
      </c>
      <c r="B1224">
        <v>0.1186254051691152</v>
      </c>
    </row>
    <row r="1225" spans="1:2" x14ac:dyDescent="0.25">
      <c r="A1225">
        <v>1196</v>
      </c>
      <c r="B1225">
        <v>0.21042466092401768</v>
      </c>
    </row>
    <row r="1226" spans="1:2" x14ac:dyDescent="0.25">
      <c r="A1226">
        <v>1197</v>
      </c>
      <c r="B1226">
        <v>0.11362620811290348</v>
      </c>
    </row>
    <row r="1227" spans="1:2" x14ac:dyDescent="0.25">
      <c r="A1227">
        <v>1198</v>
      </c>
      <c r="B1227">
        <v>0.37530511239364772</v>
      </c>
    </row>
    <row r="1228" spans="1:2" x14ac:dyDescent="0.25">
      <c r="A1228">
        <v>1199</v>
      </c>
      <c r="B1228">
        <v>0.10655968672056453</v>
      </c>
    </row>
    <row r="1229" spans="1:2" x14ac:dyDescent="0.25">
      <c r="A1229">
        <v>1200</v>
      </c>
      <c r="B1229">
        <v>0.12821531294048077</v>
      </c>
    </row>
    <row r="1230" spans="1:2" x14ac:dyDescent="0.25">
      <c r="A1230">
        <v>1201</v>
      </c>
      <c r="B1230">
        <v>0.12203897702865367</v>
      </c>
    </row>
    <row r="1231" spans="1:2" x14ac:dyDescent="0.25">
      <c r="A1231">
        <v>1202</v>
      </c>
      <c r="B1231">
        <v>0.32860795342387844</v>
      </c>
    </row>
    <row r="1232" spans="1:2" x14ac:dyDescent="0.25">
      <c r="A1232">
        <v>1203</v>
      </c>
      <c r="B1232">
        <v>0.10666737563781456</v>
      </c>
    </row>
    <row r="1233" spans="1:2" x14ac:dyDescent="0.25">
      <c r="A1233">
        <v>1204</v>
      </c>
      <c r="B1233">
        <v>0.19982359806256869</v>
      </c>
    </row>
    <row r="1234" spans="1:2" x14ac:dyDescent="0.25">
      <c r="A1234">
        <v>1205</v>
      </c>
      <c r="B1234">
        <v>0.20704721521195657</v>
      </c>
    </row>
    <row r="1235" spans="1:2" x14ac:dyDescent="0.25">
      <c r="A1235">
        <v>1206</v>
      </c>
      <c r="B1235">
        <v>0.15727674810163875</v>
      </c>
    </row>
    <row r="1236" spans="1:2" x14ac:dyDescent="0.25">
      <c r="A1236">
        <v>1207</v>
      </c>
      <c r="B1236">
        <v>0.17799493556158677</v>
      </c>
    </row>
    <row r="1237" spans="1:2" x14ac:dyDescent="0.25">
      <c r="A1237">
        <v>1208</v>
      </c>
      <c r="B1237">
        <v>0.12393703828511639</v>
      </c>
    </row>
    <row r="1238" spans="1:2" x14ac:dyDescent="0.25">
      <c r="A1238">
        <v>1209</v>
      </c>
      <c r="B1238">
        <v>6.6380334950306583E-2</v>
      </c>
    </row>
    <row r="1239" spans="1:2" x14ac:dyDescent="0.25">
      <c r="A1239">
        <v>1210</v>
      </c>
      <c r="B1239">
        <v>0.11676188415454339</v>
      </c>
    </row>
    <row r="1240" spans="1:2" x14ac:dyDescent="0.25">
      <c r="A1240">
        <v>1211</v>
      </c>
      <c r="B1240">
        <v>0.17067996952334574</v>
      </c>
    </row>
    <row r="1241" spans="1:2" x14ac:dyDescent="0.25">
      <c r="A1241">
        <v>1212</v>
      </c>
      <c r="B1241">
        <v>0.19243667767449998</v>
      </c>
    </row>
    <row r="1242" spans="1:2" x14ac:dyDescent="0.25">
      <c r="A1242">
        <v>1213</v>
      </c>
      <c r="B1242">
        <v>2.6510036634983854E-2</v>
      </c>
    </row>
    <row r="1243" spans="1:2" x14ac:dyDescent="0.25">
      <c r="A1243">
        <v>1214</v>
      </c>
      <c r="B1243">
        <v>0.1670937860361571</v>
      </c>
    </row>
    <row r="1244" spans="1:2" x14ac:dyDescent="0.25">
      <c r="A1244">
        <v>1215</v>
      </c>
      <c r="B1244">
        <v>0.42892327120275653</v>
      </c>
    </row>
    <row r="1245" spans="1:2" x14ac:dyDescent="0.25">
      <c r="A1245">
        <v>1216</v>
      </c>
      <c r="B1245">
        <v>0.17507161924716208</v>
      </c>
    </row>
    <row r="1246" spans="1:2" x14ac:dyDescent="0.25">
      <c r="A1246">
        <v>1217</v>
      </c>
      <c r="B1246">
        <v>0.12595342960852349</v>
      </c>
    </row>
    <row r="1247" spans="1:2" x14ac:dyDescent="0.25">
      <c r="A1247">
        <v>1218</v>
      </c>
      <c r="B1247">
        <v>0.10872315487349436</v>
      </c>
    </row>
    <row r="1248" spans="1:2" x14ac:dyDescent="0.25">
      <c r="A1248">
        <v>1219</v>
      </c>
      <c r="B1248">
        <v>0.2156385567279423</v>
      </c>
    </row>
    <row r="1249" spans="1:2" x14ac:dyDescent="0.25">
      <c r="A1249">
        <v>1220</v>
      </c>
      <c r="B1249">
        <v>0.10714145612990039</v>
      </c>
    </row>
    <row r="1250" spans="1:2" x14ac:dyDescent="0.25">
      <c r="A1250">
        <v>1221</v>
      </c>
      <c r="B1250">
        <v>0.12110873293610849</v>
      </c>
    </row>
    <row r="1251" spans="1:2" x14ac:dyDescent="0.25">
      <c r="A1251">
        <v>1222</v>
      </c>
      <c r="B1251">
        <v>0.22914914687155022</v>
      </c>
    </row>
    <row r="1252" spans="1:2" x14ac:dyDescent="0.25">
      <c r="A1252">
        <v>1223</v>
      </c>
      <c r="B1252">
        <v>0.21552984449663787</v>
      </c>
    </row>
    <row r="1253" spans="1:2" x14ac:dyDescent="0.25">
      <c r="A1253">
        <v>1224</v>
      </c>
      <c r="B1253">
        <v>0.33524773063630359</v>
      </c>
    </row>
    <row r="1254" spans="1:2" x14ac:dyDescent="0.25">
      <c r="A1254">
        <v>1225</v>
      </c>
      <c r="B1254">
        <v>0.20140532395214433</v>
      </c>
    </row>
    <row r="1255" spans="1:2" x14ac:dyDescent="0.25">
      <c r="A1255">
        <v>1226</v>
      </c>
      <c r="B1255">
        <v>0.49917499624288919</v>
      </c>
    </row>
    <row r="1256" spans="1:2" x14ac:dyDescent="0.25">
      <c r="A1256">
        <v>1227</v>
      </c>
      <c r="B1256">
        <v>0.11501804935313548</v>
      </c>
    </row>
    <row r="1257" spans="1:2" x14ac:dyDescent="0.25">
      <c r="A1257">
        <v>1228</v>
      </c>
      <c r="B1257">
        <v>0.19213516835350161</v>
      </c>
    </row>
    <row r="1258" spans="1:2" x14ac:dyDescent="0.25">
      <c r="A1258">
        <v>1229</v>
      </c>
      <c r="B1258">
        <v>2.4012923180477562E-2</v>
      </c>
    </row>
    <row r="1259" spans="1:2" x14ac:dyDescent="0.25">
      <c r="A1259">
        <v>1230</v>
      </c>
      <c r="B1259">
        <v>0.14269094081776021</v>
      </c>
    </row>
    <row r="1260" spans="1:2" x14ac:dyDescent="0.25">
      <c r="A1260">
        <v>1231</v>
      </c>
      <c r="B1260">
        <v>0.33984497388860441</v>
      </c>
    </row>
    <row r="1261" spans="1:2" x14ac:dyDescent="0.25">
      <c r="A1261">
        <v>1232</v>
      </c>
      <c r="B1261">
        <v>9.851923863049207E-2</v>
      </c>
    </row>
    <row r="1262" spans="1:2" x14ac:dyDescent="0.25">
      <c r="A1262">
        <v>1233</v>
      </c>
      <c r="B1262">
        <v>0.12965493843523743</v>
      </c>
    </row>
    <row r="1263" spans="1:2" x14ac:dyDescent="0.25">
      <c r="A1263">
        <v>1234</v>
      </c>
      <c r="B1263">
        <v>0.20736432035835342</v>
      </c>
    </row>
    <row r="1264" spans="1:2" x14ac:dyDescent="0.25">
      <c r="A1264">
        <v>1235</v>
      </c>
      <c r="B1264">
        <v>0.25440240672528075</v>
      </c>
    </row>
    <row r="1265" spans="1:2" x14ac:dyDescent="0.25">
      <c r="A1265">
        <v>1236</v>
      </c>
      <c r="B1265">
        <v>1.0702176989524195</v>
      </c>
    </row>
    <row r="1266" spans="1:2" x14ac:dyDescent="0.25">
      <c r="A1266">
        <v>1237</v>
      </c>
      <c r="B1266">
        <v>0.40280253988166892</v>
      </c>
    </row>
    <row r="1267" spans="1:2" x14ac:dyDescent="0.25">
      <c r="A1267">
        <v>1238</v>
      </c>
      <c r="B1267">
        <v>0.16189739824856031</v>
      </c>
    </row>
    <row r="1268" spans="1:2" x14ac:dyDescent="0.25">
      <c r="A1268">
        <v>1239</v>
      </c>
      <c r="B1268">
        <v>0.23691474450733124</v>
      </c>
    </row>
    <row r="1269" spans="1:2" x14ac:dyDescent="0.25">
      <c r="A1269">
        <v>1240</v>
      </c>
      <c r="B1269">
        <v>0.13611173424535869</v>
      </c>
    </row>
    <row r="1270" spans="1:2" x14ac:dyDescent="0.25">
      <c r="A1270">
        <v>1241</v>
      </c>
      <c r="B1270">
        <v>0.12947295862792479</v>
      </c>
    </row>
    <row r="1271" spans="1:2" x14ac:dyDescent="0.25">
      <c r="A1271">
        <v>1242</v>
      </c>
      <c r="B1271">
        <v>0.39046402521140006</v>
      </c>
    </row>
    <row r="1272" spans="1:2" x14ac:dyDescent="0.25">
      <c r="A1272">
        <v>1243</v>
      </c>
      <c r="B1272">
        <v>0.22853333875275772</v>
      </c>
    </row>
    <row r="1273" spans="1:2" x14ac:dyDescent="0.25">
      <c r="A1273">
        <v>1244</v>
      </c>
      <c r="B1273">
        <v>0.1679873610683541</v>
      </c>
    </row>
    <row r="1274" spans="1:2" x14ac:dyDescent="0.25">
      <c r="A1274">
        <v>1245</v>
      </c>
      <c r="B1274">
        <v>0.13972661417088869</v>
      </c>
    </row>
    <row r="1275" spans="1:2" x14ac:dyDescent="0.25">
      <c r="A1275">
        <v>1246</v>
      </c>
      <c r="B1275">
        <v>0.66977738829068634</v>
      </c>
    </row>
    <row r="1276" spans="1:2" x14ac:dyDescent="0.25">
      <c r="A1276">
        <v>1247</v>
      </c>
      <c r="B1276">
        <v>0.15944103682212402</v>
      </c>
    </row>
    <row r="1277" spans="1:2" x14ac:dyDescent="0.25">
      <c r="A1277">
        <v>1248</v>
      </c>
      <c r="B1277">
        <v>7.2561966544915743E-2</v>
      </c>
    </row>
    <row r="1278" spans="1:2" x14ac:dyDescent="0.25">
      <c r="A1278">
        <v>1249</v>
      </c>
      <c r="B1278">
        <v>0.18878466371802002</v>
      </c>
    </row>
    <row r="1279" spans="1:2" x14ac:dyDescent="0.25">
      <c r="A1279">
        <v>1250</v>
      </c>
      <c r="B1279">
        <v>0.14303030010000695</v>
      </c>
    </row>
    <row r="1280" spans="1:2" x14ac:dyDescent="0.25">
      <c r="A1280">
        <v>1251</v>
      </c>
      <c r="B1280">
        <v>0.16210300753169818</v>
      </c>
    </row>
    <row r="1281" spans="1:2" x14ac:dyDescent="0.25">
      <c r="A1281">
        <v>1252</v>
      </c>
      <c r="B1281">
        <v>0.15183802361444032</v>
      </c>
    </row>
    <row r="1282" spans="1:2" x14ac:dyDescent="0.25">
      <c r="A1282">
        <v>1253</v>
      </c>
      <c r="B1282">
        <v>0.40139927996781244</v>
      </c>
    </row>
    <row r="1283" spans="1:2" x14ac:dyDescent="0.25">
      <c r="A1283">
        <v>1254</v>
      </c>
      <c r="B1283">
        <v>6.5302582111678623E-2</v>
      </c>
    </row>
    <row r="1284" spans="1:2" x14ac:dyDescent="0.25">
      <c r="A1284">
        <v>1255</v>
      </c>
      <c r="B1284">
        <v>0.28498741605622679</v>
      </c>
    </row>
    <row r="1285" spans="1:2" x14ac:dyDescent="0.25">
      <c r="A1285">
        <v>1256</v>
      </c>
      <c r="B1285">
        <v>2.7934464087583401E-2</v>
      </c>
    </row>
    <row r="1286" spans="1:2" x14ac:dyDescent="0.25">
      <c r="A1286">
        <v>1257</v>
      </c>
      <c r="B1286">
        <v>0.15512805585390824</v>
      </c>
    </row>
    <row r="1287" spans="1:2" x14ac:dyDescent="0.25">
      <c r="A1287">
        <v>1258</v>
      </c>
      <c r="B1287">
        <v>4.5919905194610124E-2</v>
      </c>
    </row>
    <row r="1288" spans="1:2" x14ac:dyDescent="0.25">
      <c r="A1288">
        <v>1259</v>
      </c>
      <c r="B1288">
        <v>0.27104259321081015</v>
      </c>
    </row>
    <row r="1289" spans="1:2" x14ac:dyDescent="0.25">
      <c r="A1289">
        <v>1260</v>
      </c>
      <c r="B1289">
        <v>8.2612300619139684E-2</v>
      </c>
    </row>
    <row r="1290" spans="1:2" x14ac:dyDescent="0.25">
      <c r="A1290">
        <v>1261</v>
      </c>
      <c r="B1290">
        <v>0.13517654707331203</v>
      </c>
    </row>
    <row r="1291" spans="1:2" x14ac:dyDescent="0.25">
      <c r="A1291">
        <v>1262</v>
      </c>
      <c r="B1291">
        <v>0.14045004635380945</v>
      </c>
    </row>
    <row r="1292" spans="1:2" x14ac:dyDescent="0.25">
      <c r="A1292">
        <v>1263</v>
      </c>
      <c r="B1292">
        <v>0.14135936956633219</v>
      </c>
    </row>
    <row r="1293" spans="1:2" x14ac:dyDescent="0.25">
      <c r="A1293">
        <v>1264</v>
      </c>
      <c r="B1293">
        <v>0.18414967749573552</v>
      </c>
    </row>
    <row r="1294" spans="1:2" x14ac:dyDescent="0.25">
      <c r="A1294">
        <v>1265</v>
      </c>
      <c r="B1294">
        <v>8.2319600562511502E-2</v>
      </c>
    </row>
    <row r="1295" spans="1:2" x14ac:dyDescent="0.25">
      <c r="A1295">
        <v>1266</v>
      </c>
      <c r="B1295">
        <v>0.10657063926128765</v>
      </c>
    </row>
    <row r="1296" spans="1:2" x14ac:dyDescent="0.25">
      <c r="A1296">
        <v>1267</v>
      </c>
      <c r="B1296">
        <v>0.42599382497098792</v>
      </c>
    </row>
    <row r="1297" spans="1:2" x14ac:dyDescent="0.25">
      <c r="A1297">
        <v>1268</v>
      </c>
      <c r="B1297">
        <v>0.27866458157997526</v>
      </c>
    </row>
    <row r="1298" spans="1:2" x14ac:dyDescent="0.25">
      <c r="A1298">
        <v>1269</v>
      </c>
      <c r="B1298">
        <v>0.17574386562730201</v>
      </c>
    </row>
    <row r="1299" spans="1:2" x14ac:dyDescent="0.25">
      <c r="A1299">
        <v>1270</v>
      </c>
      <c r="B1299">
        <v>0.13412141158650956</v>
      </c>
    </row>
    <row r="1300" spans="1:2" x14ac:dyDescent="0.25">
      <c r="A1300">
        <v>1271</v>
      </c>
      <c r="B1300">
        <v>0.17532043679565112</v>
      </c>
    </row>
    <row r="1301" spans="1:2" x14ac:dyDescent="0.25">
      <c r="A1301">
        <v>1272</v>
      </c>
      <c r="B1301">
        <v>0.32453535306261072</v>
      </c>
    </row>
    <row r="1302" spans="1:2" x14ac:dyDescent="0.25">
      <c r="A1302">
        <v>1273</v>
      </c>
      <c r="B1302">
        <v>4.1485104389257517E-2</v>
      </c>
    </row>
    <row r="1303" spans="1:2" x14ac:dyDescent="0.25">
      <c r="A1303">
        <v>1274</v>
      </c>
      <c r="B1303">
        <v>0.19993390283165313</v>
      </c>
    </row>
    <row r="1304" spans="1:2" x14ac:dyDescent="0.25">
      <c r="A1304">
        <v>1275</v>
      </c>
      <c r="B1304">
        <v>0.15184564042627632</v>
      </c>
    </row>
    <row r="1305" spans="1:2" x14ac:dyDescent="0.25">
      <c r="A1305">
        <v>1276</v>
      </c>
      <c r="B1305">
        <v>0.17429707080543871</v>
      </c>
    </row>
    <row r="1306" spans="1:2" x14ac:dyDescent="0.25">
      <c r="A1306">
        <v>1277</v>
      </c>
      <c r="B1306">
        <v>6.2291375011512634E-2</v>
      </c>
    </row>
    <row r="1307" spans="1:2" x14ac:dyDescent="0.25">
      <c r="A1307">
        <v>1278</v>
      </c>
      <c r="B1307">
        <v>0.26258473820963629</v>
      </c>
    </row>
    <row r="1308" spans="1:2" x14ac:dyDescent="0.25">
      <c r="A1308">
        <v>1279</v>
      </c>
      <c r="B1308">
        <v>9.2473113525976841E-2</v>
      </c>
    </row>
    <row r="1309" spans="1:2" x14ac:dyDescent="0.25">
      <c r="A1309">
        <v>1280</v>
      </c>
      <c r="B1309">
        <v>2.9170025505323025E-2</v>
      </c>
    </row>
    <row r="1310" spans="1:2" x14ac:dyDescent="0.25">
      <c r="A1310">
        <v>1281</v>
      </c>
      <c r="B1310">
        <v>0.27366720520652088</v>
      </c>
    </row>
    <row r="1311" spans="1:2" x14ac:dyDescent="0.25">
      <c r="A1311">
        <v>1282</v>
      </c>
      <c r="B1311">
        <v>0.14373274974195283</v>
      </c>
    </row>
    <row r="1312" spans="1:2" x14ac:dyDescent="0.25">
      <c r="A1312">
        <v>1283</v>
      </c>
      <c r="B1312">
        <v>0.14619165135489814</v>
      </c>
    </row>
    <row r="1313" spans="1:2" x14ac:dyDescent="0.25">
      <c r="A1313">
        <v>1284</v>
      </c>
      <c r="B1313">
        <v>6.3561035185010009E-2</v>
      </c>
    </row>
    <row r="1314" spans="1:2" x14ac:dyDescent="0.25">
      <c r="A1314">
        <v>1285</v>
      </c>
      <c r="B1314">
        <v>0.10670063746118147</v>
      </c>
    </row>
    <row r="1315" spans="1:2" x14ac:dyDescent="0.25">
      <c r="A1315">
        <v>1286</v>
      </c>
      <c r="B1315">
        <v>0.17928710745575296</v>
      </c>
    </row>
    <row r="1316" spans="1:2" x14ac:dyDescent="0.25">
      <c r="A1316">
        <v>1287</v>
      </c>
      <c r="B1316">
        <v>4.1108825424970234E-2</v>
      </c>
    </row>
    <row r="1317" spans="1:2" x14ac:dyDescent="0.25">
      <c r="A1317">
        <v>1288</v>
      </c>
      <c r="B1317">
        <v>0.87861135819880554</v>
      </c>
    </row>
    <row r="1318" spans="1:2" x14ac:dyDescent="0.25">
      <c r="A1318">
        <v>1289</v>
      </c>
      <c r="B1318">
        <v>0.1206805718943247</v>
      </c>
    </row>
    <row r="1319" spans="1:2" x14ac:dyDescent="0.25">
      <c r="A1319">
        <v>1290</v>
      </c>
      <c r="B1319">
        <v>0.11085307080237967</v>
      </c>
    </row>
    <row r="1320" spans="1:2" x14ac:dyDescent="0.25">
      <c r="A1320">
        <v>1291</v>
      </c>
      <c r="B1320">
        <v>0.11010389462084887</v>
      </c>
    </row>
    <row r="1321" spans="1:2" x14ac:dyDescent="0.25">
      <c r="A1321">
        <v>1292</v>
      </c>
      <c r="B1321">
        <v>6.3021541366221318E-2</v>
      </c>
    </row>
    <row r="1322" spans="1:2" x14ac:dyDescent="0.25">
      <c r="A1322">
        <v>1293</v>
      </c>
      <c r="B1322">
        <v>8.9583695682850364E-2</v>
      </c>
    </row>
    <row r="1323" spans="1:2" x14ac:dyDescent="0.25">
      <c r="A1323">
        <v>1294</v>
      </c>
      <c r="B1323">
        <v>0.13338651684925956</v>
      </c>
    </row>
    <row r="1324" spans="1:2" x14ac:dyDescent="0.25">
      <c r="A1324">
        <v>1295</v>
      </c>
      <c r="B1324">
        <v>0.15784480978021362</v>
      </c>
    </row>
    <row r="1325" spans="1:2" x14ac:dyDescent="0.25">
      <c r="A1325">
        <v>1296</v>
      </c>
      <c r="B1325">
        <v>6.5967833229870487E-2</v>
      </c>
    </row>
    <row r="1326" spans="1:2" x14ac:dyDescent="0.25">
      <c r="A1326">
        <v>1297</v>
      </c>
      <c r="B1326">
        <v>7.1462142237866247E-2</v>
      </c>
    </row>
    <row r="1327" spans="1:2" x14ac:dyDescent="0.25">
      <c r="A1327">
        <v>1298</v>
      </c>
      <c r="B1327">
        <v>0.35830206815558319</v>
      </c>
    </row>
    <row r="1328" spans="1:2" x14ac:dyDescent="0.25">
      <c r="A1328">
        <v>1299</v>
      </c>
      <c r="B1328">
        <v>4.6118220485353509E-2</v>
      </c>
    </row>
    <row r="1329" spans="1:2" x14ac:dyDescent="0.25">
      <c r="A1329">
        <v>1300</v>
      </c>
      <c r="B1329">
        <v>0.12339991799227082</v>
      </c>
    </row>
    <row r="1330" spans="1:2" x14ac:dyDescent="0.25">
      <c r="A1330">
        <v>1301</v>
      </c>
      <c r="B1330">
        <v>0.29679707614314976</v>
      </c>
    </row>
    <row r="1331" spans="1:2" x14ac:dyDescent="0.25">
      <c r="A1331">
        <v>1302</v>
      </c>
      <c r="B1331">
        <v>0.14966016680318295</v>
      </c>
    </row>
    <row r="1332" spans="1:2" x14ac:dyDescent="0.25">
      <c r="A1332">
        <v>1303</v>
      </c>
      <c r="B1332">
        <v>7.7685059440365259E-2</v>
      </c>
    </row>
    <row r="1333" spans="1:2" x14ac:dyDescent="0.25">
      <c r="A1333">
        <v>1304</v>
      </c>
      <c r="B1333">
        <v>0.26231351074984771</v>
      </c>
    </row>
    <row r="1334" spans="1:2" x14ac:dyDescent="0.25">
      <c r="A1334">
        <v>1305</v>
      </c>
      <c r="B1334">
        <v>8.920877184430813E-2</v>
      </c>
    </row>
    <row r="1335" spans="1:2" x14ac:dyDescent="0.25">
      <c r="A1335">
        <v>1306</v>
      </c>
      <c r="B1335">
        <v>0.32732095089353214</v>
      </c>
    </row>
    <row r="1336" spans="1:2" x14ac:dyDescent="0.25">
      <c r="A1336">
        <v>1307</v>
      </c>
      <c r="B1336">
        <v>5.2051102896503769E-2</v>
      </c>
    </row>
    <row r="1337" spans="1:2" x14ac:dyDescent="0.25">
      <c r="A1337">
        <v>1308</v>
      </c>
      <c r="B1337">
        <v>0.18775530034014007</v>
      </c>
    </row>
    <row r="1338" spans="1:2" x14ac:dyDescent="0.25">
      <c r="A1338">
        <v>1309</v>
      </c>
      <c r="B1338">
        <v>4.5561359773918064E-2</v>
      </c>
    </row>
    <row r="1339" spans="1:2" x14ac:dyDescent="0.25">
      <c r="A1339">
        <v>1310</v>
      </c>
      <c r="B1339">
        <v>0.13263989883340027</v>
      </c>
    </row>
    <row r="1340" spans="1:2" x14ac:dyDescent="0.25">
      <c r="A1340">
        <v>1311</v>
      </c>
      <c r="B1340">
        <v>0.10191077806058606</v>
      </c>
    </row>
    <row r="1341" spans="1:2" x14ac:dyDescent="0.25">
      <c r="A1341">
        <v>1312</v>
      </c>
      <c r="B1341">
        <v>0.12577598753842456</v>
      </c>
    </row>
    <row r="1342" spans="1:2" x14ac:dyDescent="0.25">
      <c r="A1342">
        <v>1313</v>
      </c>
      <c r="B1342">
        <v>0.40118126465288112</v>
      </c>
    </row>
    <row r="1343" spans="1:2" x14ac:dyDescent="0.25">
      <c r="A1343">
        <v>1314</v>
      </c>
      <c r="B1343">
        <v>0.20978354126476065</v>
      </c>
    </row>
    <row r="1344" spans="1:2" x14ac:dyDescent="0.25">
      <c r="A1344">
        <v>1315</v>
      </c>
      <c r="B1344">
        <v>4.2602057515056059E-2</v>
      </c>
    </row>
    <row r="1345" spans="1:2" x14ac:dyDescent="0.25">
      <c r="A1345">
        <v>1316</v>
      </c>
      <c r="B1345">
        <v>0.11760021575455748</v>
      </c>
    </row>
    <row r="1346" spans="1:2" x14ac:dyDescent="0.25">
      <c r="A1346">
        <v>1317</v>
      </c>
      <c r="B1346">
        <v>0.13972157033888749</v>
      </c>
    </row>
    <row r="1347" spans="1:2" x14ac:dyDescent="0.25">
      <c r="A1347">
        <v>1318</v>
      </c>
      <c r="B1347">
        <v>9.9870308557797313E-2</v>
      </c>
    </row>
    <row r="1348" spans="1:2" x14ac:dyDescent="0.25">
      <c r="A1348">
        <v>1319</v>
      </c>
      <c r="B1348">
        <v>0.42671804568579197</v>
      </c>
    </row>
    <row r="1349" spans="1:2" x14ac:dyDescent="0.25">
      <c r="A1349">
        <v>1320</v>
      </c>
      <c r="B1349">
        <v>0.30224060369091743</v>
      </c>
    </row>
    <row r="1350" spans="1:2" x14ac:dyDescent="0.25">
      <c r="A1350">
        <v>1321</v>
      </c>
      <c r="B1350">
        <v>0.12451802419517265</v>
      </c>
    </row>
    <row r="1351" spans="1:2" x14ac:dyDescent="0.25">
      <c r="A1351">
        <v>1322</v>
      </c>
      <c r="B1351">
        <v>0.12882029740158896</v>
      </c>
    </row>
    <row r="1352" spans="1:2" x14ac:dyDescent="0.25">
      <c r="A1352">
        <v>1323</v>
      </c>
      <c r="B1352">
        <v>0.24484606497539074</v>
      </c>
    </row>
    <row r="1353" spans="1:2" x14ac:dyDescent="0.25">
      <c r="A1353">
        <v>1324</v>
      </c>
      <c r="B1353">
        <v>0.14736173379953876</v>
      </c>
    </row>
    <row r="1354" spans="1:2" x14ac:dyDescent="0.25">
      <c r="A1354">
        <v>1325</v>
      </c>
      <c r="B1354">
        <v>0.1243922577942958</v>
      </c>
    </row>
    <row r="1355" spans="1:2" x14ac:dyDescent="0.25">
      <c r="A1355">
        <v>1326</v>
      </c>
      <c r="B1355">
        <v>0.14515475836753144</v>
      </c>
    </row>
    <row r="1356" spans="1:2" x14ac:dyDescent="0.25">
      <c r="A1356">
        <v>1327</v>
      </c>
      <c r="B1356">
        <v>0.12754063057436996</v>
      </c>
    </row>
    <row r="1357" spans="1:2" x14ac:dyDescent="0.25">
      <c r="A1357">
        <v>1328</v>
      </c>
      <c r="B1357">
        <v>0.10738049035409386</v>
      </c>
    </row>
    <row r="1358" spans="1:2" x14ac:dyDescent="0.25">
      <c r="A1358">
        <v>1329</v>
      </c>
      <c r="B1358">
        <v>0.22157728705013457</v>
      </c>
    </row>
    <row r="1359" spans="1:2" x14ac:dyDescent="0.25">
      <c r="A1359">
        <v>1330</v>
      </c>
      <c r="B1359">
        <v>0.19132285280955222</v>
      </c>
    </row>
    <row r="1360" spans="1:2" x14ac:dyDescent="0.25">
      <c r="A1360">
        <v>1331</v>
      </c>
      <c r="B1360">
        <v>7.848805741325475E-2</v>
      </c>
    </row>
    <row r="1361" spans="1:2" x14ac:dyDescent="0.25">
      <c r="A1361">
        <v>1332</v>
      </c>
      <c r="B1361">
        <v>0.16511742939595478</v>
      </c>
    </row>
    <row r="1362" spans="1:2" x14ac:dyDescent="0.25">
      <c r="A1362">
        <v>1333</v>
      </c>
      <c r="B1362">
        <v>0.12083696650917548</v>
      </c>
    </row>
    <row r="1363" spans="1:2" x14ac:dyDescent="0.25">
      <c r="A1363">
        <v>1334</v>
      </c>
      <c r="B1363">
        <v>0.20268909624817835</v>
      </c>
    </row>
    <row r="1364" spans="1:2" x14ac:dyDescent="0.25">
      <c r="A1364">
        <v>1335</v>
      </c>
      <c r="B1364">
        <v>0.19761092778776596</v>
      </c>
    </row>
    <row r="1365" spans="1:2" x14ac:dyDescent="0.25">
      <c r="A1365">
        <v>1336</v>
      </c>
      <c r="B1365">
        <v>0.23674496730126512</v>
      </c>
    </row>
    <row r="1366" spans="1:2" x14ac:dyDescent="0.25">
      <c r="A1366">
        <v>1337</v>
      </c>
      <c r="B1366">
        <v>0.13784903517273647</v>
      </c>
    </row>
    <row r="1367" spans="1:2" x14ac:dyDescent="0.25">
      <c r="A1367">
        <v>1338</v>
      </c>
      <c r="B1367">
        <v>0.19941619227597898</v>
      </c>
    </row>
    <row r="1368" spans="1:2" x14ac:dyDescent="0.25">
      <c r="A1368">
        <v>1339</v>
      </c>
      <c r="B1368">
        <v>0.16267002465270913</v>
      </c>
    </row>
    <row r="1369" spans="1:2" x14ac:dyDescent="0.25">
      <c r="A1369">
        <v>1340</v>
      </c>
      <c r="B1369">
        <v>0.18618879705225636</v>
      </c>
    </row>
    <row r="1370" spans="1:2" x14ac:dyDescent="0.25">
      <c r="A1370">
        <v>1341</v>
      </c>
      <c r="B1370">
        <v>0.24636428485354772</v>
      </c>
    </row>
    <row r="1371" spans="1:2" x14ac:dyDescent="0.25">
      <c r="A1371">
        <v>1342</v>
      </c>
      <c r="B1371">
        <v>0.11938043426053155</v>
      </c>
    </row>
    <row r="1372" spans="1:2" x14ac:dyDescent="0.25">
      <c r="A1372">
        <v>1343</v>
      </c>
      <c r="B1372">
        <v>0.44770513507734483</v>
      </c>
    </row>
    <row r="1373" spans="1:2" x14ac:dyDescent="0.25">
      <c r="A1373">
        <v>1344</v>
      </c>
      <c r="B1373">
        <v>0.12083137660001478</v>
      </c>
    </row>
    <row r="1374" spans="1:2" x14ac:dyDescent="0.25">
      <c r="A1374">
        <v>1345</v>
      </c>
      <c r="B1374">
        <v>0.1202243140505025</v>
      </c>
    </row>
    <row r="1375" spans="1:2" x14ac:dyDescent="0.25">
      <c r="A1375">
        <v>1346</v>
      </c>
      <c r="B1375">
        <v>0.20798512204345224</v>
      </c>
    </row>
    <row r="1376" spans="1:2" x14ac:dyDescent="0.25">
      <c r="A1376">
        <v>1347</v>
      </c>
      <c r="B1376">
        <v>0.15611251503266449</v>
      </c>
    </row>
    <row r="1377" spans="1:2" x14ac:dyDescent="0.25">
      <c r="A1377">
        <v>1348</v>
      </c>
      <c r="B1377">
        <v>0.11383674575938874</v>
      </c>
    </row>
    <row r="1378" spans="1:2" x14ac:dyDescent="0.25">
      <c r="A1378">
        <v>1349</v>
      </c>
      <c r="B1378">
        <v>0.27775630469336893</v>
      </c>
    </row>
    <row r="1379" spans="1:2" x14ac:dyDescent="0.25">
      <c r="A1379">
        <v>1350</v>
      </c>
      <c r="B1379">
        <v>0.22113862990458258</v>
      </c>
    </row>
    <row r="1380" spans="1:2" x14ac:dyDescent="0.25">
      <c r="A1380">
        <v>1351</v>
      </c>
      <c r="B1380">
        <v>9.3193796495397316E-2</v>
      </c>
    </row>
    <row r="1381" spans="1:2" x14ac:dyDescent="0.25">
      <c r="A1381">
        <v>1352</v>
      </c>
      <c r="B1381">
        <v>0.24663696749702085</v>
      </c>
    </row>
    <row r="1382" spans="1:2" x14ac:dyDescent="0.25">
      <c r="A1382">
        <v>1353</v>
      </c>
      <c r="B1382">
        <v>0.22201284283105083</v>
      </c>
    </row>
    <row r="1383" spans="1:2" x14ac:dyDescent="0.25">
      <c r="A1383">
        <v>1354</v>
      </c>
      <c r="B1383">
        <v>0.29208948421781628</v>
      </c>
    </row>
    <row r="1384" spans="1:2" x14ac:dyDescent="0.25">
      <c r="A1384">
        <v>1355</v>
      </c>
      <c r="B1384">
        <v>0.22313803994999773</v>
      </c>
    </row>
    <row r="1385" spans="1:2" x14ac:dyDescent="0.25">
      <c r="A1385">
        <v>1356</v>
      </c>
      <c r="B1385">
        <v>0.17821268518282649</v>
      </c>
    </row>
    <row r="1386" spans="1:2" x14ac:dyDescent="0.25">
      <c r="A1386">
        <v>1357</v>
      </c>
      <c r="B1386">
        <v>1.2815238221592025</v>
      </c>
    </row>
    <row r="1387" spans="1:2" x14ac:dyDescent="0.25">
      <c r="A1387">
        <v>1358</v>
      </c>
      <c r="B1387">
        <v>0.17552416789945074</v>
      </c>
    </row>
    <row r="1388" spans="1:2" x14ac:dyDescent="0.25">
      <c r="A1388">
        <v>1359</v>
      </c>
      <c r="B1388">
        <v>8.2844731042803557E-2</v>
      </c>
    </row>
    <row r="1389" spans="1:2" x14ac:dyDescent="0.25">
      <c r="A1389">
        <v>1360</v>
      </c>
      <c r="B1389">
        <v>0.37891530798309991</v>
      </c>
    </row>
    <row r="1390" spans="1:2" x14ac:dyDescent="0.25">
      <c r="A1390">
        <v>1361</v>
      </c>
      <c r="B1390">
        <v>4.6663523784579365E-2</v>
      </c>
    </row>
    <row r="1391" spans="1:2" x14ac:dyDescent="0.25">
      <c r="A1391">
        <v>1362</v>
      </c>
      <c r="B1391">
        <v>7.7789399691289451E-2</v>
      </c>
    </row>
    <row r="1392" spans="1:2" x14ac:dyDescent="0.25">
      <c r="A1392">
        <v>1363</v>
      </c>
      <c r="B1392">
        <v>9.352705823403662E-2</v>
      </c>
    </row>
    <row r="1393" spans="1:2" x14ac:dyDescent="0.25">
      <c r="A1393">
        <v>1364</v>
      </c>
      <c r="B1393">
        <v>0.23293703421012496</v>
      </c>
    </row>
    <row r="1394" spans="1:2" x14ac:dyDescent="0.25">
      <c r="A1394">
        <v>1365</v>
      </c>
      <c r="B1394">
        <v>0.28965126350948528</v>
      </c>
    </row>
    <row r="1395" spans="1:2" x14ac:dyDescent="0.25">
      <c r="A1395">
        <v>1366</v>
      </c>
      <c r="B1395">
        <v>0.16967032534621096</v>
      </c>
    </row>
    <row r="1396" spans="1:2" x14ac:dyDescent="0.25">
      <c r="A1396">
        <v>1367</v>
      </c>
      <c r="B1396">
        <v>8.1851190491096709E-2</v>
      </c>
    </row>
    <row r="1397" spans="1:2" x14ac:dyDescent="0.25">
      <c r="A1397">
        <v>1368</v>
      </c>
      <c r="B1397">
        <v>0.34610064178676192</v>
      </c>
    </row>
    <row r="1398" spans="1:2" x14ac:dyDescent="0.25">
      <c r="A1398">
        <v>1369</v>
      </c>
      <c r="B1398">
        <v>0.1147980727902677</v>
      </c>
    </row>
    <row r="1399" spans="1:2" x14ac:dyDescent="0.25">
      <c r="A1399">
        <v>1370</v>
      </c>
      <c r="B1399">
        <v>0.11624663078635258</v>
      </c>
    </row>
    <row r="1400" spans="1:2" x14ac:dyDescent="0.25">
      <c r="A1400">
        <v>1371</v>
      </c>
      <c r="B1400">
        <v>4.648090907190984E-2</v>
      </c>
    </row>
    <row r="1401" spans="1:2" x14ac:dyDescent="0.25">
      <c r="A1401">
        <v>1372</v>
      </c>
      <c r="B1401">
        <v>0.18009695735365328</v>
      </c>
    </row>
    <row r="1402" spans="1:2" x14ac:dyDescent="0.25">
      <c r="A1402">
        <v>1373</v>
      </c>
      <c r="B1402">
        <v>0.1592325820711657</v>
      </c>
    </row>
    <row r="1403" spans="1:2" x14ac:dyDescent="0.25">
      <c r="A1403">
        <v>1374</v>
      </c>
      <c r="B1403">
        <v>0.11438908657192616</v>
      </c>
    </row>
    <row r="1404" spans="1:2" x14ac:dyDescent="0.25">
      <c r="A1404">
        <v>1375</v>
      </c>
      <c r="B1404">
        <v>0.11414606800538254</v>
      </c>
    </row>
    <row r="1405" spans="1:2" x14ac:dyDescent="0.25">
      <c r="A1405">
        <v>1376</v>
      </c>
      <c r="B1405">
        <v>0.20904532754955554</v>
      </c>
    </row>
    <row r="1406" spans="1:2" x14ac:dyDescent="0.25">
      <c r="A1406">
        <v>1377</v>
      </c>
      <c r="B1406">
        <v>0.13580522880099755</v>
      </c>
    </row>
    <row r="1407" spans="1:2" x14ac:dyDescent="0.25">
      <c r="A1407">
        <v>1378</v>
      </c>
      <c r="B1407">
        <v>0.43725392700635796</v>
      </c>
    </row>
    <row r="1408" spans="1:2" x14ac:dyDescent="0.25">
      <c r="A1408">
        <v>1379</v>
      </c>
      <c r="B1408">
        <v>0.11664283290199036</v>
      </c>
    </row>
    <row r="1409" spans="1:2" x14ac:dyDescent="0.25">
      <c r="A1409">
        <v>1380</v>
      </c>
      <c r="B1409">
        <v>0.16830098586032846</v>
      </c>
    </row>
    <row r="1410" spans="1:2" x14ac:dyDescent="0.25">
      <c r="A1410">
        <v>1381</v>
      </c>
      <c r="B1410">
        <v>0.17315057661144262</v>
      </c>
    </row>
    <row r="1411" spans="1:2" x14ac:dyDescent="0.25">
      <c r="A1411">
        <v>1382</v>
      </c>
      <c r="B1411">
        <v>0.14751657328006371</v>
      </c>
    </row>
    <row r="1412" spans="1:2" x14ac:dyDescent="0.25">
      <c r="A1412">
        <v>1383</v>
      </c>
      <c r="B1412">
        <v>0.19632646112490834</v>
      </c>
    </row>
    <row r="1413" spans="1:2" x14ac:dyDescent="0.25">
      <c r="A1413">
        <v>1384</v>
      </c>
      <c r="B1413">
        <v>6.7859794572540807E-2</v>
      </c>
    </row>
    <row r="1414" spans="1:2" x14ac:dyDescent="0.25">
      <c r="A1414">
        <v>1385</v>
      </c>
      <c r="B1414">
        <v>0.15203605524092734</v>
      </c>
    </row>
    <row r="1415" spans="1:2" x14ac:dyDescent="0.25">
      <c r="A1415">
        <v>1386</v>
      </c>
      <c r="B1415">
        <v>0.20807107388824939</v>
      </c>
    </row>
    <row r="1416" spans="1:2" x14ac:dyDescent="0.25">
      <c r="A1416">
        <v>1387</v>
      </c>
      <c r="B1416">
        <v>8.3920588018919273E-2</v>
      </c>
    </row>
    <row r="1417" spans="1:2" x14ac:dyDescent="0.25">
      <c r="A1417">
        <v>1388</v>
      </c>
      <c r="B1417">
        <v>9.2045297465050566E-2</v>
      </c>
    </row>
    <row r="1418" spans="1:2" x14ac:dyDescent="0.25">
      <c r="A1418">
        <v>1389</v>
      </c>
      <c r="B1418">
        <v>7.2304541323510649E-2</v>
      </c>
    </row>
    <row r="1419" spans="1:2" x14ac:dyDescent="0.25">
      <c r="A1419">
        <v>1390</v>
      </c>
      <c r="B1419">
        <v>0.12421970086071181</v>
      </c>
    </row>
    <row r="1420" spans="1:2" x14ac:dyDescent="0.25">
      <c r="A1420">
        <v>1391</v>
      </c>
      <c r="B1420">
        <v>0.47604839220024509</v>
      </c>
    </row>
    <row r="1421" spans="1:2" x14ac:dyDescent="0.25">
      <c r="A1421">
        <v>1392</v>
      </c>
      <c r="B1421">
        <v>0.1425854426897836</v>
      </c>
    </row>
    <row r="1422" spans="1:2" x14ac:dyDescent="0.25">
      <c r="A1422">
        <v>1393</v>
      </c>
      <c r="B1422">
        <v>0.22066605006347995</v>
      </c>
    </row>
    <row r="1423" spans="1:2" x14ac:dyDescent="0.25">
      <c r="A1423">
        <v>1394</v>
      </c>
      <c r="B1423">
        <v>4.1086611045639258E-2</v>
      </c>
    </row>
    <row r="1424" spans="1:2" x14ac:dyDescent="0.25">
      <c r="A1424">
        <v>1395</v>
      </c>
      <c r="B1424">
        <v>0.23977093465970276</v>
      </c>
    </row>
    <row r="1425" spans="1:2" x14ac:dyDescent="0.25">
      <c r="A1425">
        <v>1396</v>
      </c>
      <c r="B1425">
        <v>0.23228104935437005</v>
      </c>
    </row>
    <row r="1426" spans="1:2" x14ac:dyDescent="0.25">
      <c r="A1426">
        <v>1397</v>
      </c>
      <c r="B1426">
        <v>0.15927949817160111</v>
      </c>
    </row>
    <row r="1427" spans="1:2" x14ac:dyDescent="0.25">
      <c r="A1427">
        <v>1398</v>
      </c>
      <c r="B1427">
        <v>0.4206583303887792</v>
      </c>
    </row>
    <row r="1428" spans="1:2" x14ac:dyDescent="0.25">
      <c r="A1428">
        <v>1399</v>
      </c>
      <c r="B1428">
        <v>7.6565449813336434E-2</v>
      </c>
    </row>
    <row r="1429" spans="1:2" x14ac:dyDescent="0.25">
      <c r="A1429">
        <v>1400</v>
      </c>
      <c r="B1429">
        <v>0.13533045208995864</v>
      </c>
    </row>
    <row r="1430" spans="1:2" x14ac:dyDescent="0.25">
      <c r="A1430">
        <v>1401</v>
      </c>
      <c r="B1430">
        <v>0.18671364941944718</v>
      </c>
    </row>
    <row r="1431" spans="1:2" x14ac:dyDescent="0.25">
      <c r="A1431">
        <v>1402</v>
      </c>
      <c r="B1431">
        <v>0.49640786736076226</v>
      </c>
    </row>
    <row r="1432" spans="1:2" x14ac:dyDescent="0.25">
      <c r="A1432">
        <v>1403</v>
      </c>
      <c r="B1432">
        <v>0.24499785284579725</v>
      </c>
    </row>
    <row r="1433" spans="1:2" x14ac:dyDescent="0.25">
      <c r="A1433">
        <v>1404</v>
      </c>
      <c r="B1433">
        <v>7.6916991431717263E-2</v>
      </c>
    </row>
    <row r="1434" spans="1:2" x14ac:dyDescent="0.25">
      <c r="A1434">
        <v>1405</v>
      </c>
      <c r="B1434">
        <v>8.3736107334492951E-2</v>
      </c>
    </row>
    <row r="1435" spans="1:2" x14ac:dyDescent="0.25">
      <c r="A1435">
        <v>1406</v>
      </c>
      <c r="B1435">
        <v>6.7619243979180774E-2</v>
      </c>
    </row>
    <row r="1436" spans="1:2" x14ac:dyDescent="0.25">
      <c r="A1436">
        <v>1407</v>
      </c>
      <c r="B1436">
        <v>1.8254378131120051E-2</v>
      </c>
    </row>
    <row r="1437" spans="1:2" x14ac:dyDescent="0.25">
      <c r="A1437">
        <v>1408</v>
      </c>
      <c r="B1437">
        <v>7.2960812082227613E-2</v>
      </c>
    </row>
    <row r="1438" spans="1:2" x14ac:dyDescent="0.25">
      <c r="A1438">
        <v>1409</v>
      </c>
      <c r="B1438">
        <v>0.26919370506119683</v>
      </c>
    </row>
    <row r="1439" spans="1:2" x14ac:dyDescent="0.25">
      <c r="A1439">
        <v>1410</v>
      </c>
      <c r="B1439">
        <v>0.24553581282441428</v>
      </c>
    </row>
    <row r="1440" spans="1:2" x14ac:dyDescent="0.25">
      <c r="A1440">
        <v>1411</v>
      </c>
      <c r="B1440">
        <v>0.61381374115330323</v>
      </c>
    </row>
    <row r="1441" spans="1:2" x14ac:dyDescent="0.25">
      <c r="A1441">
        <v>1412</v>
      </c>
      <c r="B1441">
        <v>0.26979729936077634</v>
      </c>
    </row>
    <row r="1442" spans="1:2" x14ac:dyDescent="0.25">
      <c r="A1442">
        <v>1413</v>
      </c>
      <c r="B1442">
        <v>0.27668059387998772</v>
      </c>
    </row>
    <row r="1443" spans="1:2" x14ac:dyDescent="0.25">
      <c r="A1443">
        <v>1414</v>
      </c>
      <c r="B1443">
        <v>0.29925297091249814</v>
      </c>
    </row>
    <row r="1444" spans="1:2" x14ac:dyDescent="0.25">
      <c r="A1444">
        <v>1415</v>
      </c>
      <c r="B1444">
        <v>3.8609256523999005E-2</v>
      </c>
    </row>
    <row r="1445" spans="1:2" x14ac:dyDescent="0.25">
      <c r="A1445">
        <v>1416</v>
      </c>
      <c r="B1445">
        <v>0.28805421333607895</v>
      </c>
    </row>
    <row r="1446" spans="1:2" x14ac:dyDescent="0.25">
      <c r="A1446">
        <v>1417</v>
      </c>
      <c r="B1446">
        <v>0.12637696864843867</v>
      </c>
    </row>
    <row r="1447" spans="1:2" x14ac:dyDescent="0.25">
      <c r="A1447">
        <v>1418</v>
      </c>
      <c r="B1447">
        <v>0.55377896469201693</v>
      </c>
    </row>
    <row r="1448" spans="1:2" x14ac:dyDescent="0.25">
      <c r="A1448">
        <v>1419</v>
      </c>
      <c r="B1448">
        <v>0.22648395981871952</v>
      </c>
    </row>
    <row r="1449" spans="1:2" x14ac:dyDescent="0.25">
      <c r="A1449">
        <v>1420</v>
      </c>
      <c r="B1449">
        <v>0.34895068551836317</v>
      </c>
    </row>
    <row r="1450" spans="1:2" x14ac:dyDescent="0.25">
      <c r="A1450">
        <v>1421</v>
      </c>
      <c r="B1450">
        <v>2.6842338558697169E-2</v>
      </c>
    </row>
    <row r="1451" spans="1:2" x14ac:dyDescent="0.25">
      <c r="A1451">
        <v>1422</v>
      </c>
      <c r="B1451">
        <v>9.3694968939138618E-2</v>
      </c>
    </row>
    <row r="1452" spans="1:2" x14ac:dyDescent="0.25">
      <c r="A1452">
        <v>1423</v>
      </c>
      <c r="B1452">
        <v>0.13055512400720254</v>
      </c>
    </row>
    <row r="1453" spans="1:2" x14ac:dyDescent="0.25">
      <c r="A1453">
        <v>1424</v>
      </c>
      <c r="B1453">
        <v>6.9786446142980782E-2</v>
      </c>
    </row>
    <row r="1454" spans="1:2" x14ac:dyDescent="0.25">
      <c r="A1454">
        <v>1425</v>
      </c>
      <c r="B1454">
        <v>0.2207707762953651</v>
      </c>
    </row>
    <row r="1455" spans="1:2" x14ac:dyDescent="0.25">
      <c r="A1455">
        <v>1426</v>
      </c>
      <c r="B1455">
        <v>0.31367030873379814</v>
      </c>
    </row>
    <row r="1456" spans="1:2" x14ac:dyDescent="0.25">
      <c r="A1456">
        <v>1427</v>
      </c>
      <c r="B1456">
        <v>8.3286500760282337E-2</v>
      </c>
    </row>
    <row r="1457" spans="1:2" x14ac:dyDescent="0.25">
      <c r="A1457">
        <v>1428</v>
      </c>
      <c r="B1457">
        <v>0.22711507163407643</v>
      </c>
    </row>
    <row r="1458" spans="1:2" x14ac:dyDescent="0.25">
      <c r="A1458">
        <v>1429</v>
      </c>
      <c r="B1458">
        <v>0.26047868710189681</v>
      </c>
    </row>
    <row r="1459" spans="1:2" x14ac:dyDescent="0.25">
      <c r="A1459">
        <v>1430</v>
      </c>
      <c r="B1459">
        <v>0.12902560803833718</v>
      </c>
    </row>
    <row r="1460" spans="1:2" x14ac:dyDescent="0.25">
      <c r="A1460">
        <v>1431</v>
      </c>
      <c r="B1460">
        <v>0.10501008833592358</v>
      </c>
    </row>
    <row r="1461" spans="1:2" x14ac:dyDescent="0.25">
      <c r="A1461">
        <v>1432</v>
      </c>
      <c r="B1461">
        <v>0.23669154048504495</v>
      </c>
    </row>
    <row r="1462" spans="1:2" x14ac:dyDescent="0.25">
      <c r="A1462">
        <v>1433</v>
      </c>
      <c r="B1462">
        <v>6.4638591595028314E-2</v>
      </c>
    </row>
    <row r="1463" spans="1:2" x14ac:dyDescent="0.25">
      <c r="A1463">
        <v>1434</v>
      </c>
      <c r="B1463">
        <v>0.23513087953326142</v>
      </c>
    </row>
    <row r="1464" spans="1:2" x14ac:dyDescent="0.25">
      <c r="A1464">
        <v>1435</v>
      </c>
      <c r="B1464">
        <v>0.4352167373168121</v>
      </c>
    </row>
    <row r="1465" spans="1:2" x14ac:dyDescent="0.25">
      <c r="A1465">
        <v>1436</v>
      </c>
      <c r="B1465">
        <v>6.5709143117698571E-2</v>
      </c>
    </row>
    <row r="1466" spans="1:2" x14ac:dyDescent="0.25">
      <c r="A1466">
        <v>1437</v>
      </c>
      <c r="B1466">
        <v>0.22821998928556522</v>
      </c>
    </row>
    <row r="1467" spans="1:2" x14ac:dyDescent="0.25">
      <c r="A1467">
        <v>1438</v>
      </c>
      <c r="B1467">
        <v>9.4757658014252732E-2</v>
      </c>
    </row>
    <row r="1468" spans="1:2" x14ac:dyDescent="0.25">
      <c r="A1468">
        <v>1439</v>
      </c>
      <c r="B1468">
        <v>0.11602698578512555</v>
      </c>
    </row>
    <row r="1469" spans="1:2" x14ac:dyDescent="0.25">
      <c r="A1469">
        <v>1440</v>
      </c>
      <c r="B1469">
        <v>0.16269797681903564</v>
      </c>
    </row>
    <row r="1470" spans="1:2" x14ac:dyDescent="0.25">
      <c r="A1470">
        <v>1441</v>
      </c>
      <c r="B1470">
        <v>0.23235868018187317</v>
      </c>
    </row>
    <row r="1471" spans="1:2" x14ac:dyDescent="0.25">
      <c r="A1471">
        <v>1442</v>
      </c>
      <c r="B1471">
        <v>2.9977128347284672E-2</v>
      </c>
    </row>
    <row r="1472" spans="1:2" x14ac:dyDescent="0.25">
      <c r="A1472">
        <v>1443</v>
      </c>
      <c r="B1472">
        <v>0.20678740596250328</v>
      </c>
    </row>
    <row r="1473" spans="1:2" x14ac:dyDescent="0.25">
      <c r="A1473">
        <v>1444</v>
      </c>
      <c r="B1473">
        <v>0.1149616071812166</v>
      </c>
    </row>
    <row r="1474" spans="1:2" x14ac:dyDescent="0.25">
      <c r="A1474">
        <v>1445</v>
      </c>
      <c r="B1474">
        <v>0.17766424571442144</v>
      </c>
    </row>
    <row r="1475" spans="1:2" x14ac:dyDescent="0.25">
      <c r="A1475">
        <v>1446</v>
      </c>
      <c r="B1475">
        <v>0.1218198082426868</v>
      </c>
    </row>
    <row r="1476" spans="1:2" x14ac:dyDescent="0.25">
      <c r="A1476">
        <v>1447</v>
      </c>
      <c r="B1476">
        <v>0.80459270510975689</v>
      </c>
    </row>
    <row r="1477" spans="1:2" x14ac:dyDescent="0.25">
      <c r="A1477">
        <v>1448</v>
      </c>
      <c r="B1477">
        <v>0.10093205818933521</v>
      </c>
    </row>
    <row r="1478" spans="1:2" x14ac:dyDescent="0.25">
      <c r="A1478">
        <v>1449</v>
      </c>
      <c r="B1478">
        <v>0.52125191562700646</v>
      </c>
    </row>
    <row r="1479" spans="1:2" x14ac:dyDescent="0.25">
      <c r="A1479">
        <v>1450</v>
      </c>
      <c r="B1479">
        <v>0.35174027384407724</v>
      </c>
    </row>
    <row r="1480" spans="1:2" x14ac:dyDescent="0.25">
      <c r="A1480">
        <v>1451</v>
      </c>
      <c r="B1480">
        <v>0.20871205373530172</v>
      </c>
    </row>
    <row r="1481" spans="1:2" x14ac:dyDescent="0.25">
      <c r="A1481">
        <v>1452</v>
      </c>
      <c r="B1481">
        <v>0.29416570802078051</v>
      </c>
    </row>
    <row r="1482" spans="1:2" x14ac:dyDescent="0.25">
      <c r="A1482">
        <v>1453</v>
      </c>
      <c r="B1482">
        <v>9.712882511662238E-2</v>
      </c>
    </row>
    <row r="1483" spans="1:2" x14ac:dyDescent="0.25">
      <c r="A1483">
        <v>1454</v>
      </c>
      <c r="B1483">
        <v>0.17722020098985938</v>
      </c>
    </row>
    <row r="1484" spans="1:2" x14ac:dyDescent="0.25">
      <c r="A1484">
        <v>1455</v>
      </c>
      <c r="B1484">
        <v>0.31863705200732384</v>
      </c>
    </row>
    <row r="1485" spans="1:2" x14ac:dyDescent="0.25">
      <c r="A1485">
        <v>1456</v>
      </c>
      <c r="B1485">
        <v>0.17319878285370013</v>
      </c>
    </row>
    <row r="1486" spans="1:2" x14ac:dyDescent="0.25">
      <c r="A1486">
        <v>1457</v>
      </c>
      <c r="B1486">
        <v>9.6927132041929417E-2</v>
      </c>
    </row>
    <row r="1487" spans="1:2" x14ac:dyDescent="0.25">
      <c r="A1487">
        <v>1458</v>
      </c>
      <c r="B1487">
        <v>0.17899757779951181</v>
      </c>
    </row>
    <row r="1488" spans="1:2" x14ac:dyDescent="0.25">
      <c r="A1488">
        <v>1459</v>
      </c>
      <c r="B1488">
        <v>0.22312492681839807</v>
      </c>
    </row>
    <row r="1489" spans="1:2" x14ac:dyDescent="0.25">
      <c r="A1489">
        <v>1460</v>
      </c>
      <c r="B1489">
        <v>2.9667462587425131E-2</v>
      </c>
    </row>
    <row r="1490" spans="1:2" x14ac:dyDescent="0.25">
      <c r="A1490">
        <v>1461</v>
      </c>
      <c r="B1490">
        <v>8.1919683574001978E-2</v>
      </c>
    </row>
    <row r="1491" spans="1:2" x14ac:dyDescent="0.25">
      <c r="A1491">
        <v>1462</v>
      </c>
      <c r="B1491">
        <v>1.3208326971886926</v>
      </c>
    </row>
    <row r="1492" spans="1:2" x14ac:dyDescent="0.25">
      <c r="A1492">
        <v>1463</v>
      </c>
      <c r="B1492">
        <v>0.31564721910393395</v>
      </c>
    </row>
    <row r="1493" spans="1:2" x14ac:dyDescent="0.25">
      <c r="A1493">
        <v>1464</v>
      </c>
      <c r="B1493">
        <v>0.27633174763374613</v>
      </c>
    </row>
    <row r="1494" spans="1:2" x14ac:dyDescent="0.25">
      <c r="A1494">
        <v>1465</v>
      </c>
      <c r="B1494">
        <v>0.10256324497594969</v>
      </c>
    </row>
    <row r="1495" spans="1:2" x14ac:dyDescent="0.25">
      <c r="A1495">
        <v>1466</v>
      </c>
      <c r="B1495">
        <v>0.32161892707384115</v>
      </c>
    </row>
    <row r="1496" spans="1:2" x14ac:dyDescent="0.25">
      <c r="A1496">
        <v>1467</v>
      </c>
      <c r="B1496">
        <v>0.3334920644066704</v>
      </c>
    </row>
    <row r="1497" spans="1:2" x14ac:dyDescent="0.25">
      <c r="A1497">
        <v>1468</v>
      </c>
      <c r="B1497">
        <v>1.3053993615185411</v>
      </c>
    </row>
    <row r="1498" spans="1:2" x14ac:dyDescent="0.25">
      <c r="A1498">
        <v>1469</v>
      </c>
      <c r="B1498">
        <v>0.27238947785954964</v>
      </c>
    </row>
    <row r="1499" spans="1:2" x14ac:dyDescent="0.25">
      <c r="A1499">
        <v>1470</v>
      </c>
      <c r="B1499">
        <v>0.18235034990091784</v>
      </c>
    </row>
    <row r="1500" spans="1:2" x14ac:dyDescent="0.25">
      <c r="A1500">
        <v>1471</v>
      </c>
      <c r="B1500">
        <v>0.21793429660059466</v>
      </c>
    </row>
    <row r="1501" spans="1:2" x14ac:dyDescent="0.25">
      <c r="A1501">
        <v>1472</v>
      </c>
      <c r="B1501">
        <v>0.30466381312205831</v>
      </c>
    </row>
    <row r="1502" spans="1:2" x14ac:dyDescent="0.25">
      <c r="A1502">
        <v>1473</v>
      </c>
      <c r="B1502">
        <v>0.10175152482073227</v>
      </c>
    </row>
    <row r="1503" spans="1:2" x14ac:dyDescent="0.25">
      <c r="A1503">
        <v>1474</v>
      </c>
      <c r="B1503">
        <v>7.2793119674343598E-2</v>
      </c>
    </row>
    <row r="1504" spans="1:2" x14ac:dyDescent="0.25">
      <c r="A1504">
        <v>1475</v>
      </c>
      <c r="B1504">
        <v>0.44614428763055269</v>
      </c>
    </row>
    <row r="1505" spans="1:2" x14ac:dyDescent="0.25">
      <c r="A1505">
        <v>1476</v>
      </c>
      <c r="B1505">
        <v>9.5661648299002935E-2</v>
      </c>
    </row>
    <row r="1506" spans="1:2" x14ac:dyDescent="0.25">
      <c r="A1506">
        <v>1477</v>
      </c>
      <c r="B1506">
        <v>0.13002051344966706</v>
      </c>
    </row>
    <row r="1507" spans="1:2" x14ac:dyDescent="0.25">
      <c r="A1507">
        <v>1478</v>
      </c>
      <c r="B1507">
        <v>3.1406734430032071E-2</v>
      </c>
    </row>
    <row r="1508" spans="1:2" x14ac:dyDescent="0.25">
      <c r="A1508">
        <v>1479</v>
      </c>
      <c r="B1508">
        <v>6.9252219014491814E-2</v>
      </c>
    </row>
    <row r="1509" spans="1:2" x14ac:dyDescent="0.25">
      <c r="A1509">
        <v>1480</v>
      </c>
      <c r="B1509">
        <v>8.8183547962667003E-2</v>
      </c>
    </row>
    <row r="1510" spans="1:2" x14ac:dyDescent="0.25">
      <c r="A1510">
        <v>1481</v>
      </c>
      <c r="B1510">
        <v>9.4047235765981577E-2</v>
      </c>
    </row>
    <row r="1511" spans="1:2" x14ac:dyDescent="0.25">
      <c r="A1511">
        <v>1482</v>
      </c>
      <c r="B1511">
        <v>0.19504976409047722</v>
      </c>
    </row>
    <row r="1512" spans="1:2" x14ac:dyDescent="0.25">
      <c r="A1512">
        <v>1483</v>
      </c>
      <c r="B1512">
        <v>0.11217502659901173</v>
      </c>
    </row>
    <row r="1513" spans="1:2" x14ac:dyDescent="0.25">
      <c r="A1513">
        <v>1484</v>
      </c>
      <c r="B1513">
        <v>0.1569006161440161</v>
      </c>
    </row>
    <row r="1514" spans="1:2" x14ac:dyDescent="0.25">
      <c r="A1514">
        <v>1485</v>
      </c>
      <c r="B1514">
        <v>0.43622947859738043</v>
      </c>
    </row>
    <row r="1515" spans="1:2" x14ac:dyDescent="0.25">
      <c r="A1515">
        <v>1486</v>
      </c>
      <c r="B1515">
        <v>0.14455150020250351</v>
      </c>
    </row>
    <row r="1516" spans="1:2" x14ac:dyDescent="0.25">
      <c r="A1516">
        <v>1487</v>
      </c>
      <c r="B1516">
        <v>0.24462611084304314</v>
      </c>
    </row>
    <row r="1517" spans="1:2" x14ac:dyDescent="0.25">
      <c r="A1517">
        <v>1488</v>
      </c>
      <c r="B1517">
        <v>0.1006386999209152</v>
      </c>
    </row>
    <row r="1518" spans="1:2" x14ac:dyDescent="0.25">
      <c r="A1518">
        <v>1489</v>
      </c>
      <c r="B1518">
        <v>0.39640135702135321</v>
      </c>
    </row>
    <row r="1519" spans="1:2" x14ac:dyDescent="0.25">
      <c r="A1519">
        <v>1490</v>
      </c>
      <c r="B1519">
        <v>0.29059741569906344</v>
      </c>
    </row>
    <row r="1520" spans="1:2" x14ac:dyDescent="0.25">
      <c r="A1520">
        <v>1491</v>
      </c>
      <c r="B1520">
        <v>7.0223975602610428E-2</v>
      </c>
    </row>
    <row r="1521" spans="1:2" x14ac:dyDescent="0.25">
      <c r="A1521">
        <v>1492</v>
      </c>
      <c r="B1521">
        <v>0.28640973264133485</v>
      </c>
    </row>
    <row r="1522" spans="1:2" x14ac:dyDescent="0.25">
      <c r="A1522">
        <v>1493</v>
      </c>
      <c r="B1522">
        <v>0.129739771647396</v>
      </c>
    </row>
    <row r="1523" spans="1:2" x14ac:dyDescent="0.25">
      <c r="A1523">
        <v>1494</v>
      </c>
      <c r="B1523">
        <v>0.1646532829792933</v>
      </c>
    </row>
    <row r="1524" spans="1:2" x14ac:dyDescent="0.25">
      <c r="A1524">
        <v>1495</v>
      </c>
      <c r="B1524">
        <v>0.33965273484428554</v>
      </c>
    </row>
    <row r="1525" spans="1:2" x14ac:dyDescent="0.25">
      <c r="A1525">
        <v>1496</v>
      </c>
      <c r="B1525">
        <v>7.8121115238669811E-2</v>
      </c>
    </row>
    <row r="1526" spans="1:2" x14ac:dyDescent="0.25">
      <c r="A1526">
        <v>1497</v>
      </c>
      <c r="B1526">
        <v>0.27075957476809387</v>
      </c>
    </row>
    <row r="1527" spans="1:2" x14ac:dyDescent="0.25">
      <c r="A1527">
        <v>1498</v>
      </c>
      <c r="B1527">
        <v>0.12057206158086901</v>
      </c>
    </row>
    <row r="1528" spans="1:2" x14ac:dyDescent="0.25">
      <c r="A1528">
        <v>1499</v>
      </c>
      <c r="B1528">
        <v>0.17215666155804049</v>
      </c>
    </row>
    <row r="1529" spans="1:2" x14ac:dyDescent="0.25">
      <c r="A1529">
        <v>1500</v>
      </c>
      <c r="B1529">
        <v>0.15001558411270621</v>
      </c>
    </row>
    <row r="1530" spans="1:2" x14ac:dyDescent="0.25">
      <c r="A1530">
        <v>1501</v>
      </c>
      <c r="B1530">
        <v>0.29779318353414108</v>
      </c>
    </row>
    <row r="1531" spans="1:2" x14ac:dyDescent="0.25">
      <c r="A1531">
        <v>1502</v>
      </c>
      <c r="B1531">
        <v>0.18467731943527599</v>
      </c>
    </row>
    <row r="1532" spans="1:2" x14ac:dyDescent="0.25">
      <c r="A1532">
        <v>1503</v>
      </c>
      <c r="B1532">
        <v>6.885562855691732E-2</v>
      </c>
    </row>
    <row r="1533" spans="1:2" x14ac:dyDescent="0.25">
      <c r="A1533">
        <v>1504</v>
      </c>
      <c r="B1533">
        <v>0.38270656912389367</v>
      </c>
    </row>
    <row r="1534" spans="1:2" x14ac:dyDescent="0.25">
      <c r="A1534">
        <v>1505</v>
      </c>
      <c r="B1534">
        <v>0.1178128363862474</v>
      </c>
    </row>
    <row r="1535" spans="1:2" x14ac:dyDescent="0.25">
      <c r="A1535">
        <v>1506</v>
      </c>
      <c r="B1535">
        <v>0.11054860131609071</v>
      </c>
    </row>
    <row r="1536" spans="1:2" x14ac:dyDescent="0.25">
      <c r="A1536">
        <v>1507</v>
      </c>
      <c r="B1536">
        <v>0.23549316009300694</v>
      </c>
    </row>
    <row r="1537" spans="1:2" x14ac:dyDescent="0.25">
      <c r="A1537">
        <v>1508</v>
      </c>
      <c r="B1537">
        <v>0.13634259734961579</v>
      </c>
    </row>
    <row r="1538" spans="1:2" x14ac:dyDescent="0.25">
      <c r="A1538">
        <v>1509</v>
      </c>
      <c r="B1538">
        <v>9.1150764184210115E-2</v>
      </c>
    </row>
    <row r="1539" spans="1:2" x14ac:dyDescent="0.25">
      <c r="A1539">
        <v>1510</v>
      </c>
      <c r="B1539">
        <v>0.17828685706629246</v>
      </c>
    </row>
    <row r="1540" spans="1:2" x14ac:dyDescent="0.25">
      <c r="A1540">
        <v>1511</v>
      </c>
      <c r="B1540">
        <v>0.18495804252807899</v>
      </c>
    </row>
    <row r="1541" spans="1:2" x14ac:dyDescent="0.25">
      <c r="A1541">
        <v>1512</v>
      </c>
      <c r="B1541">
        <v>0.10842255911262683</v>
      </c>
    </row>
    <row r="1542" spans="1:2" x14ac:dyDescent="0.25">
      <c r="A1542">
        <v>1513</v>
      </c>
      <c r="B1542">
        <v>0.36754512174233495</v>
      </c>
    </row>
    <row r="1543" spans="1:2" x14ac:dyDescent="0.25">
      <c r="A1543">
        <v>1514</v>
      </c>
      <c r="B1543">
        <v>0.2657694308161459</v>
      </c>
    </row>
    <row r="1544" spans="1:2" x14ac:dyDescent="0.25">
      <c r="A1544">
        <v>1515</v>
      </c>
      <c r="B1544">
        <v>5.7788125349250076E-2</v>
      </c>
    </row>
    <row r="1545" spans="1:2" x14ac:dyDescent="0.25">
      <c r="A1545">
        <v>1516</v>
      </c>
      <c r="B1545">
        <v>0.16737697954647099</v>
      </c>
    </row>
    <row r="1546" spans="1:2" x14ac:dyDescent="0.25">
      <c r="A1546">
        <v>1517</v>
      </c>
      <c r="B1546">
        <v>0.11045647690567406</v>
      </c>
    </row>
    <row r="1547" spans="1:2" x14ac:dyDescent="0.25">
      <c r="A1547">
        <v>1518</v>
      </c>
      <c r="B1547">
        <v>9.1507432776639697E-2</v>
      </c>
    </row>
    <row r="1548" spans="1:2" x14ac:dyDescent="0.25">
      <c r="A1548">
        <v>1519</v>
      </c>
      <c r="B1548">
        <v>0.23460989108285801</v>
      </c>
    </row>
    <row r="1549" spans="1:2" x14ac:dyDescent="0.25">
      <c r="A1549">
        <v>1520</v>
      </c>
      <c r="B1549">
        <v>0.36282016496900343</v>
      </c>
    </row>
    <row r="1550" spans="1:2" x14ac:dyDescent="0.25">
      <c r="A1550">
        <v>1521</v>
      </c>
      <c r="B1550">
        <v>0.20887123551112113</v>
      </c>
    </row>
    <row r="1551" spans="1:2" x14ac:dyDescent="0.25">
      <c r="A1551">
        <v>1522</v>
      </c>
      <c r="B1551">
        <v>0.15646547004276254</v>
      </c>
    </row>
    <row r="1552" spans="1:2" x14ac:dyDescent="0.25">
      <c r="A1552">
        <v>1523</v>
      </c>
      <c r="B1552">
        <v>8.2739172253799356E-2</v>
      </c>
    </row>
    <row r="1553" spans="1:2" x14ac:dyDescent="0.25">
      <c r="A1553">
        <v>1524</v>
      </c>
      <c r="B1553">
        <v>0.30644039669429518</v>
      </c>
    </row>
    <row r="1554" spans="1:2" x14ac:dyDescent="0.25">
      <c r="A1554">
        <v>1525</v>
      </c>
      <c r="B1554">
        <v>0.30531340174326449</v>
      </c>
    </row>
    <row r="1555" spans="1:2" x14ac:dyDescent="0.25">
      <c r="A1555">
        <v>1526</v>
      </c>
      <c r="B1555">
        <v>0.10451943355497925</v>
      </c>
    </row>
    <row r="1556" spans="1:2" x14ac:dyDescent="0.25">
      <c r="A1556">
        <v>1527</v>
      </c>
      <c r="B1556">
        <v>0.23192319355733509</v>
      </c>
    </row>
    <row r="1557" spans="1:2" x14ac:dyDescent="0.25">
      <c r="A1557">
        <v>1528</v>
      </c>
      <c r="B1557">
        <v>0.17016949248281329</v>
      </c>
    </row>
    <row r="1558" spans="1:2" x14ac:dyDescent="0.25">
      <c r="A1558">
        <v>1529</v>
      </c>
      <c r="B1558">
        <v>0.22040637239097052</v>
      </c>
    </row>
    <row r="1559" spans="1:2" x14ac:dyDescent="0.25">
      <c r="A1559">
        <v>1530</v>
      </c>
      <c r="B1559">
        <v>0.22591439086596043</v>
      </c>
    </row>
    <row r="1560" spans="1:2" x14ac:dyDescent="0.25">
      <c r="A1560">
        <v>1531</v>
      </c>
      <c r="B1560">
        <v>0.22352572612508209</v>
      </c>
    </row>
    <row r="1561" spans="1:2" x14ac:dyDescent="0.25">
      <c r="A1561">
        <v>1532</v>
      </c>
      <c r="B1561">
        <v>4.0550477409348945E-2</v>
      </c>
    </row>
    <row r="1562" spans="1:2" x14ac:dyDescent="0.25">
      <c r="A1562">
        <v>1533</v>
      </c>
      <c r="B1562">
        <v>0.21207209352754947</v>
      </c>
    </row>
    <row r="1563" spans="1:2" x14ac:dyDescent="0.25">
      <c r="A1563">
        <v>1534</v>
      </c>
      <c r="B1563">
        <v>0.16915891889249032</v>
      </c>
    </row>
    <row r="1564" spans="1:2" x14ac:dyDescent="0.25">
      <c r="A1564">
        <v>1535</v>
      </c>
      <c r="B1564">
        <v>0.34196523942920865</v>
      </c>
    </row>
    <row r="1565" spans="1:2" x14ac:dyDescent="0.25">
      <c r="A1565">
        <v>1536</v>
      </c>
      <c r="B1565">
        <v>0.14865911704763152</v>
      </c>
    </row>
    <row r="1566" spans="1:2" x14ac:dyDescent="0.25">
      <c r="A1566">
        <v>1537</v>
      </c>
      <c r="B1566">
        <v>0.21595261836766819</v>
      </c>
    </row>
    <row r="1567" spans="1:2" x14ac:dyDescent="0.25">
      <c r="A1567">
        <v>1538</v>
      </c>
      <c r="B1567">
        <v>5.5122362676068307E-2</v>
      </c>
    </row>
    <row r="1568" spans="1:2" x14ac:dyDescent="0.25">
      <c r="A1568">
        <v>1539</v>
      </c>
      <c r="B1568">
        <v>6.2353010672314781E-2</v>
      </c>
    </row>
    <row r="1569" spans="1:2" x14ac:dyDescent="0.25">
      <c r="A1569">
        <v>1540</v>
      </c>
      <c r="B1569">
        <v>0.17924146478338732</v>
      </c>
    </row>
    <row r="1570" spans="1:2" x14ac:dyDescent="0.25">
      <c r="A1570">
        <v>1541</v>
      </c>
      <c r="B1570">
        <v>0.13105594284000438</v>
      </c>
    </row>
    <row r="1571" spans="1:2" x14ac:dyDescent="0.25">
      <c r="A1571">
        <v>1542</v>
      </c>
      <c r="B1571">
        <v>4.4369539792423716E-2</v>
      </c>
    </row>
    <row r="1572" spans="1:2" x14ac:dyDescent="0.25">
      <c r="A1572">
        <v>1543</v>
      </c>
      <c r="B1572">
        <v>0.58059650808303154</v>
      </c>
    </row>
    <row r="1573" spans="1:2" x14ac:dyDescent="0.25">
      <c r="A1573">
        <v>1544</v>
      </c>
      <c r="B1573">
        <v>0.62060560481025528</v>
      </c>
    </row>
    <row r="1574" spans="1:2" x14ac:dyDescent="0.25">
      <c r="A1574">
        <v>1545</v>
      </c>
      <c r="B1574">
        <v>8.1334105244367488E-2</v>
      </c>
    </row>
    <row r="1575" spans="1:2" x14ac:dyDescent="0.25">
      <c r="A1575">
        <v>1546</v>
      </c>
      <c r="B1575">
        <v>8.4467105422347769E-2</v>
      </c>
    </row>
    <row r="1576" spans="1:2" x14ac:dyDescent="0.25">
      <c r="A1576">
        <v>1547</v>
      </c>
      <c r="B1576">
        <v>5.1276434021973072E-2</v>
      </c>
    </row>
    <row r="1577" spans="1:2" x14ac:dyDescent="0.25">
      <c r="A1577">
        <v>1548</v>
      </c>
      <c r="B1577">
        <v>0.25861036154746248</v>
      </c>
    </row>
    <row r="1578" spans="1:2" x14ac:dyDescent="0.25">
      <c r="A1578">
        <v>1549</v>
      </c>
      <c r="B1578">
        <v>5.8611389007995535E-2</v>
      </c>
    </row>
    <row r="1579" spans="1:2" x14ac:dyDescent="0.25">
      <c r="A1579">
        <v>1550</v>
      </c>
      <c r="B1579">
        <v>0.198664458381764</v>
      </c>
    </row>
    <row r="1580" spans="1:2" x14ac:dyDescent="0.25">
      <c r="A1580">
        <v>1551</v>
      </c>
      <c r="B1580">
        <v>0.20158268981142111</v>
      </c>
    </row>
    <row r="1581" spans="1:2" x14ac:dyDescent="0.25">
      <c r="A1581">
        <v>1552</v>
      </c>
      <c r="B1581">
        <v>0.33075271921186017</v>
      </c>
    </row>
    <row r="1582" spans="1:2" x14ac:dyDescent="0.25">
      <c r="A1582">
        <v>1553</v>
      </c>
      <c r="B1582">
        <v>6.5895564167544954E-2</v>
      </c>
    </row>
    <row r="1583" spans="1:2" x14ac:dyDescent="0.25">
      <c r="A1583">
        <v>1554</v>
      </c>
      <c r="B1583">
        <v>0.1670168973691403</v>
      </c>
    </row>
    <row r="1584" spans="1:2" x14ac:dyDescent="0.25">
      <c r="A1584">
        <v>1555</v>
      </c>
      <c r="B1584">
        <v>0.27363017795434308</v>
      </c>
    </row>
    <row r="1585" spans="1:2" x14ac:dyDescent="0.25">
      <c r="A1585">
        <v>1556</v>
      </c>
      <c r="B1585">
        <v>0.40809358694961517</v>
      </c>
    </row>
    <row r="1586" spans="1:2" x14ac:dyDescent="0.25">
      <c r="A1586">
        <v>1557</v>
      </c>
      <c r="B1586">
        <v>0.27549967764517541</v>
      </c>
    </row>
    <row r="1587" spans="1:2" x14ac:dyDescent="0.25">
      <c r="A1587">
        <v>1558</v>
      </c>
      <c r="B1587">
        <v>9.2515232940868941E-2</v>
      </c>
    </row>
    <row r="1588" spans="1:2" x14ac:dyDescent="0.25">
      <c r="A1588">
        <v>1559</v>
      </c>
      <c r="B1588">
        <v>0.1217052206653763</v>
      </c>
    </row>
    <row r="1589" spans="1:2" x14ac:dyDescent="0.25">
      <c r="A1589">
        <v>1560</v>
      </c>
      <c r="B1589">
        <v>0.21860043630149528</v>
      </c>
    </row>
    <row r="1590" spans="1:2" x14ac:dyDescent="0.25">
      <c r="A1590">
        <v>1561</v>
      </c>
      <c r="B1590">
        <v>5.5070307399081406E-2</v>
      </c>
    </row>
    <row r="1591" spans="1:2" x14ac:dyDescent="0.25">
      <c r="A1591">
        <v>1562</v>
      </c>
      <c r="B1591">
        <v>8.6905123830070902E-2</v>
      </c>
    </row>
    <row r="1592" spans="1:2" x14ac:dyDescent="0.25">
      <c r="A1592">
        <v>1563</v>
      </c>
      <c r="B1592">
        <v>0.13098158184686307</v>
      </c>
    </row>
    <row r="1593" spans="1:2" x14ac:dyDescent="0.25">
      <c r="A1593">
        <v>1564</v>
      </c>
      <c r="B1593">
        <v>0.18847347287445032</v>
      </c>
    </row>
    <row r="1594" spans="1:2" x14ac:dyDescent="0.25">
      <c r="A1594">
        <v>1565</v>
      </c>
      <c r="B1594">
        <v>0.23453158462441001</v>
      </c>
    </row>
    <row r="1595" spans="1:2" x14ac:dyDescent="0.25">
      <c r="A1595">
        <v>1566</v>
      </c>
      <c r="B1595">
        <v>0.2743512245781134</v>
      </c>
    </row>
    <row r="1596" spans="1:2" x14ac:dyDescent="0.25">
      <c r="A1596">
        <v>1567</v>
      </c>
      <c r="B1596">
        <v>0.74326179651623447</v>
      </c>
    </row>
    <row r="1597" spans="1:2" x14ac:dyDescent="0.25">
      <c r="A1597">
        <v>1568</v>
      </c>
      <c r="B1597">
        <v>5.2515043567413447E-2</v>
      </c>
    </row>
    <row r="1598" spans="1:2" x14ac:dyDescent="0.25">
      <c r="A1598">
        <v>1569</v>
      </c>
      <c r="B1598">
        <v>0.20767988443828239</v>
      </c>
    </row>
    <row r="1599" spans="1:2" x14ac:dyDescent="0.25">
      <c r="A1599">
        <v>1570</v>
      </c>
      <c r="B1599">
        <v>0.139179984430922</v>
      </c>
    </row>
    <row r="1600" spans="1:2" x14ac:dyDescent="0.25">
      <c r="A1600">
        <v>1571</v>
      </c>
      <c r="B1600">
        <v>0.1024657311131117</v>
      </c>
    </row>
    <row r="1601" spans="1:2" x14ac:dyDescent="0.25">
      <c r="A1601">
        <v>1572</v>
      </c>
      <c r="B1601">
        <v>0.17207929285667214</v>
      </c>
    </row>
    <row r="1602" spans="1:2" x14ac:dyDescent="0.25">
      <c r="A1602">
        <v>1573</v>
      </c>
      <c r="B1602">
        <v>0.32237518091581019</v>
      </c>
    </row>
    <row r="1603" spans="1:2" x14ac:dyDescent="0.25">
      <c r="A1603">
        <v>1574</v>
      </c>
      <c r="B1603">
        <v>0.13251528988782871</v>
      </c>
    </row>
    <row r="1604" spans="1:2" x14ac:dyDescent="0.25">
      <c r="A1604">
        <v>1575</v>
      </c>
      <c r="B1604">
        <v>8.1739037565949593E-2</v>
      </c>
    </row>
    <row r="1605" spans="1:2" x14ac:dyDescent="0.25">
      <c r="A1605">
        <v>1576</v>
      </c>
      <c r="B1605">
        <v>0.56797703771121499</v>
      </c>
    </row>
    <row r="1606" spans="1:2" x14ac:dyDescent="0.25">
      <c r="A1606">
        <v>1577</v>
      </c>
      <c r="B1606">
        <v>0.63840391156141874</v>
      </c>
    </row>
    <row r="1607" spans="1:2" x14ac:dyDescent="0.25">
      <c r="A1607">
        <v>1578</v>
      </c>
      <c r="B1607">
        <v>0.48462168269031436</v>
      </c>
    </row>
    <row r="1608" spans="1:2" x14ac:dyDescent="0.25">
      <c r="A1608">
        <v>1579</v>
      </c>
      <c r="B1608">
        <v>0.21022665601343149</v>
      </c>
    </row>
    <row r="1609" spans="1:2" x14ac:dyDescent="0.25">
      <c r="A1609">
        <v>1580</v>
      </c>
      <c r="B1609">
        <v>0.40704383121318782</v>
      </c>
    </row>
    <row r="1610" spans="1:2" x14ac:dyDescent="0.25">
      <c r="A1610">
        <v>1581</v>
      </c>
      <c r="B1610">
        <v>0.19489458041243607</v>
      </c>
    </row>
    <row r="1611" spans="1:2" x14ac:dyDescent="0.25">
      <c r="A1611">
        <v>1582</v>
      </c>
      <c r="B1611">
        <v>0.10256944068270557</v>
      </c>
    </row>
    <row r="1612" spans="1:2" x14ac:dyDescent="0.25">
      <c r="A1612">
        <v>1583</v>
      </c>
      <c r="B1612">
        <v>0.16210354797960533</v>
      </c>
    </row>
    <row r="1613" spans="1:2" x14ac:dyDescent="0.25">
      <c r="A1613">
        <v>1584</v>
      </c>
      <c r="B1613">
        <v>0.3139636579502661</v>
      </c>
    </row>
    <row r="1614" spans="1:2" x14ac:dyDescent="0.25">
      <c r="A1614">
        <v>1585</v>
      </c>
      <c r="B1614">
        <v>0.25309623065434783</v>
      </c>
    </row>
    <row r="1615" spans="1:2" x14ac:dyDescent="0.25">
      <c r="A1615">
        <v>1586</v>
      </c>
      <c r="B1615">
        <v>0.43183678869960967</v>
      </c>
    </row>
    <row r="1616" spans="1:2" x14ac:dyDescent="0.25">
      <c r="A1616">
        <v>1587</v>
      </c>
      <c r="B1616">
        <v>0.22309325569426061</v>
      </c>
    </row>
    <row r="1617" spans="1:2" x14ac:dyDescent="0.25">
      <c r="A1617">
        <v>1588</v>
      </c>
      <c r="B1617">
        <v>0.24873782410020204</v>
      </c>
    </row>
    <row r="1618" spans="1:2" x14ac:dyDescent="0.25">
      <c r="A1618">
        <v>1589</v>
      </c>
      <c r="B1618">
        <v>0.37733794329582049</v>
      </c>
    </row>
    <row r="1619" spans="1:2" x14ac:dyDescent="0.25">
      <c r="A1619">
        <v>1590</v>
      </c>
      <c r="B1619">
        <v>0.27282549169995945</v>
      </c>
    </row>
    <row r="1620" spans="1:2" x14ac:dyDescent="0.25">
      <c r="A1620">
        <v>1591</v>
      </c>
      <c r="B1620">
        <v>0.46096958585250414</v>
      </c>
    </row>
    <row r="1621" spans="1:2" x14ac:dyDescent="0.25">
      <c r="A1621">
        <v>1592</v>
      </c>
      <c r="B1621">
        <v>0.299814604686585</v>
      </c>
    </row>
    <row r="1622" spans="1:2" x14ac:dyDescent="0.25">
      <c r="A1622">
        <v>1593</v>
      </c>
      <c r="B1622">
        <v>0.17316582505372397</v>
      </c>
    </row>
    <row r="1623" spans="1:2" x14ac:dyDescent="0.25">
      <c r="A1623">
        <v>1594</v>
      </c>
      <c r="B1623">
        <v>7.7333987330946249E-2</v>
      </c>
    </row>
    <row r="1624" spans="1:2" x14ac:dyDescent="0.25">
      <c r="A1624">
        <v>1595</v>
      </c>
      <c r="B1624">
        <v>0.10400951567245466</v>
      </c>
    </row>
    <row r="1625" spans="1:2" x14ac:dyDescent="0.25">
      <c r="A1625">
        <v>1596</v>
      </c>
      <c r="B1625">
        <v>0.15778331689833841</v>
      </c>
    </row>
    <row r="1626" spans="1:2" x14ac:dyDescent="0.25">
      <c r="A1626">
        <v>1597</v>
      </c>
      <c r="B1626">
        <v>6.6626113469193476E-2</v>
      </c>
    </row>
    <row r="1627" spans="1:2" x14ac:dyDescent="0.25">
      <c r="A1627">
        <v>1598</v>
      </c>
      <c r="B1627">
        <v>0.11102019764637328</v>
      </c>
    </row>
    <row r="1628" spans="1:2" x14ac:dyDescent="0.25">
      <c r="A1628">
        <v>1599</v>
      </c>
      <c r="B1628">
        <v>0.11101033336650848</v>
      </c>
    </row>
    <row r="1629" spans="1:2" x14ac:dyDescent="0.25">
      <c r="A1629">
        <v>1600</v>
      </c>
      <c r="B1629">
        <v>7.619690009109939E-2</v>
      </c>
    </row>
    <row r="1630" spans="1:2" x14ac:dyDescent="0.25">
      <c r="A1630">
        <v>1601</v>
      </c>
      <c r="B1630">
        <v>0.15288041872846037</v>
      </c>
    </row>
    <row r="1631" spans="1:2" x14ac:dyDescent="0.25">
      <c r="A1631">
        <v>1602</v>
      </c>
      <c r="B1631">
        <v>0.13905030348245434</v>
      </c>
    </row>
    <row r="1632" spans="1:2" x14ac:dyDescent="0.25">
      <c r="A1632">
        <v>1603</v>
      </c>
      <c r="B1632">
        <v>0.15166448771172764</v>
      </c>
    </row>
    <row r="1633" spans="1:2" x14ac:dyDescent="0.25">
      <c r="A1633">
        <v>1604</v>
      </c>
      <c r="B1633">
        <v>0.15944091045056305</v>
      </c>
    </row>
    <row r="1634" spans="1:2" x14ac:dyDescent="0.25">
      <c r="A1634">
        <v>1605</v>
      </c>
      <c r="B1634">
        <v>0.14976478967571127</v>
      </c>
    </row>
    <row r="1635" spans="1:2" x14ac:dyDescent="0.25">
      <c r="A1635">
        <v>1606</v>
      </c>
      <c r="B1635">
        <v>8.674340739766738E-2</v>
      </c>
    </row>
    <row r="1636" spans="1:2" x14ac:dyDescent="0.25">
      <c r="A1636">
        <v>1607</v>
      </c>
      <c r="B1636">
        <v>0.13897414553020479</v>
      </c>
    </row>
    <row r="1637" spans="1:2" x14ac:dyDescent="0.25">
      <c r="A1637">
        <v>1608</v>
      </c>
      <c r="B1637">
        <v>0.20229884627131953</v>
      </c>
    </row>
    <row r="1638" spans="1:2" x14ac:dyDescent="0.25">
      <c r="A1638">
        <v>1609</v>
      </c>
      <c r="B1638">
        <v>0.2000323514707657</v>
      </c>
    </row>
    <row r="1639" spans="1:2" x14ac:dyDescent="0.25">
      <c r="A1639">
        <v>1610</v>
      </c>
      <c r="B1639">
        <v>0.22414641197993213</v>
      </c>
    </row>
    <row r="1640" spans="1:2" x14ac:dyDescent="0.25">
      <c r="A1640">
        <v>1611</v>
      </c>
      <c r="B1640">
        <v>5.0145740787996294E-2</v>
      </c>
    </row>
    <row r="1641" spans="1:2" x14ac:dyDescent="0.25">
      <c r="A1641">
        <v>1612</v>
      </c>
      <c r="B1641">
        <v>0.36583836188747909</v>
      </c>
    </row>
    <row r="1642" spans="1:2" x14ac:dyDescent="0.25">
      <c r="A1642">
        <v>1613</v>
      </c>
      <c r="B1642">
        <v>0.32388418414129622</v>
      </c>
    </row>
    <row r="1643" spans="1:2" x14ac:dyDescent="0.25">
      <c r="A1643">
        <v>1614</v>
      </c>
      <c r="B1643">
        <v>0.12705030618834495</v>
      </c>
    </row>
    <row r="1644" spans="1:2" x14ac:dyDescent="0.25">
      <c r="A1644">
        <v>1615</v>
      </c>
      <c r="B1644">
        <v>0.16603642175884895</v>
      </c>
    </row>
    <row r="1645" spans="1:2" x14ac:dyDescent="0.25">
      <c r="A1645">
        <v>1616</v>
      </c>
      <c r="B1645">
        <v>5.1242956361514838E-2</v>
      </c>
    </row>
    <row r="1646" spans="1:2" x14ac:dyDescent="0.25">
      <c r="A1646">
        <v>1617</v>
      </c>
      <c r="B1646">
        <v>0.18926591451497213</v>
      </c>
    </row>
    <row r="1647" spans="1:2" x14ac:dyDescent="0.25">
      <c r="A1647">
        <v>1618</v>
      </c>
      <c r="B1647">
        <v>0.24270430613344779</v>
      </c>
    </row>
    <row r="1648" spans="1:2" x14ac:dyDescent="0.25">
      <c r="A1648">
        <v>1619</v>
      </c>
      <c r="B1648">
        <v>0.18472924421489073</v>
      </c>
    </row>
    <row r="1649" spans="1:2" x14ac:dyDescent="0.25">
      <c r="A1649">
        <v>1620</v>
      </c>
      <c r="B1649">
        <v>6.6913542477144955E-2</v>
      </c>
    </row>
    <row r="1650" spans="1:2" x14ac:dyDescent="0.25">
      <c r="A1650">
        <v>1621</v>
      </c>
      <c r="B1650">
        <v>0.17219085523409317</v>
      </c>
    </row>
    <row r="1651" spans="1:2" x14ac:dyDescent="0.25">
      <c r="A1651">
        <v>1622</v>
      </c>
      <c r="B1651">
        <v>0.11448495325803107</v>
      </c>
    </row>
    <row r="1652" spans="1:2" x14ac:dyDescent="0.25">
      <c r="A1652">
        <v>1623</v>
      </c>
      <c r="B1652">
        <v>0.17592946405813586</v>
      </c>
    </row>
    <row r="1653" spans="1:2" x14ac:dyDescent="0.25">
      <c r="A1653">
        <v>1624</v>
      </c>
      <c r="B1653">
        <v>5.5511156792848904E-2</v>
      </c>
    </row>
    <row r="1654" spans="1:2" x14ac:dyDescent="0.25">
      <c r="A1654">
        <v>1625</v>
      </c>
      <c r="B1654">
        <v>0.39738330829153035</v>
      </c>
    </row>
    <row r="1655" spans="1:2" x14ac:dyDescent="0.25">
      <c r="A1655">
        <v>1626</v>
      </c>
      <c r="B1655">
        <v>0.1035488434931208</v>
      </c>
    </row>
    <row r="1656" spans="1:2" x14ac:dyDescent="0.25">
      <c r="A1656">
        <v>1627</v>
      </c>
      <c r="B1656">
        <v>0.39734345145418087</v>
      </c>
    </row>
    <row r="1657" spans="1:2" x14ac:dyDescent="0.25">
      <c r="A1657">
        <v>1628</v>
      </c>
      <c r="B1657">
        <v>0.10306436811031164</v>
      </c>
    </row>
    <row r="1658" spans="1:2" x14ac:dyDescent="0.25">
      <c r="A1658">
        <v>1629</v>
      </c>
      <c r="B1658">
        <v>0.22073116089798914</v>
      </c>
    </row>
    <row r="1659" spans="1:2" x14ac:dyDescent="0.25">
      <c r="A1659">
        <v>1630</v>
      </c>
      <c r="B1659">
        <v>0.60212595869095387</v>
      </c>
    </row>
    <row r="1660" spans="1:2" x14ac:dyDescent="0.25">
      <c r="A1660">
        <v>1631</v>
      </c>
      <c r="B1660">
        <v>8.6710593698590299E-2</v>
      </c>
    </row>
    <row r="1661" spans="1:2" x14ac:dyDescent="0.25">
      <c r="A1661">
        <v>1632</v>
      </c>
      <c r="B1661">
        <v>1.3208326971886926</v>
      </c>
    </row>
    <row r="1662" spans="1:2" x14ac:dyDescent="0.25">
      <c r="A1662">
        <v>1633</v>
      </c>
      <c r="B1662">
        <v>0.25421701829226451</v>
      </c>
    </row>
    <row r="1663" spans="1:2" x14ac:dyDescent="0.25">
      <c r="A1663">
        <v>1634</v>
      </c>
      <c r="B1663">
        <v>0.10569619404430892</v>
      </c>
    </row>
    <row r="1664" spans="1:2" x14ac:dyDescent="0.25">
      <c r="A1664">
        <v>1635</v>
      </c>
      <c r="B1664">
        <v>0.20117273784539433</v>
      </c>
    </row>
    <row r="1665" spans="1:2" x14ac:dyDescent="0.25">
      <c r="A1665">
        <v>1636</v>
      </c>
      <c r="B1665">
        <v>0.11171720255348168</v>
      </c>
    </row>
    <row r="1666" spans="1:2" x14ac:dyDescent="0.25">
      <c r="A1666">
        <v>1637</v>
      </c>
      <c r="B1666">
        <v>0.12570731770769961</v>
      </c>
    </row>
    <row r="1667" spans="1:2" x14ac:dyDescent="0.25">
      <c r="A1667">
        <v>1638</v>
      </c>
      <c r="B1667">
        <v>0.20050622929566111</v>
      </c>
    </row>
    <row r="1668" spans="1:2" x14ac:dyDescent="0.25">
      <c r="A1668">
        <v>1639</v>
      </c>
      <c r="B1668">
        <v>0.23696633084790644</v>
      </c>
    </row>
    <row r="1669" spans="1:2" x14ac:dyDescent="0.25">
      <c r="A1669">
        <v>1640</v>
      </c>
      <c r="B1669">
        <v>0.3789604443868253</v>
      </c>
    </row>
    <row r="1670" spans="1:2" x14ac:dyDescent="0.25">
      <c r="A1670">
        <v>1641</v>
      </c>
      <c r="B1670">
        <v>0.25950895009944219</v>
      </c>
    </row>
    <row r="1671" spans="1:2" x14ac:dyDescent="0.25">
      <c r="A1671">
        <v>1642</v>
      </c>
      <c r="B1671">
        <v>0.20983857921730725</v>
      </c>
    </row>
    <row r="1672" spans="1:2" x14ac:dyDescent="0.25">
      <c r="A1672">
        <v>1643</v>
      </c>
      <c r="B1672">
        <v>6.073021816939398E-2</v>
      </c>
    </row>
    <row r="1673" spans="1:2" x14ac:dyDescent="0.25">
      <c r="A1673">
        <v>1644</v>
      </c>
      <c r="B1673">
        <v>0.33602964734846652</v>
      </c>
    </row>
    <row r="1674" spans="1:2" x14ac:dyDescent="0.25">
      <c r="A1674">
        <v>1645</v>
      </c>
      <c r="B1674">
        <v>0.16358124333376201</v>
      </c>
    </row>
    <row r="1675" spans="1:2" x14ac:dyDescent="0.25">
      <c r="A1675">
        <v>1646</v>
      </c>
      <c r="B1675">
        <v>0.210285265533843</v>
      </c>
    </row>
    <row r="1676" spans="1:2" x14ac:dyDescent="0.25">
      <c r="A1676">
        <v>1647</v>
      </c>
      <c r="B1676">
        <v>0.52104304397366619</v>
      </c>
    </row>
    <row r="1677" spans="1:2" x14ac:dyDescent="0.25">
      <c r="A1677">
        <v>1648</v>
      </c>
      <c r="B1677">
        <v>0.49308494529540703</v>
      </c>
    </row>
    <row r="1678" spans="1:2" x14ac:dyDescent="0.25">
      <c r="A1678">
        <v>1649</v>
      </c>
      <c r="B1678">
        <v>0.19710174767384595</v>
      </c>
    </row>
    <row r="1679" spans="1:2" x14ac:dyDescent="0.25">
      <c r="A1679">
        <v>1650</v>
      </c>
      <c r="B1679">
        <v>0.15451125673446928</v>
      </c>
    </row>
    <row r="1680" spans="1:2" x14ac:dyDescent="0.25">
      <c r="A1680">
        <v>1651</v>
      </c>
      <c r="B1680">
        <v>0.16003974117426753</v>
      </c>
    </row>
    <row r="1681" spans="1:2" x14ac:dyDescent="0.25">
      <c r="A1681">
        <v>1652</v>
      </c>
      <c r="B1681">
        <v>0.28453215775540402</v>
      </c>
    </row>
    <row r="1682" spans="1:2" x14ac:dyDescent="0.25">
      <c r="A1682">
        <v>1653</v>
      </c>
      <c r="B1682">
        <v>0.40317283160166056</v>
      </c>
    </row>
    <row r="1683" spans="1:2" x14ac:dyDescent="0.25">
      <c r="A1683">
        <v>1654</v>
      </c>
      <c r="B1683">
        <v>0.26464995101010264</v>
      </c>
    </row>
    <row r="1684" spans="1:2" x14ac:dyDescent="0.25">
      <c r="A1684">
        <v>1655</v>
      </c>
      <c r="B1684">
        <v>0.39934401118605611</v>
      </c>
    </row>
    <row r="1685" spans="1:2" x14ac:dyDescent="0.25">
      <c r="A1685">
        <v>1656</v>
      </c>
      <c r="B1685">
        <v>0.15558157977632289</v>
      </c>
    </row>
    <row r="1686" spans="1:2" x14ac:dyDescent="0.25">
      <c r="A1686">
        <v>1657</v>
      </c>
      <c r="B1686">
        <v>9.5588500058518266E-2</v>
      </c>
    </row>
    <row r="1687" spans="1:2" x14ac:dyDescent="0.25">
      <c r="A1687">
        <v>1658</v>
      </c>
      <c r="B1687">
        <v>0.42596636796341752</v>
      </c>
    </row>
    <row r="1688" spans="1:2" x14ac:dyDescent="0.25">
      <c r="A1688">
        <v>1659</v>
      </c>
      <c r="B1688">
        <v>0.25080576002191324</v>
      </c>
    </row>
    <row r="1689" spans="1:2" x14ac:dyDescent="0.25">
      <c r="A1689">
        <v>1660</v>
      </c>
      <c r="B1689">
        <v>0.12656389850513863</v>
      </c>
    </row>
    <row r="1690" spans="1:2" x14ac:dyDescent="0.25">
      <c r="A1690">
        <v>1661</v>
      </c>
      <c r="B1690">
        <v>0.12221191272411243</v>
      </c>
    </row>
    <row r="1691" spans="1:2" x14ac:dyDescent="0.25">
      <c r="A1691">
        <v>1662</v>
      </c>
      <c r="B1691">
        <v>0.23847970010171973</v>
      </c>
    </row>
    <row r="1692" spans="1:2" x14ac:dyDescent="0.25">
      <c r="A1692">
        <v>1663</v>
      </c>
      <c r="B1692">
        <v>0.31440110557439754</v>
      </c>
    </row>
    <row r="1693" spans="1:2" x14ac:dyDescent="0.25">
      <c r="A1693">
        <v>1664</v>
      </c>
      <c r="B1693">
        <v>7.2632866908689614E-2</v>
      </c>
    </row>
    <row r="1694" spans="1:2" x14ac:dyDescent="0.25">
      <c r="A1694">
        <v>1665</v>
      </c>
      <c r="B1694">
        <v>0.17002220292299144</v>
      </c>
    </row>
    <row r="1695" spans="1:2" x14ac:dyDescent="0.25">
      <c r="A1695">
        <v>1666</v>
      </c>
      <c r="B1695">
        <v>0.59711189009731835</v>
      </c>
    </row>
    <row r="1696" spans="1:2" x14ac:dyDescent="0.25">
      <c r="A1696">
        <v>1667</v>
      </c>
      <c r="B1696">
        <v>0.23021337633339661</v>
      </c>
    </row>
    <row r="1697" spans="1:2" x14ac:dyDescent="0.25">
      <c r="A1697">
        <v>1668</v>
      </c>
      <c r="B1697">
        <v>0.61957459720886232</v>
      </c>
    </row>
    <row r="1698" spans="1:2" x14ac:dyDescent="0.25">
      <c r="A1698">
        <v>1669</v>
      </c>
      <c r="B1698">
        <v>5.8118044974893403E-2</v>
      </c>
    </row>
    <row r="1699" spans="1:2" x14ac:dyDescent="0.25">
      <c r="A1699">
        <v>1670</v>
      </c>
      <c r="B1699">
        <v>6.965252925842863E-2</v>
      </c>
    </row>
    <row r="1700" spans="1:2" x14ac:dyDescent="0.25">
      <c r="A1700">
        <v>1671</v>
      </c>
      <c r="B1700">
        <v>0.19588939508639913</v>
      </c>
    </row>
    <row r="1701" spans="1:2" x14ac:dyDescent="0.25">
      <c r="A1701">
        <v>1672</v>
      </c>
      <c r="B1701">
        <v>0.27412616604005269</v>
      </c>
    </row>
    <row r="1702" spans="1:2" x14ac:dyDescent="0.25">
      <c r="A1702">
        <v>1673</v>
      </c>
      <c r="B1702">
        <v>0.20673985086346355</v>
      </c>
    </row>
    <row r="1703" spans="1:2" x14ac:dyDescent="0.25">
      <c r="A1703">
        <v>1674</v>
      </c>
      <c r="B1703">
        <v>0.21275159053022399</v>
      </c>
    </row>
    <row r="1704" spans="1:2" x14ac:dyDescent="0.25">
      <c r="A1704">
        <v>1675</v>
      </c>
      <c r="B1704">
        <v>0.25670915540828798</v>
      </c>
    </row>
    <row r="1705" spans="1:2" x14ac:dyDescent="0.25">
      <c r="A1705">
        <v>1676</v>
      </c>
      <c r="B1705">
        <v>0.15572243156031437</v>
      </c>
    </row>
    <row r="1706" spans="1:2" x14ac:dyDescent="0.25">
      <c r="A1706">
        <v>1677</v>
      </c>
      <c r="B1706">
        <v>9.3653152786264141E-2</v>
      </c>
    </row>
    <row r="1707" spans="1:2" x14ac:dyDescent="0.25">
      <c r="A1707">
        <v>1678</v>
      </c>
      <c r="B1707">
        <v>0.11588670687448657</v>
      </c>
    </row>
    <row r="1708" spans="1:2" x14ac:dyDescent="0.25">
      <c r="A1708">
        <v>1679</v>
      </c>
      <c r="B1708">
        <v>8.8781419986640728E-2</v>
      </c>
    </row>
    <row r="1709" spans="1:2" x14ac:dyDescent="0.25">
      <c r="A1709">
        <v>1680</v>
      </c>
      <c r="B1709">
        <v>0.2063925866800598</v>
      </c>
    </row>
    <row r="1710" spans="1:2" x14ac:dyDescent="0.25">
      <c r="A1710">
        <v>1681</v>
      </c>
      <c r="B1710">
        <v>0.17770734327589058</v>
      </c>
    </row>
    <row r="1711" spans="1:2" x14ac:dyDescent="0.25">
      <c r="A1711">
        <v>1682</v>
      </c>
      <c r="B1711">
        <v>0.24356070323100062</v>
      </c>
    </row>
    <row r="1712" spans="1:2" x14ac:dyDescent="0.25">
      <c r="A1712">
        <v>1683</v>
      </c>
      <c r="B1712">
        <v>0.1142552314728683</v>
      </c>
    </row>
    <row r="1713" spans="1:2" x14ac:dyDescent="0.25">
      <c r="A1713">
        <v>1684</v>
      </c>
      <c r="B1713">
        <v>0.15198051856646047</v>
      </c>
    </row>
    <row r="1714" spans="1:2" x14ac:dyDescent="0.25">
      <c r="A1714">
        <v>1685</v>
      </c>
      <c r="B1714">
        <v>0.17250305128061966</v>
      </c>
    </row>
    <row r="1715" spans="1:2" x14ac:dyDescent="0.25">
      <c r="A1715">
        <v>1686</v>
      </c>
      <c r="B1715">
        <v>0.29819559710663546</v>
      </c>
    </row>
    <row r="1716" spans="1:2" x14ac:dyDescent="0.25">
      <c r="A1716">
        <v>1687</v>
      </c>
      <c r="B1716">
        <v>0.18210677312061019</v>
      </c>
    </row>
    <row r="1717" spans="1:2" x14ac:dyDescent="0.25">
      <c r="A1717">
        <v>1688</v>
      </c>
      <c r="B1717">
        <v>7.188349215784362E-2</v>
      </c>
    </row>
    <row r="1718" spans="1:2" x14ac:dyDescent="0.25">
      <c r="A1718">
        <v>1689</v>
      </c>
      <c r="B1718">
        <v>0.23291436869851978</v>
      </c>
    </row>
    <row r="1719" spans="1:2" x14ac:dyDescent="0.25">
      <c r="A1719">
        <v>1690</v>
      </c>
      <c r="B1719">
        <v>1.3208326971886926</v>
      </c>
    </row>
    <row r="1720" spans="1:2" x14ac:dyDescent="0.25">
      <c r="A1720">
        <v>1691</v>
      </c>
      <c r="B1720">
        <v>0.21869212231956311</v>
      </c>
    </row>
    <row r="1721" spans="1:2" x14ac:dyDescent="0.25">
      <c r="A1721">
        <v>1692</v>
      </c>
      <c r="B1721">
        <v>0.18701759081780892</v>
      </c>
    </row>
    <row r="1722" spans="1:2" x14ac:dyDescent="0.25">
      <c r="A1722">
        <v>1693</v>
      </c>
      <c r="B1722">
        <v>0.12949371506716234</v>
      </c>
    </row>
    <row r="1723" spans="1:2" x14ac:dyDescent="0.25">
      <c r="A1723">
        <v>1694</v>
      </c>
      <c r="B1723">
        <v>0.18981563020053119</v>
      </c>
    </row>
    <row r="1724" spans="1:2" x14ac:dyDescent="0.25">
      <c r="A1724">
        <v>1695</v>
      </c>
      <c r="B1724">
        <v>0.14088611718098509</v>
      </c>
    </row>
    <row r="1725" spans="1:2" x14ac:dyDescent="0.25">
      <c r="A1725">
        <v>1696</v>
      </c>
      <c r="B1725">
        <v>0.35336153901506784</v>
      </c>
    </row>
    <row r="1726" spans="1:2" x14ac:dyDescent="0.25">
      <c r="A1726">
        <v>1697</v>
      </c>
      <c r="B1726">
        <v>0.11366253898315137</v>
      </c>
    </row>
    <row r="1727" spans="1:2" x14ac:dyDescent="0.25">
      <c r="A1727">
        <v>1698</v>
      </c>
      <c r="B1727">
        <v>0.16324647759518487</v>
      </c>
    </row>
    <row r="1728" spans="1:2" x14ac:dyDescent="0.25">
      <c r="A1728">
        <v>1699</v>
      </c>
      <c r="B1728">
        <v>8.3125140416047891E-2</v>
      </c>
    </row>
    <row r="1729" spans="1:2" x14ac:dyDescent="0.25">
      <c r="A1729">
        <v>1700</v>
      </c>
      <c r="B1729">
        <v>1.3181890657965887</v>
      </c>
    </row>
    <row r="1730" spans="1:2" x14ac:dyDescent="0.25">
      <c r="A1730">
        <v>1701</v>
      </c>
      <c r="B1730">
        <v>0.14153585520669748</v>
      </c>
    </row>
    <row r="1731" spans="1:2" x14ac:dyDescent="0.25">
      <c r="A1731">
        <v>1702</v>
      </c>
      <c r="B1731">
        <v>0.42654854781180029</v>
      </c>
    </row>
    <row r="1732" spans="1:2" x14ac:dyDescent="0.25">
      <c r="A1732">
        <v>1703</v>
      </c>
      <c r="B1732">
        <v>0.28210948983224204</v>
      </c>
    </row>
    <row r="1733" spans="1:2" x14ac:dyDescent="0.25">
      <c r="A1733">
        <v>1704</v>
      </c>
      <c r="B1733">
        <v>0.57850636928012111</v>
      </c>
    </row>
    <row r="1734" spans="1:2" x14ac:dyDescent="0.25">
      <c r="A1734">
        <v>1705</v>
      </c>
      <c r="B1734">
        <v>0.22715662660663824</v>
      </c>
    </row>
    <row r="1735" spans="1:2" x14ac:dyDescent="0.25">
      <c r="A1735">
        <v>1706</v>
      </c>
      <c r="B1735">
        <v>0.25207032906791726</v>
      </c>
    </row>
    <row r="1736" spans="1:2" x14ac:dyDescent="0.25">
      <c r="A1736">
        <v>1707</v>
      </c>
      <c r="B1736">
        <v>0.13186551316419182</v>
      </c>
    </row>
    <row r="1737" spans="1:2" x14ac:dyDescent="0.25">
      <c r="A1737">
        <v>1708</v>
      </c>
      <c r="B1737">
        <v>0.46993436642004299</v>
      </c>
    </row>
    <row r="1738" spans="1:2" x14ac:dyDescent="0.25">
      <c r="A1738">
        <v>1709</v>
      </c>
      <c r="B1738">
        <v>8.9080985722598247E-2</v>
      </c>
    </row>
    <row r="1739" spans="1:2" x14ac:dyDescent="0.25">
      <c r="A1739">
        <v>1710</v>
      </c>
      <c r="B1739">
        <v>8.8246478434778966E-2</v>
      </c>
    </row>
    <row r="1740" spans="1:2" x14ac:dyDescent="0.25">
      <c r="A1740">
        <v>1711</v>
      </c>
      <c r="B1740">
        <v>7.3179880056926036E-2</v>
      </c>
    </row>
    <row r="1741" spans="1:2" x14ac:dyDescent="0.25">
      <c r="A1741">
        <v>1712</v>
      </c>
      <c r="B1741">
        <v>0.25010277656381652</v>
      </c>
    </row>
    <row r="1742" spans="1:2" x14ac:dyDescent="0.25">
      <c r="A1742">
        <v>1713</v>
      </c>
      <c r="B1742">
        <v>0.29833705819646283</v>
      </c>
    </row>
    <row r="1743" spans="1:2" x14ac:dyDescent="0.25">
      <c r="A1743">
        <v>1714</v>
      </c>
      <c r="B1743">
        <v>0.12555326072980821</v>
      </c>
    </row>
    <row r="1744" spans="1:2" x14ac:dyDescent="0.25">
      <c r="A1744">
        <v>1715</v>
      </c>
      <c r="B1744">
        <v>7.3839434867131973E-2</v>
      </c>
    </row>
    <row r="1745" spans="1:2" x14ac:dyDescent="0.25">
      <c r="A1745">
        <v>1716</v>
      </c>
      <c r="B1745">
        <v>0.24889981504496284</v>
      </c>
    </row>
    <row r="1746" spans="1:2" x14ac:dyDescent="0.25">
      <c r="A1746">
        <v>1717</v>
      </c>
      <c r="B1746">
        <v>3.5040492946877125E-2</v>
      </c>
    </row>
    <row r="1747" spans="1:2" x14ac:dyDescent="0.25">
      <c r="A1747">
        <v>1718</v>
      </c>
      <c r="B1747">
        <v>0.24157851837499328</v>
      </c>
    </row>
    <row r="1748" spans="1:2" x14ac:dyDescent="0.25">
      <c r="A1748">
        <v>1719</v>
      </c>
      <c r="B1748">
        <v>0.15432945226097727</v>
      </c>
    </row>
    <row r="1749" spans="1:2" x14ac:dyDescent="0.25">
      <c r="A1749">
        <v>1720</v>
      </c>
      <c r="B1749">
        <v>0.17358907496045323</v>
      </c>
    </row>
    <row r="1750" spans="1:2" x14ac:dyDescent="0.25">
      <c r="A1750">
        <v>1721</v>
      </c>
      <c r="B1750">
        <v>0.15785171079107238</v>
      </c>
    </row>
    <row r="1751" spans="1:2" x14ac:dyDescent="0.25">
      <c r="A1751">
        <v>1722</v>
      </c>
      <c r="B1751">
        <v>0.1131517641286586</v>
      </c>
    </row>
    <row r="1752" spans="1:2" x14ac:dyDescent="0.25">
      <c r="A1752">
        <v>1723</v>
      </c>
      <c r="B1752">
        <v>0.30294741623449756</v>
      </c>
    </row>
    <row r="1753" spans="1:2" x14ac:dyDescent="0.25">
      <c r="A1753">
        <v>1724</v>
      </c>
      <c r="B1753">
        <v>0.18342055805975271</v>
      </c>
    </row>
    <row r="1754" spans="1:2" x14ac:dyDescent="0.25">
      <c r="A1754">
        <v>1725</v>
      </c>
      <c r="B1754">
        <v>0.27835010988967895</v>
      </c>
    </row>
    <row r="1755" spans="1:2" x14ac:dyDescent="0.25">
      <c r="A1755">
        <v>1726</v>
      </c>
      <c r="B1755">
        <v>0.47320564633277667</v>
      </c>
    </row>
    <row r="1756" spans="1:2" x14ac:dyDescent="0.25">
      <c r="A1756">
        <v>1727</v>
      </c>
      <c r="B1756">
        <v>0.35600853475388433</v>
      </c>
    </row>
    <row r="1757" spans="1:2" x14ac:dyDescent="0.25">
      <c r="A1757">
        <v>1728</v>
      </c>
      <c r="B1757">
        <v>0.28853142274568205</v>
      </c>
    </row>
    <row r="1758" spans="1:2" x14ac:dyDescent="0.25">
      <c r="A1758">
        <v>1729</v>
      </c>
      <c r="B1758">
        <v>0.15447729901529272</v>
      </c>
    </row>
    <row r="1759" spans="1:2" x14ac:dyDescent="0.25">
      <c r="A1759">
        <v>1730</v>
      </c>
      <c r="B1759">
        <v>0.12516660246167716</v>
      </c>
    </row>
    <row r="1760" spans="1:2" x14ac:dyDescent="0.25">
      <c r="A1760">
        <v>1731</v>
      </c>
      <c r="B1760">
        <v>0.12814257482202923</v>
      </c>
    </row>
    <row r="1761" spans="1:2" x14ac:dyDescent="0.25">
      <c r="A1761">
        <v>1732</v>
      </c>
      <c r="B1761">
        <v>6.0652821086427201E-2</v>
      </c>
    </row>
    <row r="1762" spans="1:2" x14ac:dyDescent="0.25">
      <c r="A1762">
        <v>1733</v>
      </c>
      <c r="B1762">
        <v>3.3200440295006864E-2</v>
      </c>
    </row>
    <row r="1763" spans="1:2" x14ac:dyDescent="0.25">
      <c r="A1763">
        <v>1734</v>
      </c>
      <c r="B1763">
        <v>0.30989564252003937</v>
      </c>
    </row>
    <row r="1764" spans="1:2" x14ac:dyDescent="0.25">
      <c r="A1764">
        <v>1735</v>
      </c>
      <c r="B1764">
        <v>0.40493377313605688</v>
      </c>
    </row>
    <row r="1765" spans="1:2" x14ac:dyDescent="0.25">
      <c r="A1765">
        <v>1736</v>
      </c>
      <c r="B1765">
        <v>0.49137054878901953</v>
      </c>
    </row>
    <row r="1766" spans="1:2" x14ac:dyDescent="0.25">
      <c r="A1766">
        <v>1737</v>
      </c>
      <c r="B1766">
        <v>2.8938877046329543E-2</v>
      </c>
    </row>
    <row r="1767" spans="1:2" x14ac:dyDescent="0.25">
      <c r="A1767">
        <v>1738</v>
      </c>
      <c r="B1767">
        <v>0.28928104369545565</v>
      </c>
    </row>
    <row r="1768" spans="1:2" x14ac:dyDescent="0.25">
      <c r="A1768">
        <v>1739</v>
      </c>
      <c r="B1768">
        <v>0.12639832407584914</v>
      </c>
    </row>
    <row r="1769" spans="1:2" x14ac:dyDescent="0.25">
      <c r="A1769">
        <v>1740</v>
      </c>
      <c r="B1769">
        <v>0.17974110564883281</v>
      </c>
    </row>
    <row r="1770" spans="1:2" x14ac:dyDescent="0.25">
      <c r="A1770">
        <v>1741</v>
      </c>
      <c r="B1770">
        <v>0.11459544428882647</v>
      </c>
    </row>
    <row r="1771" spans="1:2" x14ac:dyDescent="0.25">
      <c r="A1771">
        <v>1742</v>
      </c>
      <c r="B1771">
        <v>0.19874691394155466</v>
      </c>
    </row>
    <row r="1772" spans="1:2" x14ac:dyDescent="0.25">
      <c r="A1772">
        <v>1743</v>
      </c>
      <c r="B1772">
        <v>3.4626404729682536E-2</v>
      </c>
    </row>
    <row r="1773" spans="1:2" x14ac:dyDescent="0.25">
      <c r="A1773">
        <v>1744</v>
      </c>
      <c r="B1773">
        <v>0.16127645465035098</v>
      </c>
    </row>
    <row r="1774" spans="1:2" x14ac:dyDescent="0.25">
      <c r="A1774">
        <v>1745</v>
      </c>
      <c r="B1774">
        <v>0.1122966215306917</v>
      </c>
    </row>
    <row r="1775" spans="1:2" x14ac:dyDescent="0.25">
      <c r="A1775">
        <v>1746</v>
      </c>
      <c r="B1775">
        <v>0.23673102188041689</v>
      </c>
    </row>
    <row r="1776" spans="1:2" x14ac:dyDescent="0.25">
      <c r="A1776">
        <v>1747</v>
      </c>
      <c r="B1776">
        <v>0.19094445637540147</v>
      </c>
    </row>
    <row r="1777" spans="1:2" x14ac:dyDescent="0.25">
      <c r="A1777">
        <v>1748</v>
      </c>
      <c r="B1777">
        <v>1.3208326971886926</v>
      </c>
    </row>
    <row r="1778" spans="1:2" x14ac:dyDescent="0.25">
      <c r="A1778">
        <v>1749</v>
      </c>
      <c r="B1778">
        <v>0.24701845842079376</v>
      </c>
    </row>
    <row r="1779" spans="1:2" x14ac:dyDescent="0.25">
      <c r="A1779">
        <v>1750</v>
      </c>
      <c r="B1779">
        <v>0.40208587003762747</v>
      </c>
    </row>
    <row r="1780" spans="1:2" x14ac:dyDescent="0.25">
      <c r="A1780">
        <v>1751</v>
      </c>
      <c r="B1780">
        <v>0.10243182326029662</v>
      </c>
    </row>
    <row r="1781" spans="1:2" x14ac:dyDescent="0.25">
      <c r="A1781">
        <v>1752</v>
      </c>
      <c r="B1781">
        <v>4.6300433896578064E-2</v>
      </c>
    </row>
    <row r="1782" spans="1:2" x14ac:dyDescent="0.25">
      <c r="A1782">
        <v>1753</v>
      </c>
      <c r="B1782">
        <v>0.11506549745164769</v>
      </c>
    </row>
    <row r="1783" spans="1:2" x14ac:dyDescent="0.25">
      <c r="A1783">
        <v>1754</v>
      </c>
      <c r="B1783">
        <v>0.43391416224184154</v>
      </c>
    </row>
    <row r="1784" spans="1:2" x14ac:dyDescent="0.25">
      <c r="A1784">
        <v>1755</v>
      </c>
      <c r="B1784">
        <v>0.11631770363894516</v>
      </c>
    </row>
    <row r="1785" spans="1:2" x14ac:dyDescent="0.25">
      <c r="A1785">
        <v>1756</v>
      </c>
      <c r="B1785">
        <v>0.15624333717786296</v>
      </c>
    </row>
    <row r="1786" spans="1:2" x14ac:dyDescent="0.25">
      <c r="A1786">
        <v>1757</v>
      </c>
      <c r="B1786">
        <v>0.21485295241521299</v>
      </c>
    </row>
    <row r="1787" spans="1:2" x14ac:dyDescent="0.25">
      <c r="A1787">
        <v>1758</v>
      </c>
      <c r="B1787">
        <v>0.23602289823670544</v>
      </c>
    </row>
    <row r="1788" spans="1:2" x14ac:dyDescent="0.25">
      <c r="A1788">
        <v>1759</v>
      </c>
      <c r="B1788">
        <v>6.9480395709255835E-2</v>
      </c>
    </row>
    <row r="1789" spans="1:2" x14ac:dyDescent="0.25">
      <c r="A1789">
        <v>1760</v>
      </c>
      <c r="B1789">
        <v>0.10030620749658725</v>
      </c>
    </row>
    <row r="1790" spans="1:2" x14ac:dyDescent="0.25">
      <c r="A1790">
        <v>1761</v>
      </c>
      <c r="B1790">
        <v>9.582404648598572E-2</v>
      </c>
    </row>
    <row r="1791" spans="1:2" x14ac:dyDescent="0.25">
      <c r="A1791">
        <v>1762</v>
      </c>
      <c r="B1791">
        <v>0.2378996122058494</v>
      </c>
    </row>
    <row r="1792" spans="1:2" x14ac:dyDescent="0.25">
      <c r="A1792">
        <v>1763</v>
      </c>
      <c r="B1792">
        <v>7.4045815225457098E-2</v>
      </c>
    </row>
    <row r="1793" spans="1:2" x14ac:dyDescent="0.25">
      <c r="A1793">
        <v>1764</v>
      </c>
      <c r="B1793">
        <v>0.16749199849041632</v>
      </c>
    </row>
    <row r="1794" spans="1:2" x14ac:dyDescent="0.25">
      <c r="A1794">
        <v>1765</v>
      </c>
      <c r="B1794">
        <v>0.21319465509427032</v>
      </c>
    </row>
    <row r="1795" spans="1:2" x14ac:dyDescent="0.25">
      <c r="A1795">
        <v>1766</v>
      </c>
      <c r="B1795">
        <v>4.8542485123218286E-2</v>
      </c>
    </row>
    <row r="1796" spans="1:2" x14ac:dyDescent="0.25">
      <c r="A1796">
        <v>1767</v>
      </c>
      <c r="B1796">
        <v>0.18663800772828315</v>
      </c>
    </row>
    <row r="1797" spans="1:2" x14ac:dyDescent="0.25">
      <c r="A1797">
        <v>1768</v>
      </c>
      <c r="B1797">
        <v>0.45507971014981125</v>
      </c>
    </row>
    <row r="1798" spans="1:2" x14ac:dyDescent="0.25">
      <c r="A1798">
        <v>1769</v>
      </c>
      <c r="B1798">
        <v>0.10354537153492312</v>
      </c>
    </row>
    <row r="1799" spans="1:2" x14ac:dyDescent="0.25">
      <c r="A1799">
        <v>1770</v>
      </c>
      <c r="B1799">
        <v>0.21849429359694383</v>
      </c>
    </row>
    <row r="1800" spans="1:2" x14ac:dyDescent="0.25">
      <c r="A1800">
        <v>1771</v>
      </c>
      <c r="B1800">
        <v>0.47830280370005163</v>
      </c>
    </row>
    <row r="1801" spans="1:2" x14ac:dyDescent="0.25">
      <c r="A1801">
        <v>1772</v>
      </c>
      <c r="B1801">
        <v>0.20292327323970047</v>
      </c>
    </row>
    <row r="1802" spans="1:2" x14ac:dyDescent="0.25">
      <c r="A1802">
        <v>1773</v>
      </c>
      <c r="B1802">
        <v>0.17714979812636455</v>
      </c>
    </row>
    <row r="1803" spans="1:2" x14ac:dyDescent="0.25">
      <c r="A1803">
        <v>1774</v>
      </c>
      <c r="B1803">
        <v>0.21682339514585691</v>
      </c>
    </row>
    <row r="1804" spans="1:2" x14ac:dyDescent="0.25">
      <c r="A1804">
        <v>1775</v>
      </c>
      <c r="B1804">
        <v>0.16717836478148426</v>
      </c>
    </row>
    <row r="1805" spans="1:2" x14ac:dyDescent="0.25">
      <c r="A1805">
        <v>1776</v>
      </c>
      <c r="B1805">
        <v>0.18209617605153142</v>
      </c>
    </row>
    <row r="1806" spans="1:2" x14ac:dyDescent="0.25">
      <c r="A1806">
        <v>1777</v>
      </c>
      <c r="B1806">
        <v>0.22335218217726321</v>
      </c>
    </row>
    <row r="1807" spans="1:2" x14ac:dyDescent="0.25">
      <c r="A1807">
        <v>1778</v>
      </c>
      <c r="B1807">
        <v>0.15705181823075584</v>
      </c>
    </row>
    <row r="1808" spans="1:2" x14ac:dyDescent="0.25">
      <c r="A1808">
        <v>1779</v>
      </c>
      <c r="B1808">
        <v>0.2688372939804537</v>
      </c>
    </row>
    <row r="1809" spans="1:2" x14ac:dyDescent="0.25">
      <c r="A1809">
        <v>1780</v>
      </c>
      <c r="B1809">
        <v>0.33329261132673205</v>
      </c>
    </row>
    <row r="1810" spans="1:2" x14ac:dyDescent="0.25">
      <c r="A1810">
        <v>1781</v>
      </c>
      <c r="B1810">
        <v>0.44126801836018781</v>
      </c>
    </row>
    <row r="1811" spans="1:2" x14ac:dyDescent="0.25">
      <c r="A1811">
        <v>1782</v>
      </c>
      <c r="B1811">
        <v>0.21583805668859346</v>
      </c>
    </row>
    <row r="1812" spans="1:2" x14ac:dyDescent="0.25">
      <c r="A1812">
        <v>1783</v>
      </c>
      <c r="B1812">
        <v>5.0157585202750848E-2</v>
      </c>
    </row>
    <row r="1813" spans="1:2" x14ac:dyDescent="0.25">
      <c r="A1813">
        <v>1784</v>
      </c>
      <c r="B1813">
        <v>5.3911471541768952E-2</v>
      </c>
    </row>
    <row r="1814" spans="1:2" x14ac:dyDescent="0.25">
      <c r="A1814">
        <v>1785</v>
      </c>
      <c r="B1814">
        <v>0.14283261873833838</v>
      </c>
    </row>
    <row r="1815" spans="1:2" x14ac:dyDescent="0.25">
      <c r="A1815">
        <v>1786</v>
      </c>
      <c r="B1815">
        <v>0.23816638680800248</v>
      </c>
    </row>
    <row r="1816" spans="1:2" x14ac:dyDescent="0.25">
      <c r="A1816">
        <v>1787</v>
      </c>
      <c r="B1816">
        <v>0.31795576629383204</v>
      </c>
    </row>
    <row r="1817" spans="1:2" x14ac:dyDescent="0.25">
      <c r="A1817">
        <v>1788</v>
      </c>
      <c r="B1817">
        <v>5.8804507007660121E-2</v>
      </c>
    </row>
    <row r="1818" spans="1:2" x14ac:dyDescent="0.25">
      <c r="A1818">
        <v>1789</v>
      </c>
      <c r="B1818">
        <v>6.9998008627033828E-2</v>
      </c>
    </row>
    <row r="1819" spans="1:2" x14ac:dyDescent="0.25">
      <c r="A1819">
        <v>1790</v>
      </c>
      <c r="B1819">
        <v>0.22761767306424274</v>
      </c>
    </row>
    <row r="1820" spans="1:2" x14ac:dyDescent="0.25">
      <c r="A1820">
        <v>1791</v>
      </c>
      <c r="B1820">
        <v>0.16446151635558995</v>
      </c>
    </row>
    <row r="1821" spans="1:2" x14ac:dyDescent="0.25">
      <c r="A1821">
        <v>1792</v>
      </c>
      <c r="B1821">
        <v>0.21133958281962878</v>
      </c>
    </row>
    <row r="1822" spans="1:2" x14ac:dyDescent="0.25">
      <c r="A1822">
        <v>1793</v>
      </c>
      <c r="B1822">
        <v>0.15600619734607471</v>
      </c>
    </row>
    <row r="1823" spans="1:2" x14ac:dyDescent="0.25">
      <c r="A1823">
        <v>1794</v>
      </c>
      <c r="B1823">
        <v>0.21938993714784663</v>
      </c>
    </row>
    <row r="1824" spans="1:2" x14ac:dyDescent="0.25">
      <c r="A1824">
        <v>1795</v>
      </c>
      <c r="B1824">
        <v>0.59816387045853214</v>
      </c>
    </row>
    <row r="1825" spans="1:2" x14ac:dyDescent="0.25">
      <c r="A1825">
        <v>1796</v>
      </c>
      <c r="B1825">
        <v>0.47361869339957957</v>
      </c>
    </row>
    <row r="1826" spans="1:2" x14ac:dyDescent="0.25">
      <c r="A1826">
        <v>1797</v>
      </c>
      <c r="B1826">
        <v>0.29375731162191387</v>
      </c>
    </row>
    <row r="1827" spans="1:2" x14ac:dyDescent="0.25">
      <c r="A1827">
        <v>1798</v>
      </c>
      <c r="B1827">
        <v>0.24886575558979326</v>
      </c>
    </row>
    <row r="1828" spans="1:2" x14ac:dyDescent="0.25">
      <c r="A1828">
        <v>1799</v>
      </c>
      <c r="B1828">
        <v>5.9858533671462079E-2</v>
      </c>
    </row>
    <row r="1829" spans="1:2" x14ac:dyDescent="0.25">
      <c r="A1829">
        <v>1800</v>
      </c>
      <c r="B1829">
        <v>5.4592681756905126E-2</v>
      </c>
    </row>
    <row r="1830" spans="1:2" x14ac:dyDescent="0.25">
      <c r="A1830">
        <v>1801</v>
      </c>
      <c r="B1830">
        <v>0.22288405183859361</v>
      </c>
    </row>
    <row r="1831" spans="1:2" x14ac:dyDescent="0.25">
      <c r="A1831">
        <v>1802</v>
      </c>
      <c r="B1831">
        <v>5.8662638231967948E-2</v>
      </c>
    </row>
    <row r="1832" spans="1:2" x14ac:dyDescent="0.25">
      <c r="A1832">
        <v>1803</v>
      </c>
      <c r="B1832">
        <v>0.19800713454672775</v>
      </c>
    </row>
    <row r="1833" spans="1:2" x14ac:dyDescent="0.25">
      <c r="A1833">
        <v>1804</v>
      </c>
      <c r="B1833">
        <v>0.13714291333820691</v>
      </c>
    </row>
    <row r="1834" spans="1:2" x14ac:dyDescent="0.25">
      <c r="A1834">
        <v>1805</v>
      </c>
      <c r="B1834">
        <v>0.40579872158202751</v>
      </c>
    </row>
    <row r="1835" spans="1:2" x14ac:dyDescent="0.25">
      <c r="A1835">
        <v>1806</v>
      </c>
      <c r="B1835">
        <v>0.21273525886472319</v>
      </c>
    </row>
    <row r="1836" spans="1:2" x14ac:dyDescent="0.25">
      <c r="A1836">
        <v>1807</v>
      </c>
      <c r="B1836">
        <v>0.17085059767021449</v>
      </c>
    </row>
    <row r="1837" spans="1:2" x14ac:dyDescent="0.25">
      <c r="A1837">
        <v>1808</v>
      </c>
      <c r="B1837">
        <v>0.10493149594846168</v>
      </c>
    </row>
    <row r="1838" spans="1:2" x14ac:dyDescent="0.25">
      <c r="A1838">
        <v>1809</v>
      </c>
      <c r="B1838">
        <v>6.3171642197662095E-2</v>
      </c>
    </row>
    <row r="1839" spans="1:2" x14ac:dyDescent="0.25">
      <c r="A1839">
        <v>1810</v>
      </c>
      <c r="B1839">
        <v>8.6127231233364243E-2</v>
      </c>
    </row>
    <row r="1840" spans="1:2" x14ac:dyDescent="0.25">
      <c r="A1840">
        <v>1811</v>
      </c>
      <c r="B1840">
        <v>0.20545156646794763</v>
      </c>
    </row>
    <row r="1841" spans="1:2" x14ac:dyDescent="0.25">
      <c r="A1841">
        <v>1812</v>
      </c>
      <c r="B1841">
        <v>0.28063667623957039</v>
      </c>
    </row>
    <row r="1842" spans="1:2" x14ac:dyDescent="0.25">
      <c r="A1842">
        <v>1813</v>
      </c>
      <c r="B1842">
        <v>9.8820170449089806E-2</v>
      </c>
    </row>
    <row r="1843" spans="1:2" x14ac:dyDescent="0.25">
      <c r="A1843">
        <v>1814</v>
      </c>
      <c r="B1843">
        <v>0.24241682459497005</v>
      </c>
    </row>
    <row r="1844" spans="1:2" x14ac:dyDescent="0.25">
      <c r="A1844">
        <v>1815</v>
      </c>
      <c r="B1844">
        <v>1.3181890657965887</v>
      </c>
    </row>
    <row r="1845" spans="1:2" x14ac:dyDescent="0.25">
      <c r="A1845">
        <v>1816</v>
      </c>
      <c r="B1845">
        <v>0.33641714876787415</v>
      </c>
    </row>
    <row r="1846" spans="1:2" x14ac:dyDescent="0.25">
      <c r="A1846">
        <v>1817</v>
      </c>
      <c r="B1846">
        <v>0.19533813875743294</v>
      </c>
    </row>
    <row r="1847" spans="1:2" x14ac:dyDescent="0.25">
      <c r="A1847">
        <v>1818</v>
      </c>
      <c r="B1847">
        <v>0.13236892441105785</v>
      </c>
    </row>
    <row r="1848" spans="1:2" x14ac:dyDescent="0.25">
      <c r="A1848">
        <v>1819</v>
      </c>
      <c r="B1848">
        <v>0.28775077313080211</v>
      </c>
    </row>
    <row r="1849" spans="1:2" x14ac:dyDescent="0.25">
      <c r="A1849">
        <v>1820</v>
      </c>
      <c r="B1849">
        <v>8.1085299244587669E-2</v>
      </c>
    </row>
    <row r="1850" spans="1:2" x14ac:dyDescent="0.25">
      <c r="A1850">
        <v>1821</v>
      </c>
      <c r="B1850">
        <v>0.31392292342677486</v>
      </c>
    </row>
    <row r="1851" spans="1:2" x14ac:dyDescent="0.25">
      <c r="A1851">
        <v>1822</v>
      </c>
      <c r="B1851">
        <v>0.26276234621588029</v>
      </c>
    </row>
    <row r="1852" spans="1:2" x14ac:dyDescent="0.25">
      <c r="A1852">
        <v>1823</v>
      </c>
      <c r="B1852">
        <v>5.9025829530964531E-2</v>
      </c>
    </row>
    <row r="1853" spans="1:2" x14ac:dyDescent="0.25">
      <c r="A1853">
        <v>1824</v>
      </c>
      <c r="B1853">
        <v>0.19476810543637235</v>
      </c>
    </row>
    <row r="1854" spans="1:2" x14ac:dyDescent="0.25">
      <c r="A1854">
        <v>1825</v>
      </c>
      <c r="B1854">
        <v>8.9897908827601541E-2</v>
      </c>
    </row>
    <row r="1855" spans="1:2" x14ac:dyDescent="0.25">
      <c r="A1855">
        <v>1826</v>
      </c>
      <c r="B1855">
        <v>9.3307873285371809E-2</v>
      </c>
    </row>
    <row r="1856" spans="1:2" x14ac:dyDescent="0.25">
      <c r="A1856">
        <v>1827</v>
      </c>
      <c r="B1856">
        <v>0.45153215224987076</v>
      </c>
    </row>
    <row r="1857" spans="1:2" x14ac:dyDescent="0.25">
      <c r="A1857">
        <v>1828</v>
      </c>
      <c r="B1857">
        <v>0.21017626267969108</v>
      </c>
    </row>
    <row r="1858" spans="1:2" x14ac:dyDescent="0.25">
      <c r="A1858">
        <v>1829</v>
      </c>
      <c r="B1858">
        <v>0.19298032665220621</v>
      </c>
    </row>
    <row r="1859" spans="1:2" x14ac:dyDescent="0.25">
      <c r="A1859">
        <v>1830</v>
      </c>
      <c r="B1859">
        <v>0.21784247169519702</v>
      </c>
    </row>
    <row r="1860" spans="1:2" x14ac:dyDescent="0.25">
      <c r="A1860">
        <v>1831</v>
      </c>
      <c r="B1860">
        <v>0.42402627616259109</v>
      </c>
    </row>
    <row r="1861" spans="1:2" x14ac:dyDescent="0.25">
      <c r="A1861">
        <v>1832</v>
      </c>
      <c r="B1861">
        <v>0.24213322906036822</v>
      </c>
    </row>
    <row r="1862" spans="1:2" x14ac:dyDescent="0.25">
      <c r="A1862">
        <v>1833</v>
      </c>
      <c r="B1862">
        <v>0.28573175906245651</v>
      </c>
    </row>
    <row r="1863" spans="1:2" x14ac:dyDescent="0.25">
      <c r="A1863">
        <v>1834</v>
      </c>
      <c r="B1863">
        <v>0.54498787058145159</v>
      </c>
    </row>
    <row r="1864" spans="1:2" x14ac:dyDescent="0.25">
      <c r="A1864">
        <v>1835</v>
      </c>
      <c r="B1864">
        <v>0.2685479997824653</v>
      </c>
    </row>
    <row r="1865" spans="1:2" x14ac:dyDescent="0.25">
      <c r="A1865">
        <v>1836</v>
      </c>
      <c r="B1865">
        <v>0.31800709748792522</v>
      </c>
    </row>
    <row r="1866" spans="1:2" x14ac:dyDescent="0.25">
      <c r="A1866">
        <v>1837</v>
      </c>
      <c r="B1866">
        <v>0.22568422954245745</v>
      </c>
    </row>
    <row r="1867" spans="1:2" x14ac:dyDescent="0.25">
      <c r="A1867">
        <v>1838</v>
      </c>
      <c r="B1867">
        <v>0.16602828442541631</v>
      </c>
    </row>
    <row r="1868" spans="1:2" x14ac:dyDescent="0.25">
      <c r="A1868">
        <v>1839</v>
      </c>
      <c r="B1868">
        <v>0.24492227575888559</v>
      </c>
    </row>
    <row r="1869" spans="1:2" x14ac:dyDescent="0.25">
      <c r="A1869">
        <v>1840</v>
      </c>
      <c r="B1869">
        <v>0.23369652582505798</v>
      </c>
    </row>
    <row r="1870" spans="1:2" x14ac:dyDescent="0.25">
      <c r="A1870">
        <v>1841</v>
      </c>
      <c r="B1870">
        <v>0.22484750892523117</v>
      </c>
    </row>
    <row r="1871" spans="1:2" x14ac:dyDescent="0.25">
      <c r="A1871">
        <v>1842</v>
      </c>
      <c r="B1871">
        <v>0.24732458137916544</v>
      </c>
    </row>
    <row r="1872" spans="1:2" x14ac:dyDescent="0.25">
      <c r="A1872">
        <v>1843</v>
      </c>
      <c r="B1872">
        <v>0.41762164482468284</v>
      </c>
    </row>
    <row r="1873" spans="1:2" x14ac:dyDescent="0.25">
      <c r="A1873">
        <v>1844</v>
      </c>
      <c r="B1873">
        <v>0.22027283215075519</v>
      </c>
    </row>
    <row r="1874" spans="1:2" x14ac:dyDescent="0.25">
      <c r="A1874">
        <v>1845</v>
      </c>
      <c r="B1874">
        <v>0.14513958443918987</v>
      </c>
    </row>
    <row r="1875" spans="1:2" x14ac:dyDescent="0.25">
      <c r="A1875">
        <v>1846</v>
      </c>
      <c r="B1875">
        <v>0.16002330884679819</v>
      </c>
    </row>
    <row r="1876" spans="1:2" x14ac:dyDescent="0.25">
      <c r="A1876">
        <v>1847</v>
      </c>
      <c r="B1876">
        <v>0.20796542295738227</v>
      </c>
    </row>
    <row r="1877" spans="1:2" x14ac:dyDescent="0.25">
      <c r="A1877">
        <v>1848</v>
      </c>
      <c r="B1877">
        <v>0.13327089434024139</v>
      </c>
    </row>
    <row r="1878" spans="1:2" x14ac:dyDescent="0.25">
      <c r="A1878">
        <v>1849</v>
      </c>
      <c r="B1878">
        <v>0.60804394683097152</v>
      </c>
    </row>
    <row r="1879" spans="1:2" x14ac:dyDescent="0.25">
      <c r="A1879">
        <v>1850</v>
      </c>
      <c r="B1879">
        <v>0.53955806550543106</v>
      </c>
    </row>
    <row r="1880" spans="1:2" x14ac:dyDescent="0.25">
      <c r="A1880">
        <v>1851</v>
      </c>
      <c r="B1880">
        <v>0.10495550509157583</v>
      </c>
    </row>
    <row r="1881" spans="1:2" x14ac:dyDescent="0.25">
      <c r="A1881">
        <v>1852</v>
      </c>
      <c r="B1881">
        <v>8.1409238148075574E-2</v>
      </c>
    </row>
    <row r="1882" spans="1:2" x14ac:dyDescent="0.25">
      <c r="A1882">
        <v>1853</v>
      </c>
      <c r="B1882">
        <v>0.44087807730313999</v>
      </c>
    </row>
    <row r="1883" spans="1:2" x14ac:dyDescent="0.25">
      <c r="A1883">
        <v>1854</v>
      </c>
      <c r="B1883">
        <v>6.343368700324796E-2</v>
      </c>
    </row>
    <row r="1884" spans="1:2" x14ac:dyDescent="0.25">
      <c r="A1884">
        <v>1855</v>
      </c>
      <c r="B1884">
        <v>0.1169897153021793</v>
      </c>
    </row>
    <row r="1885" spans="1:2" x14ac:dyDescent="0.25">
      <c r="A1885">
        <v>1856</v>
      </c>
      <c r="B1885">
        <v>0.16634298752235327</v>
      </c>
    </row>
    <row r="1886" spans="1:2" x14ac:dyDescent="0.25">
      <c r="A1886">
        <v>1857</v>
      </c>
      <c r="B1886">
        <v>0.12760414845098103</v>
      </c>
    </row>
    <row r="1887" spans="1:2" x14ac:dyDescent="0.25">
      <c r="A1887">
        <v>1858</v>
      </c>
      <c r="B1887">
        <v>0.11407604945507094</v>
      </c>
    </row>
    <row r="1888" spans="1:2" x14ac:dyDescent="0.25">
      <c r="A1888">
        <v>1859</v>
      </c>
      <c r="B1888">
        <v>0.15526314922522907</v>
      </c>
    </row>
    <row r="1889" spans="1:2" x14ac:dyDescent="0.25">
      <c r="A1889">
        <v>1860</v>
      </c>
      <c r="B1889">
        <v>0.11674690572367528</v>
      </c>
    </row>
    <row r="1890" spans="1:2" x14ac:dyDescent="0.25">
      <c r="A1890">
        <v>1861</v>
      </c>
      <c r="B1890">
        <v>0.43314642888822724</v>
      </c>
    </row>
    <row r="1891" spans="1:2" x14ac:dyDescent="0.25">
      <c r="A1891">
        <v>1862</v>
      </c>
      <c r="B1891">
        <v>0.30624718935469308</v>
      </c>
    </row>
    <row r="1892" spans="1:2" x14ac:dyDescent="0.25">
      <c r="A1892">
        <v>1863</v>
      </c>
      <c r="B1892">
        <v>0.21612265737815009</v>
      </c>
    </row>
    <row r="1893" spans="1:2" x14ac:dyDescent="0.25">
      <c r="A1893">
        <v>1864</v>
      </c>
      <c r="B1893">
        <v>0.22662324522675767</v>
      </c>
    </row>
    <row r="1894" spans="1:2" x14ac:dyDescent="0.25">
      <c r="A1894">
        <v>1865</v>
      </c>
      <c r="B1894">
        <v>0.21718863680746262</v>
      </c>
    </row>
    <row r="1895" spans="1:2" x14ac:dyDescent="0.25">
      <c r="A1895">
        <v>1866</v>
      </c>
      <c r="B1895">
        <v>0.11328727372722783</v>
      </c>
    </row>
    <row r="1896" spans="1:2" x14ac:dyDescent="0.25">
      <c r="A1896">
        <v>1867</v>
      </c>
      <c r="B1896">
        <v>0.47842661777885093</v>
      </c>
    </row>
    <row r="1897" spans="1:2" x14ac:dyDescent="0.25">
      <c r="A1897">
        <v>1868</v>
      </c>
      <c r="B1897">
        <v>0.25307497036115434</v>
      </c>
    </row>
    <row r="1898" spans="1:2" x14ac:dyDescent="0.25">
      <c r="A1898">
        <v>1869</v>
      </c>
      <c r="B1898">
        <v>0.17653733115868545</v>
      </c>
    </row>
    <row r="1899" spans="1:2" x14ac:dyDescent="0.25">
      <c r="A1899">
        <v>1870</v>
      </c>
      <c r="B1899">
        <v>0.64982352647146224</v>
      </c>
    </row>
    <row r="1900" spans="1:2" x14ac:dyDescent="0.25">
      <c r="A1900">
        <v>1871</v>
      </c>
      <c r="B1900">
        <v>0.16991716251187278</v>
      </c>
    </row>
    <row r="1901" spans="1:2" x14ac:dyDescent="0.25">
      <c r="A1901">
        <v>1872</v>
      </c>
      <c r="B1901">
        <v>0.28808084326766648</v>
      </c>
    </row>
    <row r="1902" spans="1:2" x14ac:dyDescent="0.25">
      <c r="A1902">
        <v>1873</v>
      </c>
      <c r="B1902">
        <v>0.15446875165876478</v>
      </c>
    </row>
    <row r="1903" spans="1:2" x14ac:dyDescent="0.25">
      <c r="A1903">
        <v>1874</v>
      </c>
      <c r="B1903">
        <v>0.32711917527023293</v>
      </c>
    </row>
    <row r="1904" spans="1:2" x14ac:dyDescent="0.25">
      <c r="A1904">
        <v>1875</v>
      </c>
      <c r="B1904">
        <v>0.27247407114911565</v>
      </c>
    </row>
    <row r="1905" spans="1:2" x14ac:dyDescent="0.25">
      <c r="A1905">
        <v>1876</v>
      </c>
      <c r="B1905">
        <v>0.52429538494802108</v>
      </c>
    </row>
    <row r="1906" spans="1:2" x14ac:dyDescent="0.25">
      <c r="A1906">
        <v>1877</v>
      </c>
      <c r="B1906">
        <v>0.1764230101763902</v>
      </c>
    </row>
    <row r="1907" spans="1:2" x14ac:dyDescent="0.25">
      <c r="A1907">
        <v>1878</v>
      </c>
      <c r="B1907">
        <v>0.1455881492233396</v>
      </c>
    </row>
    <row r="1908" spans="1:2" x14ac:dyDescent="0.25">
      <c r="A1908">
        <v>1879</v>
      </c>
      <c r="B1908">
        <v>0.20225454457492911</v>
      </c>
    </row>
    <row r="1909" spans="1:2" x14ac:dyDescent="0.25">
      <c r="A1909">
        <v>1880</v>
      </c>
      <c r="B1909">
        <v>0.19580629186388043</v>
      </c>
    </row>
    <row r="1910" spans="1:2" x14ac:dyDescent="0.25">
      <c r="A1910">
        <v>1881</v>
      </c>
      <c r="B1910">
        <v>0.18195585472333012</v>
      </c>
    </row>
    <row r="1911" spans="1:2" x14ac:dyDescent="0.25">
      <c r="A1911">
        <v>1882</v>
      </c>
      <c r="B1911">
        <v>0.17343694593679729</v>
      </c>
    </row>
    <row r="1912" spans="1:2" x14ac:dyDescent="0.25">
      <c r="A1912">
        <v>1883</v>
      </c>
      <c r="B1912">
        <v>1.3181890657965887</v>
      </c>
    </row>
    <row r="1913" spans="1:2" x14ac:dyDescent="0.25">
      <c r="A1913">
        <v>1884</v>
      </c>
      <c r="B1913">
        <v>0.23024698811492292</v>
      </c>
    </row>
    <row r="1914" spans="1:2" x14ac:dyDescent="0.25">
      <c r="A1914">
        <v>1885</v>
      </c>
      <c r="B1914">
        <v>7.941268980645462E-2</v>
      </c>
    </row>
    <row r="1915" spans="1:2" x14ac:dyDescent="0.25">
      <c r="A1915">
        <v>1886</v>
      </c>
      <c r="B1915">
        <v>0.23314127060802553</v>
      </c>
    </row>
    <row r="1916" spans="1:2" x14ac:dyDescent="0.25">
      <c r="A1916">
        <v>1887</v>
      </c>
      <c r="B1916">
        <v>7.2603782151755614E-2</v>
      </c>
    </row>
    <row r="1917" spans="1:2" x14ac:dyDescent="0.25">
      <c r="A1917">
        <v>1888</v>
      </c>
      <c r="B1917">
        <v>7.6453585860261963E-2</v>
      </c>
    </row>
    <row r="1918" spans="1:2" x14ac:dyDescent="0.25">
      <c r="A1918">
        <v>1889</v>
      </c>
      <c r="B1918">
        <v>0.16306492014595783</v>
      </c>
    </row>
    <row r="1919" spans="1:2" x14ac:dyDescent="0.25">
      <c r="A1919">
        <v>1890</v>
      </c>
      <c r="B1919">
        <v>0.28122299139205909</v>
      </c>
    </row>
    <row r="1920" spans="1:2" x14ac:dyDescent="0.25">
      <c r="A1920">
        <v>1891</v>
      </c>
      <c r="B1920">
        <v>9.7273418535333694E-2</v>
      </c>
    </row>
    <row r="1921" spans="1:2" x14ac:dyDescent="0.25">
      <c r="A1921">
        <v>1892</v>
      </c>
      <c r="B1921">
        <v>0.22624960320967741</v>
      </c>
    </row>
    <row r="1922" spans="1:2" x14ac:dyDescent="0.25">
      <c r="A1922">
        <v>1893</v>
      </c>
      <c r="B1922">
        <v>0.15247590872510963</v>
      </c>
    </row>
    <row r="1923" spans="1:2" x14ac:dyDescent="0.25">
      <c r="A1923">
        <v>1894</v>
      </c>
      <c r="B1923">
        <v>7.9556044828961114E-2</v>
      </c>
    </row>
    <row r="1924" spans="1:2" x14ac:dyDescent="0.25">
      <c r="A1924">
        <v>1895</v>
      </c>
      <c r="B1924">
        <v>0.15073642805158244</v>
      </c>
    </row>
    <row r="1925" spans="1:2" x14ac:dyDescent="0.25">
      <c r="A1925">
        <v>1896</v>
      </c>
      <c r="B1925">
        <v>0.24960878030139641</v>
      </c>
    </row>
    <row r="1926" spans="1:2" x14ac:dyDescent="0.25">
      <c r="A1926">
        <v>1897</v>
      </c>
      <c r="B1926">
        <v>9.008763578496494E-2</v>
      </c>
    </row>
    <row r="1927" spans="1:2" x14ac:dyDescent="0.25">
      <c r="A1927">
        <v>1898</v>
      </c>
      <c r="B1927">
        <v>0.26402321721294941</v>
      </c>
    </row>
    <row r="1928" spans="1:2" x14ac:dyDescent="0.25">
      <c r="A1928">
        <v>1899</v>
      </c>
      <c r="B1928">
        <v>0.30548200360359645</v>
      </c>
    </row>
    <row r="1929" spans="1:2" x14ac:dyDescent="0.25">
      <c r="A1929">
        <v>1900</v>
      </c>
      <c r="B1929">
        <v>0.21098567289385703</v>
      </c>
    </row>
    <row r="1930" spans="1:2" x14ac:dyDescent="0.25">
      <c r="A1930">
        <v>1901</v>
      </c>
      <c r="B1930">
        <v>0.2140527801680383</v>
      </c>
    </row>
    <row r="1931" spans="1:2" x14ac:dyDescent="0.25">
      <c r="A1931">
        <v>1902</v>
      </c>
      <c r="B1931">
        <v>9.9603432596987132E-2</v>
      </c>
    </row>
    <row r="1932" spans="1:2" x14ac:dyDescent="0.25">
      <c r="A1932">
        <v>1903</v>
      </c>
      <c r="B1932">
        <v>0.10628312447870254</v>
      </c>
    </row>
    <row r="1933" spans="1:2" x14ac:dyDescent="0.25">
      <c r="A1933">
        <v>1904</v>
      </c>
      <c r="B1933">
        <v>0.21979353842651461</v>
      </c>
    </row>
    <row r="1934" spans="1:2" x14ac:dyDescent="0.25">
      <c r="A1934">
        <v>1905</v>
      </c>
      <c r="B1934">
        <v>0.36284420073600865</v>
      </c>
    </row>
    <row r="1935" spans="1:2" x14ac:dyDescent="0.25">
      <c r="A1935">
        <v>1906</v>
      </c>
      <c r="B1935">
        <v>0.16608199983966446</v>
      </c>
    </row>
    <row r="1936" spans="1:2" x14ac:dyDescent="0.25">
      <c r="A1936">
        <v>1907</v>
      </c>
      <c r="B1936">
        <v>0.1392114995964496</v>
      </c>
    </row>
    <row r="1937" spans="1:2" x14ac:dyDescent="0.25">
      <c r="A1937">
        <v>1908</v>
      </c>
      <c r="B1937">
        <v>6.2314813015224201E-2</v>
      </c>
    </row>
    <row r="1938" spans="1:2" x14ac:dyDescent="0.25">
      <c r="A1938">
        <v>1909</v>
      </c>
      <c r="B1938">
        <v>0.14584436857474967</v>
      </c>
    </row>
    <row r="1939" spans="1:2" x14ac:dyDescent="0.25">
      <c r="A1939">
        <v>1910</v>
      </c>
      <c r="B1939">
        <v>5.0012203529127545E-2</v>
      </c>
    </row>
    <row r="1940" spans="1:2" x14ac:dyDescent="0.25">
      <c r="A1940">
        <v>1911</v>
      </c>
      <c r="B1940">
        <v>6.1332260351454421E-2</v>
      </c>
    </row>
    <row r="1941" spans="1:2" x14ac:dyDescent="0.25">
      <c r="A1941">
        <v>1912</v>
      </c>
      <c r="B1941">
        <v>0.34386927599752004</v>
      </c>
    </row>
    <row r="1942" spans="1:2" x14ac:dyDescent="0.25">
      <c r="A1942">
        <v>1913</v>
      </c>
      <c r="B1942">
        <v>0.1824185471166776</v>
      </c>
    </row>
    <row r="1943" spans="1:2" x14ac:dyDescent="0.25">
      <c r="A1943">
        <v>1914</v>
      </c>
      <c r="B1943">
        <v>0.1751608971818194</v>
      </c>
    </row>
    <row r="1944" spans="1:2" x14ac:dyDescent="0.25">
      <c r="A1944">
        <v>1915</v>
      </c>
      <c r="B1944">
        <v>1.3208326971886926</v>
      </c>
    </row>
    <row r="1945" spans="1:2" x14ac:dyDescent="0.25">
      <c r="A1945">
        <v>1916</v>
      </c>
      <c r="B1945">
        <v>0.20142352647290654</v>
      </c>
    </row>
    <row r="1946" spans="1:2" x14ac:dyDescent="0.25">
      <c r="A1946">
        <v>1917</v>
      </c>
      <c r="B1946">
        <v>0.31592804230284049</v>
      </c>
    </row>
    <row r="1947" spans="1:2" x14ac:dyDescent="0.25">
      <c r="A1947">
        <v>1918</v>
      </c>
      <c r="B1947">
        <v>0.11218390748002621</v>
      </c>
    </row>
    <row r="1948" spans="1:2" x14ac:dyDescent="0.25">
      <c r="A1948">
        <v>1919</v>
      </c>
      <c r="B1948">
        <v>9.3943231845730849E-2</v>
      </c>
    </row>
    <row r="1949" spans="1:2" x14ac:dyDescent="0.25">
      <c r="A1949">
        <v>1920</v>
      </c>
      <c r="B1949">
        <v>0.31534799244611167</v>
      </c>
    </row>
    <row r="1950" spans="1:2" x14ac:dyDescent="0.25">
      <c r="A1950">
        <v>1921</v>
      </c>
      <c r="B1950">
        <v>0.12590315401119975</v>
      </c>
    </row>
    <row r="1951" spans="1:2" x14ac:dyDescent="0.25">
      <c r="A1951">
        <v>1922</v>
      </c>
      <c r="B1951">
        <v>0.12020273278948404</v>
      </c>
    </row>
    <row r="1952" spans="1:2" x14ac:dyDescent="0.25">
      <c r="A1952">
        <v>1923</v>
      </c>
      <c r="B1952">
        <v>0.26013404045877758</v>
      </c>
    </row>
    <row r="1953" spans="1:2" x14ac:dyDescent="0.25">
      <c r="A1953">
        <v>1924</v>
      </c>
      <c r="B1953">
        <v>0.12065143180246732</v>
      </c>
    </row>
    <row r="1954" spans="1:2" x14ac:dyDescent="0.25">
      <c r="A1954">
        <v>1925</v>
      </c>
      <c r="B1954">
        <v>0.1889638353816859</v>
      </c>
    </row>
    <row r="1955" spans="1:2" x14ac:dyDescent="0.25">
      <c r="A1955">
        <v>1926</v>
      </c>
      <c r="B1955">
        <v>7.5690839714719793E-2</v>
      </c>
    </row>
    <row r="1956" spans="1:2" x14ac:dyDescent="0.25">
      <c r="A1956">
        <v>1927</v>
      </c>
      <c r="B1956">
        <v>0.16247072664608689</v>
      </c>
    </row>
    <row r="1957" spans="1:2" x14ac:dyDescent="0.25">
      <c r="A1957">
        <v>1928</v>
      </c>
      <c r="B1957">
        <v>0.14410975842467161</v>
      </c>
    </row>
    <row r="1958" spans="1:2" x14ac:dyDescent="0.25">
      <c r="A1958">
        <v>1929</v>
      </c>
      <c r="B1958">
        <v>0.25186546698530821</v>
      </c>
    </row>
    <row r="1959" spans="1:2" x14ac:dyDescent="0.25">
      <c r="A1959">
        <v>1930</v>
      </c>
      <c r="B1959">
        <v>0.25786311103081422</v>
      </c>
    </row>
    <row r="1960" spans="1:2" x14ac:dyDescent="0.25">
      <c r="A1960">
        <v>1931</v>
      </c>
      <c r="B1960">
        <v>0.13511096682793822</v>
      </c>
    </row>
    <row r="1961" spans="1:2" x14ac:dyDescent="0.25">
      <c r="A1961">
        <v>1932</v>
      </c>
      <c r="B1961">
        <v>0.24703966747747436</v>
      </c>
    </row>
    <row r="1962" spans="1:2" x14ac:dyDescent="0.25">
      <c r="A1962">
        <v>1933</v>
      </c>
      <c r="B1962">
        <v>0.39811930259133466</v>
      </c>
    </row>
    <row r="1963" spans="1:2" x14ac:dyDescent="0.25">
      <c r="A1963">
        <v>1934</v>
      </c>
      <c r="B1963">
        <v>0.43057797141634302</v>
      </c>
    </row>
    <row r="1964" spans="1:2" x14ac:dyDescent="0.25">
      <c r="A1964">
        <v>1935</v>
      </c>
      <c r="B1964">
        <v>0.17978436482562973</v>
      </c>
    </row>
    <row r="1965" spans="1:2" x14ac:dyDescent="0.25">
      <c r="A1965">
        <v>1936</v>
      </c>
      <c r="B1965">
        <v>0.37851600941311969</v>
      </c>
    </row>
    <row r="1966" spans="1:2" x14ac:dyDescent="0.25">
      <c r="A1966">
        <v>1937</v>
      </c>
      <c r="B1966">
        <v>0.10252636822564345</v>
      </c>
    </row>
    <row r="1967" spans="1:2" x14ac:dyDescent="0.25">
      <c r="A1967">
        <v>1938</v>
      </c>
      <c r="B1967">
        <v>0.18219259778370056</v>
      </c>
    </row>
    <row r="1968" spans="1:2" x14ac:dyDescent="0.25">
      <c r="A1968">
        <v>1939</v>
      </c>
      <c r="B1968">
        <v>0.11281755276949137</v>
      </c>
    </row>
    <row r="1969" spans="1:2" x14ac:dyDescent="0.25">
      <c r="A1969">
        <v>1940</v>
      </c>
      <c r="B1969">
        <v>8.1909776384950186E-2</v>
      </c>
    </row>
    <row r="1970" spans="1:2" x14ac:dyDescent="0.25">
      <c r="A1970">
        <v>1941</v>
      </c>
      <c r="B1970">
        <v>2.6810295501071862E-2</v>
      </c>
    </row>
    <row r="1971" spans="1:2" x14ac:dyDescent="0.25">
      <c r="A1971">
        <v>1942</v>
      </c>
      <c r="B1971">
        <v>0.13111644652034957</v>
      </c>
    </row>
    <row r="1972" spans="1:2" x14ac:dyDescent="0.25">
      <c r="A1972">
        <v>1943</v>
      </c>
      <c r="B1972">
        <v>0.2308213259268726</v>
      </c>
    </row>
    <row r="1973" spans="1:2" x14ac:dyDescent="0.25">
      <c r="A1973">
        <v>1944</v>
      </c>
      <c r="B1973">
        <v>0.18422746893725914</v>
      </c>
    </row>
    <row r="1974" spans="1:2" x14ac:dyDescent="0.25">
      <c r="A1974">
        <v>1945</v>
      </c>
      <c r="B1974">
        <v>0.18248720971770879</v>
      </c>
    </row>
    <row r="1975" spans="1:2" x14ac:dyDescent="0.25">
      <c r="A1975">
        <v>1946</v>
      </c>
      <c r="B1975">
        <v>0.19391261070956178</v>
      </c>
    </row>
    <row r="1976" spans="1:2" x14ac:dyDescent="0.25">
      <c r="A1976">
        <v>1947</v>
      </c>
      <c r="B1976">
        <v>3.1300962600352665E-2</v>
      </c>
    </row>
    <row r="1977" spans="1:2" x14ac:dyDescent="0.25">
      <c r="A1977">
        <v>1948</v>
      </c>
      <c r="B1977">
        <v>0.12910611607583888</v>
      </c>
    </row>
    <row r="1978" spans="1:2" x14ac:dyDescent="0.25">
      <c r="A1978">
        <v>1949</v>
      </c>
      <c r="B1978">
        <v>4.2834122587477937E-2</v>
      </c>
    </row>
    <row r="1979" spans="1:2" x14ac:dyDescent="0.25">
      <c r="A1979">
        <v>1950</v>
      </c>
      <c r="B1979">
        <v>0.23439317722075409</v>
      </c>
    </row>
    <row r="1980" spans="1:2" x14ac:dyDescent="0.25">
      <c r="A1980">
        <v>1951</v>
      </c>
      <c r="B1980">
        <v>0.35952051589204465</v>
      </c>
    </row>
    <row r="1981" spans="1:2" x14ac:dyDescent="0.25">
      <c r="A1981">
        <v>1952</v>
      </c>
      <c r="B1981">
        <v>0.1106920111480067</v>
      </c>
    </row>
    <row r="1982" spans="1:2" x14ac:dyDescent="0.25">
      <c r="A1982">
        <v>1953</v>
      </c>
      <c r="B1982">
        <v>0.38898109558836341</v>
      </c>
    </row>
    <row r="1983" spans="1:2" x14ac:dyDescent="0.25">
      <c r="A1983">
        <v>1954</v>
      </c>
      <c r="B1983">
        <v>0.30621880247986577</v>
      </c>
    </row>
    <row r="1984" spans="1:2" x14ac:dyDescent="0.25">
      <c r="A1984">
        <v>1955</v>
      </c>
      <c r="B1984">
        <v>0.16104891124670889</v>
      </c>
    </row>
    <row r="1985" spans="1:2" x14ac:dyDescent="0.25">
      <c r="A1985">
        <v>1956</v>
      </c>
      <c r="B1985">
        <v>0.13564414043950571</v>
      </c>
    </row>
    <row r="1986" spans="1:2" x14ac:dyDescent="0.25">
      <c r="A1986">
        <v>1957</v>
      </c>
      <c r="B1986">
        <v>0.14776154629920202</v>
      </c>
    </row>
    <row r="1987" spans="1:2" x14ac:dyDescent="0.25">
      <c r="A1987">
        <v>1958</v>
      </c>
      <c r="B1987">
        <v>0.10080005726710337</v>
      </c>
    </row>
    <row r="1988" spans="1:2" x14ac:dyDescent="0.25">
      <c r="A1988">
        <v>1959</v>
      </c>
      <c r="B1988">
        <v>0.10177927156140344</v>
      </c>
    </row>
    <row r="1989" spans="1:2" x14ac:dyDescent="0.25">
      <c r="A1989">
        <v>1960</v>
      </c>
      <c r="B1989">
        <v>0.44849323325381646</v>
      </c>
    </row>
    <row r="1990" spans="1:2" x14ac:dyDescent="0.25">
      <c r="A1990">
        <v>1961</v>
      </c>
      <c r="B1990">
        <v>0.20343349652174655</v>
      </c>
    </row>
    <row r="1991" spans="1:2" x14ac:dyDescent="0.25">
      <c r="A1991">
        <v>1962</v>
      </c>
      <c r="B1991">
        <v>0.39984851528595117</v>
      </c>
    </row>
    <row r="1992" spans="1:2" x14ac:dyDescent="0.25">
      <c r="A1992">
        <v>1963</v>
      </c>
      <c r="B1992">
        <v>8.5046856964743386E-2</v>
      </c>
    </row>
    <row r="1993" spans="1:2" x14ac:dyDescent="0.25">
      <c r="A1993">
        <v>1964</v>
      </c>
      <c r="B1993">
        <v>0.53868830345119922</v>
      </c>
    </row>
    <row r="1994" spans="1:2" x14ac:dyDescent="0.25">
      <c r="A1994">
        <v>1965</v>
      </c>
      <c r="B1994">
        <v>0.4256792662756026</v>
      </c>
    </row>
    <row r="1995" spans="1:2" x14ac:dyDescent="0.25">
      <c r="A1995">
        <v>1966</v>
      </c>
      <c r="B1995">
        <v>0.43120394996861061</v>
      </c>
    </row>
    <row r="1996" spans="1:2" x14ac:dyDescent="0.25">
      <c r="A1996">
        <v>1967</v>
      </c>
      <c r="B1996">
        <v>2.2655721512901347E-2</v>
      </c>
    </row>
    <row r="1997" spans="1:2" x14ac:dyDescent="0.25">
      <c r="A1997">
        <v>1968</v>
      </c>
      <c r="B1997">
        <v>0.16337610081717838</v>
      </c>
    </row>
    <row r="1998" spans="1:2" x14ac:dyDescent="0.25">
      <c r="A1998">
        <v>1969</v>
      </c>
      <c r="B1998">
        <v>0.34909507457459082</v>
      </c>
    </row>
    <row r="1999" spans="1:2" x14ac:dyDescent="0.25">
      <c r="A1999">
        <v>1970</v>
      </c>
      <c r="B1999">
        <v>0.23448190631659294</v>
      </c>
    </row>
    <row r="2000" spans="1:2" x14ac:dyDescent="0.25">
      <c r="A2000">
        <v>1971</v>
      </c>
      <c r="B2000">
        <v>0.28504052193769763</v>
      </c>
    </row>
    <row r="2001" spans="1:2" x14ac:dyDescent="0.25">
      <c r="A2001">
        <v>1972</v>
      </c>
      <c r="B2001">
        <v>0.14652426913661898</v>
      </c>
    </row>
    <row r="2002" spans="1:2" x14ac:dyDescent="0.25">
      <c r="A2002">
        <v>1973</v>
      </c>
      <c r="B2002">
        <v>0.1345102545114143</v>
      </c>
    </row>
    <row r="2003" spans="1:2" x14ac:dyDescent="0.25">
      <c r="A2003">
        <v>1974</v>
      </c>
      <c r="B2003">
        <v>0.10113398243424263</v>
      </c>
    </row>
    <row r="2004" spans="1:2" x14ac:dyDescent="0.25">
      <c r="A2004">
        <v>1975</v>
      </c>
      <c r="B2004">
        <v>0.10602488989086953</v>
      </c>
    </row>
    <row r="2005" spans="1:2" x14ac:dyDescent="0.25">
      <c r="A2005">
        <v>1976</v>
      </c>
      <c r="B2005">
        <v>0.18787935996279637</v>
      </c>
    </row>
    <row r="2006" spans="1:2" x14ac:dyDescent="0.25">
      <c r="A2006">
        <v>1977</v>
      </c>
      <c r="B2006">
        <v>7.780154996762656E-2</v>
      </c>
    </row>
    <row r="2007" spans="1:2" x14ac:dyDescent="0.25">
      <c r="A2007">
        <v>1978</v>
      </c>
      <c r="B2007">
        <v>0.21639060994080936</v>
      </c>
    </row>
    <row r="2008" spans="1:2" x14ac:dyDescent="0.25">
      <c r="A2008">
        <v>1979</v>
      </c>
      <c r="B2008">
        <v>0.18043102489148904</v>
      </c>
    </row>
    <row r="2009" spans="1:2" x14ac:dyDescent="0.25">
      <c r="A2009">
        <v>1980</v>
      </c>
      <c r="B2009">
        <v>0.21209117018937132</v>
      </c>
    </row>
    <row r="2010" spans="1:2" x14ac:dyDescent="0.25">
      <c r="A2010">
        <v>1981</v>
      </c>
      <c r="B2010">
        <v>0.13501475478971856</v>
      </c>
    </row>
    <row r="2011" spans="1:2" x14ac:dyDescent="0.25">
      <c r="A2011">
        <v>1982</v>
      </c>
      <c r="B2011">
        <v>9.8960739855806529E-2</v>
      </c>
    </row>
    <row r="2012" spans="1:2" x14ac:dyDescent="0.25">
      <c r="A2012">
        <v>1983</v>
      </c>
      <c r="B2012">
        <v>0.13126279029529098</v>
      </c>
    </row>
    <row r="2013" spans="1:2" x14ac:dyDescent="0.25">
      <c r="A2013">
        <v>1984</v>
      </c>
      <c r="B2013">
        <v>0.23521156653833586</v>
      </c>
    </row>
    <row r="2014" spans="1:2" x14ac:dyDescent="0.25">
      <c r="A2014">
        <v>1985</v>
      </c>
      <c r="B2014">
        <v>0.54313976095241645</v>
      </c>
    </row>
    <row r="2015" spans="1:2" x14ac:dyDescent="0.25">
      <c r="A2015">
        <v>1986</v>
      </c>
      <c r="B2015">
        <v>0.25081763151624037</v>
      </c>
    </row>
    <row r="2016" spans="1:2" x14ac:dyDescent="0.25">
      <c r="A2016">
        <v>1987</v>
      </c>
      <c r="B2016">
        <v>0.33549926418413684</v>
      </c>
    </row>
    <row r="2017" spans="1:2" x14ac:dyDescent="0.25">
      <c r="A2017">
        <v>1988</v>
      </c>
      <c r="B2017">
        <v>0.12661657807386215</v>
      </c>
    </row>
    <row r="2018" spans="1:2" x14ac:dyDescent="0.25">
      <c r="A2018">
        <v>1989</v>
      </c>
      <c r="B2018">
        <v>0.1569798142291903</v>
      </c>
    </row>
    <row r="2019" spans="1:2" x14ac:dyDescent="0.25">
      <c r="A2019">
        <v>1990</v>
      </c>
      <c r="B2019">
        <v>0.14168753439233875</v>
      </c>
    </row>
    <row r="2020" spans="1:2" x14ac:dyDescent="0.25">
      <c r="A2020">
        <v>1991</v>
      </c>
      <c r="B2020">
        <v>0.12268879222152144</v>
      </c>
    </row>
    <row r="2021" spans="1:2" x14ac:dyDescent="0.25">
      <c r="A2021">
        <v>1992</v>
      </c>
      <c r="B2021">
        <v>0.13976380169826286</v>
      </c>
    </row>
    <row r="2022" spans="1:2" x14ac:dyDescent="0.25">
      <c r="A2022">
        <v>1993</v>
      </c>
      <c r="B2022">
        <v>4.2862831749237426E-2</v>
      </c>
    </row>
    <row r="2023" spans="1:2" x14ac:dyDescent="0.25">
      <c r="A2023">
        <v>1994</v>
      </c>
      <c r="B2023">
        <v>0.26138720498277251</v>
      </c>
    </row>
    <row r="2024" spans="1:2" x14ac:dyDescent="0.25">
      <c r="A2024">
        <v>1995</v>
      </c>
      <c r="B2024">
        <v>0.70261578621801146</v>
      </c>
    </row>
    <row r="2025" spans="1:2" x14ac:dyDescent="0.25">
      <c r="A2025">
        <v>1996</v>
      </c>
      <c r="B2025">
        <v>0.12537104033281982</v>
      </c>
    </row>
    <row r="2026" spans="1:2" x14ac:dyDescent="0.25">
      <c r="A2026">
        <v>1997</v>
      </c>
      <c r="B2026">
        <v>0.24989499970281054</v>
      </c>
    </row>
    <row r="2027" spans="1:2" x14ac:dyDescent="0.25">
      <c r="A2027">
        <v>1998</v>
      </c>
      <c r="B2027">
        <v>0.15678366531650939</v>
      </c>
    </row>
    <row r="2028" spans="1:2" x14ac:dyDescent="0.25">
      <c r="A2028">
        <v>1999</v>
      </c>
      <c r="B2028">
        <v>6.7059195642019162E-2</v>
      </c>
    </row>
    <row r="2029" spans="1:2" x14ac:dyDescent="0.25">
      <c r="A2029">
        <v>2000</v>
      </c>
      <c r="B2029">
        <v>0.24853329365559787</v>
      </c>
    </row>
    <row r="2030" spans="1:2" x14ac:dyDescent="0.25">
      <c r="A2030">
        <v>2001</v>
      </c>
      <c r="B2030">
        <v>0.16391689334880638</v>
      </c>
    </row>
    <row r="2031" spans="1:2" x14ac:dyDescent="0.25">
      <c r="A2031">
        <v>2002</v>
      </c>
      <c r="B2031">
        <v>0.27890400487351236</v>
      </c>
    </row>
    <row r="2032" spans="1:2" x14ac:dyDescent="0.25">
      <c r="A2032">
        <v>2003</v>
      </c>
      <c r="B2032">
        <v>0.33901774476757751</v>
      </c>
    </row>
    <row r="2033" spans="1:2" x14ac:dyDescent="0.25">
      <c r="A2033">
        <v>2004</v>
      </c>
      <c r="B2033">
        <v>0.34465582071445366</v>
      </c>
    </row>
    <row r="2034" spans="1:2" x14ac:dyDescent="0.25">
      <c r="A2034">
        <v>2005</v>
      </c>
      <c r="B2034">
        <v>0.49730885725888641</v>
      </c>
    </row>
    <row r="2035" spans="1:2" x14ac:dyDescent="0.25">
      <c r="A2035">
        <v>2006</v>
      </c>
      <c r="B2035">
        <v>0.32215967436505866</v>
      </c>
    </row>
    <row r="2036" spans="1:2" x14ac:dyDescent="0.25">
      <c r="A2036">
        <v>2007</v>
      </c>
      <c r="B2036">
        <v>0.21107651297101707</v>
      </c>
    </row>
    <row r="2037" spans="1:2" x14ac:dyDescent="0.25">
      <c r="A2037">
        <v>2008</v>
      </c>
      <c r="B2037">
        <v>0.34938635045949273</v>
      </c>
    </row>
    <row r="2038" spans="1:2" x14ac:dyDescent="0.25">
      <c r="A2038">
        <v>2009</v>
      </c>
      <c r="B2038">
        <v>0.78190732365635318</v>
      </c>
    </row>
    <row r="2039" spans="1:2" x14ac:dyDescent="0.25">
      <c r="A2039">
        <v>2010</v>
      </c>
      <c r="B2039">
        <v>0.10016307833918489</v>
      </c>
    </row>
    <row r="2040" spans="1:2" x14ac:dyDescent="0.25">
      <c r="A2040">
        <v>2011</v>
      </c>
      <c r="B2040">
        <v>0.16592276762302302</v>
      </c>
    </row>
    <row r="2041" spans="1:2" x14ac:dyDescent="0.25">
      <c r="A2041">
        <v>2012</v>
      </c>
      <c r="B2041">
        <v>9.8459341533920386E-2</v>
      </c>
    </row>
    <row r="2042" spans="1:2" x14ac:dyDescent="0.25">
      <c r="A2042">
        <v>2013</v>
      </c>
      <c r="B2042">
        <v>0.13878738422713027</v>
      </c>
    </row>
    <row r="2043" spans="1:2" x14ac:dyDescent="0.25">
      <c r="A2043">
        <v>2014</v>
      </c>
      <c r="B2043">
        <v>0.12194838377466076</v>
      </c>
    </row>
    <row r="2044" spans="1:2" x14ac:dyDescent="0.25">
      <c r="A2044">
        <v>2015</v>
      </c>
      <c r="B2044">
        <v>7.7207147451648431E-2</v>
      </c>
    </row>
    <row r="2045" spans="1:2" x14ac:dyDescent="0.25">
      <c r="A2045">
        <v>2016</v>
      </c>
      <c r="B2045">
        <v>0.29497721713789116</v>
      </c>
    </row>
    <row r="2046" spans="1:2" x14ac:dyDescent="0.25">
      <c r="A2046">
        <v>2017</v>
      </c>
      <c r="B2046">
        <v>0.15455897337608324</v>
      </c>
    </row>
    <row r="2047" spans="1:2" x14ac:dyDescent="0.25">
      <c r="A2047">
        <v>2018</v>
      </c>
      <c r="B2047">
        <v>0.67241192704705866</v>
      </c>
    </row>
    <row r="2048" spans="1:2" x14ac:dyDescent="0.25">
      <c r="A2048">
        <v>2019</v>
      </c>
      <c r="B2048">
        <v>0.18893417907069987</v>
      </c>
    </row>
    <row r="2049" spans="1:2" x14ac:dyDescent="0.25">
      <c r="A2049">
        <v>2020</v>
      </c>
      <c r="B2049">
        <v>0.21092749145336981</v>
      </c>
    </row>
    <row r="2050" spans="1:2" x14ac:dyDescent="0.25">
      <c r="A2050">
        <v>2021</v>
      </c>
      <c r="B2050">
        <v>0.269848980273595</v>
      </c>
    </row>
    <row r="2051" spans="1:2" x14ac:dyDescent="0.25">
      <c r="A2051">
        <v>2022</v>
      </c>
      <c r="B2051">
        <v>0.25596611330473312</v>
      </c>
    </row>
    <row r="2052" spans="1:2" x14ac:dyDescent="0.25">
      <c r="A2052">
        <v>2023</v>
      </c>
      <c r="B2052">
        <v>0.22887743396254534</v>
      </c>
    </row>
    <row r="2053" spans="1:2" x14ac:dyDescent="0.25">
      <c r="A2053">
        <v>2024</v>
      </c>
      <c r="B2053">
        <v>0.11193629578578</v>
      </c>
    </row>
    <row r="2054" spans="1:2" x14ac:dyDescent="0.25">
      <c r="A2054">
        <v>2025</v>
      </c>
      <c r="B2054">
        <v>0.17136341196960764</v>
      </c>
    </row>
    <row r="2055" spans="1:2" x14ac:dyDescent="0.25">
      <c r="A2055">
        <v>2026</v>
      </c>
      <c r="B2055">
        <v>0.22857039132019139</v>
      </c>
    </row>
    <row r="2056" spans="1:2" x14ac:dyDescent="0.25">
      <c r="A2056">
        <v>2027</v>
      </c>
      <c r="B2056">
        <v>0.12235520233123467</v>
      </c>
    </row>
    <row r="2057" spans="1:2" x14ac:dyDescent="0.25">
      <c r="A2057">
        <v>2028</v>
      </c>
      <c r="B2057">
        <v>0.35249351089141723</v>
      </c>
    </row>
    <row r="2058" spans="1:2" x14ac:dyDescent="0.25">
      <c r="A2058">
        <v>2029</v>
      </c>
      <c r="B2058">
        <v>0.13349951329483373</v>
      </c>
    </row>
    <row r="2059" spans="1:2" x14ac:dyDescent="0.25">
      <c r="A2059">
        <v>2030</v>
      </c>
      <c r="B2059">
        <v>0.13275174938635367</v>
      </c>
    </row>
    <row r="2060" spans="1:2" x14ac:dyDescent="0.25">
      <c r="A2060">
        <v>2031</v>
      </c>
      <c r="B2060">
        <v>0.2037377786172257</v>
      </c>
    </row>
    <row r="2061" spans="1:2" x14ac:dyDescent="0.25">
      <c r="A2061">
        <v>2032</v>
      </c>
      <c r="B2061">
        <v>0.10477578495932482</v>
      </c>
    </row>
    <row r="2062" spans="1:2" x14ac:dyDescent="0.25">
      <c r="A2062">
        <v>2033</v>
      </c>
      <c r="B2062">
        <v>0.71110991296961634</v>
      </c>
    </row>
    <row r="2063" spans="1:2" x14ac:dyDescent="0.25">
      <c r="A2063">
        <v>2034</v>
      </c>
      <c r="B2063">
        <v>0.19368544321202741</v>
      </c>
    </row>
    <row r="2064" spans="1:2" x14ac:dyDescent="0.25">
      <c r="A2064">
        <v>2035</v>
      </c>
      <c r="B2064">
        <v>0.43552097720088706</v>
      </c>
    </row>
    <row r="2065" spans="1:2" x14ac:dyDescent="0.25">
      <c r="A2065">
        <v>2036</v>
      </c>
      <c r="B2065">
        <v>6.0144941131854639E-2</v>
      </c>
    </row>
    <row r="2066" spans="1:2" x14ac:dyDescent="0.25">
      <c r="A2066">
        <v>2037</v>
      </c>
      <c r="B2066">
        <v>0.41140525209531015</v>
      </c>
    </row>
    <row r="2067" spans="1:2" x14ac:dyDescent="0.25">
      <c r="A2067">
        <v>2038</v>
      </c>
      <c r="B2067">
        <v>9.5847647564722444E-2</v>
      </c>
    </row>
    <row r="2068" spans="1:2" x14ac:dyDescent="0.25">
      <c r="A2068">
        <v>2039</v>
      </c>
      <c r="B2068">
        <v>0.22179936552995544</v>
      </c>
    </row>
    <row r="2069" spans="1:2" x14ac:dyDescent="0.25">
      <c r="A2069">
        <v>2040</v>
      </c>
      <c r="B2069">
        <v>0.11349514898239429</v>
      </c>
    </row>
    <row r="2070" spans="1:2" x14ac:dyDescent="0.25">
      <c r="A2070">
        <v>2041</v>
      </c>
      <c r="B2070">
        <v>0.14000872128531464</v>
      </c>
    </row>
    <row r="2071" spans="1:2" x14ac:dyDescent="0.25">
      <c r="A2071">
        <v>2042</v>
      </c>
      <c r="B2071">
        <v>0.12134166742887915</v>
      </c>
    </row>
    <row r="2072" spans="1:2" x14ac:dyDescent="0.25">
      <c r="A2072">
        <v>2043</v>
      </c>
      <c r="B2072">
        <v>0.20493239312883835</v>
      </c>
    </row>
    <row r="2073" spans="1:2" x14ac:dyDescent="0.25">
      <c r="A2073">
        <v>2044</v>
      </c>
      <c r="B2073">
        <v>0.14905866739738749</v>
      </c>
    </row>
    <row r="2074" spans="1:2" x14ac:dyDescent="0.25">
      <c r="A2074">
        <v>2045</v>
      </c>
      <c r="B2074">
        <v>0.44736785387411665</v>
      </c>
    </row>
    <row r="2075" spans="1:2" x14ac:dyDescent="0.25">
      <c r="A2075">
        <v>2046</v>
      </c>
      <c r="B2075">
        <v>0.1409728975164552</v>
      </c>
    </row>
    <row r="2076" spans="1:2" x14ac:dyDescent="0.25">
      <c r="A2076">
        <v>2047</v>
      </c>
      <c r="B2076">
        <v>0.14595329638010726</v>
      </c>
    </row>
    <row r="2077" spans="1:2" x14ac:dyDescent="0.25">
      <c r="A2077">
        <v>2048</v>
      </c>
      <c r="B2077">
        <v>0.22193758839246708</v>
      </c>
    </row>
    <row r="2078" spans="1:2" x14ac:dyDescent="0.25">
      <c r="A2078">
        <v>2049</v>
      </c>
      <c r="B2078">
        <v>0.31527348176253228</v>
      </c>
    </row>
    <row r="2079" spans="1:2" x14ac:dyDescent="0.25">
      <c r="A2079">
        <v>2050</v>
      </c>
      <c r="B2079">
        <v>0.19581767080967374</v>
      </c>
    </row>
    <row r="2080" spans="1:2" x14ac:dyDescent="0.25">
      <c r="A2080">
        <v>2051</v>
      </c>
      <c r="B2080">
        <v>0.1443316495724388</v>
      </c>
    </row>
    <row r="2081" spans="1:2" x14ac:dyDescent="0.25">
      <c r="A2081">
        <v>2052</v>
      </c>
      <c r="B2081">
        <v>0.26053146659381082</v>
      </c>
    </row>
    <row r="2082" spans="1:2" x14ac:dyDescent="0.25">
      <c r="A2082">
        <v>2053</v>
      </c>
      <c r="B2082">
        <v>0.28203838202590908</v>
      </c>
    </row>
    <row r="2083" spans="1:2" x14ac:dyDescent="0.25">
      <c r="A2083">
        <v>2054</v>
      </c>
      <c r="B2083">
        <v>0.15603969696291317</v>
      </c>
    </row>
    <row r="2084" spans="1:2" x14ac:dyDescent="0.25">
      <c r="A2084">
        <v>2055</v>
      </c>
      <c r="B2084">
        <v>8.0859126476016674E-2</v>
      </c>
    </row>
    <row r="2085" spans="1:2" x14ac:dyDescent="0.25">
      <c r="A2085">
        <v>2056</v>
      </c>
      <c r="B2085">
        <v>0.19475587796339394</v>
      </c>
    </row>
    <row r="2086" spans="1:2" x14ac:dyDescent="0.25">
      <c r="A2086">
        <v>2057</v>
      </c>
      <c r="B2086">
        <v>0.14278630215310445</v>
      </c>
    </row>
    <row r="2087" spans="1:2" x14ac:dyDescent="0.25">
      <c r="A2087">
        <v>2058</v>
      </c>
      <c r="B2087">
        <v>0.26193723011463449</v>
      </c>
    </row>
    <row r="2088" spans="1:2" x14ac:dyDescent="0.25">
      <c r="A2088">
        <v>2059</v>
      </c>
      <c r="B2088">
        <v>0.19046950748399077</v>
      </c>
    </row>
    <row r="2089" spans="1:2" x14ac:dyDescent="0.25">
      <c r="A2089">
        <v>2060</v>
      </c>
      <c r="B2089">
        <v>0.1093513095623166</v>
      </c>
    </row>
    <row r="2090" spans="1:2" x14ac:dyDescent="0.25">
      <c r="A2090">
        <v>2061</v>
      </c>
      <c r="B2090">
        <v>4.353808743457039E-2</v>
      </c>
    </row>
    <row r="2091" spans="1:2" x14ac:dyDescent="0.25">
      <c r="A2091">
        <v>2062</v>
      </c>
      <c r="B2091">
        <v>2.3386598931018972E-2</v>
      </c>
    </row>
    <row r="2092" spans="1:2" x14ac:dyDescent="0.25">
      <c r="A2092">
        <v>2063</v>
      </c>
      <c r="B2092">
        <v>0.10161018494717959</v>
      </c>
    </row>
    <row r="2093" spans="1:2" x14ac:dyDescent="0.25">
      <c r="A2093">
        <v>2064</v>
      </c>
      <c r="B2093">
        <v>4.8867738493399898E-2</v>
      </c>
    </row>
    <row r="2094" spans="1:2" x14ac:dyDescent="0.25">
      <c r="A2094">
        <v>2065</v>
      </c>
      <c r="B2094">
        <v>0.25947233097607586</v>
      </c>
    </row>
    <row r="2095" spans="1:2" x14ac:dyDescent="0.25">
      <c r="A2095">
        <v>2066</v>
      </c>
      <c r="B2095">
        <v>0.25739274417833546</v>
      </c>
    </row>
    <row r="2096" spans="1:2" x14ac:dyDescent="0.25">
      <c r="A2096">
        <v>2067</v>
      </c>
      <c r="B2096">
        <v>0.30369029074803616</v>
      </c>
    </row>
    <row r="2097" spans="1:2" x14ac:dyDescent="0.25">
      <c r="A2097">
        <v>2068</v>
      </c>
      <c r="B2097">
        <v>0.18253228675230082</v>
      </c>
    </row>
    <row r="2098" spans="1:2" x14ac:dyDescent="0.25">
      <c r="A2098">
        <v>2069</v>
      </c>
      <c r="B2098">
        <v>0.11698213529013227</v>
      </c>
    </row>
    <row r="2099" spans="1:2" x14ac:dyDescent="0.25">
      <c r="A2099">
        <v>2070</v>
      </c>
      <c r="B2099">
        <v>0.26096293574691987</v>
      </c>
    </row>
    <row r="2100" spans="1:2" x14ac:dyDescent="0.25">
      <c r="A2100">
        <v>2071</v>
      </c>
      <c r="B2100">
        <v>5.729688911405114E-2</v>
      </c>
    </row>
    <row r="2101" spans="1:2" x14ac:dyDescent="0.25">
      <c r="A2101">
        <v>2072</v>
      </c>
      <c r="B2101">
        <v>0.12553949836333228</v>
      </c>
    </row>
    <row r="2102" spans="1:2" x14ac:dyDescent="0.25">
      <c r="A2102">
        <v>2073</v>
      </c>
      <c r="B2102">
        <v>8.4090252863473769E-2</v>
      </c>
    </row>
    <row r="2103" spans="1:2" x14ac:dyDescent="0.25">
      <c r="A2103">
        <v>2074</v>
      </c>
      <c r="B2103">
        <v>0.16645760516707289</v>
      </c>
    </row>
    <row r="2104" spans="1:2" x14ac:dyDescent="0.25">
      <c r="A2104">
        <v>2075</v>
      </c>
      <c r="B2104">
        <v>0.15984403077933948</v>
      </c>
    </row>
    <row r="2105" spans="1:2" x14ac:dyDescent="0.25">
      <c r="A2105">
        <v>2076</v>
      </c>
      <c r="B2105">
        <v>0.15401364724290798</v>
      </c>
    </row>
    <row r="2106" spans="1:2" x14ac:dyDescent="0.25">
      <c r="A2106">
        <v>2077</v>
      </c>
      <c r="B2106">
        <v>0.1299156162637963</v>
      </c>
    </row>
    <row r="2107" spans="1:2" x14ac:dyDescent="0.25">
      <c r="A2107">
        <v>2078</v>
      </c>
      <c r="B2107">
        <v>0.35461763983441663</v>
      </c>
    </row>
    <row r="2108" spans="1:2" x14ac:dyDescent="0.25">
      <c r="A2108">
        <v>2079</v>
      </c>
      <c r="B2108">
        <v>5.8920419787048539E-2</v>
      </c>
    </row>
    <row r="2109" spans="1:2" x14ac:dyDescent="0.25">
      <c r="A2109">
        <v>2080</v>
      </c>
      <c r="B2109">
        <v>0.39948406652938706</v>
      </c>
    </row>
    <row r="2110" spans="1:2" x14ac:dyDescent="0.25">
      <c r="A2110">
        <v>2081</v>
      </c>
      <c r="B2110">
        <v>0.38363216396159855</v>
      </c>
    </row>
    <row r="2111" spans="1:2" x14ac:dyDescent="0.25">
      <c r="A2111">
        <v>2082</v>
      </c>
      <c r="B2111">
        <v>0.24660314546672243</v>
      </c>
    </row>
    <row r="2112" spans="1:2" x14ac:dyDescent="0.25">
      <c r="A2112">
        <v>2083</v>
      </c>
      <c r="B2112">
        <v>0.17925994693449765</v>
      </c>
    </row>
    <row r="2113" spans="1:2" x14ac:dyDescent="0.25">
      <c r="A2113">
        <v>2084</v>
      </c>
      <c r="B2113">
        <v>6.171396643027361E-2</v>
      </c>
    </row>
    <row r="2114" spans="1:2" x14ac:dyDescent="0.25">
      <c r="A2114">
        <v>2085</v>
      </c>
      <c r="B2114">
        <v>0.20078744921671046</v>
      </c>
    </row>
    <row r="2115" spans="1:2" x14ac:dyDescent="0.25">
      <c r="A2115">
        <v>2086</v>
      </c>
      <c r="B2115">
        <v>0.39952274697727386</v>
      </c>
    </row>
    <row r="2116" spans="1:2" x14ac:dyDescent="0.25">
      <c r="A2116">
        <v>2087</v>
      </c>
      <c r="B2116">
        <v>0.41737444906451854</v>
      </c>
    </row>
    <row r="2117" spans="1:2" x14ac:dyDescent="0.25">
      <c r="A2117">
        <v>2088</v>
      </c>
      <c r="B2117">
        <v>0.15382397128441641</v>
      </c>
    </row>
    <row r="2118" spans="1:2" x14ac:dyDescent="0.25">
      <c r="A2118">
        <v>2089</v>
      </c>
      <c r="B2118">
        <v>0.12333638037070736</v>
      </c>
    </row>
    <row r="2119" spans="1:2" x14ac:dyDescent="0.25">
      <c r="A2119">
        <v>2090</v>
      </c>
      <c r="B2119">
        <v>0.22689534487280863</v>
      </c>
    </row>
    <row r="2120" spans="1:2" x14ac:dyDescent="0.25">
      <c r="A2120">
        <v>2091</v>
      </c>
      <c r="B2120">
        <v>0.18676509258920981</v>
      </c>
    </row>
    <row r="2121" spans="1:2" x14ac:dyDescent="0.25">
      <c r="A2121">
        <v>2092</v>
      </c>
      <c r="B2121">
        <v>0.43098385893636931</v>
      </c>
    </row>
    <row r="2122" spans="1:2" x14ac:dyDescent="0.25">
      <c r="A2122">
        <v>2093</v>
      </c>
      <c r="B2122">
        <v>0.44144691677260228</v>
      </c>
    </row>
    <row r="2123" spans="1:2" x14ac:dyDescent="0.25">
      <c r="A2123">
        <v>2094</v>
      </c>
      <c r="B2123">
        <v>0.10996529924668613</v>
      </c>
    </row>
    <row r="2124" spans="1:2" x14ac:dyDescent="0.25">
      <c r="A2124">
        <v>2095</v>
      </c>
      <c r="B2124">
        <v>0.54731332870959759</v>
      </c>
    </row>
    <row r="2125" spans="1:2" x14ac:dyDescent="0.25">
      <c r="A2125">
        <v>2096</v>
      </c>
      <c r="B2125">
        <v>0.102785710910876</v>
      </c>
    </row>
    <row r="2126" spans="1:2" x14ac:dyDescent="0.25">
      <c r="A2126">
        <v>2097</v>
      </c>
      <c r="B2126">
        <v>0.11854293946850132</v>
      </c>
    </row>
    <row r="2127" spans="1:2" x14ac:dyDescent="0.25">
      <c r="A2127">
        <v>2098</v>
      </c>
      <c r="B2127">
        <v>6.2081112610454382E-2</v>
      </c>
    </row>
    <row r="2128" spans="1:2" x14ac:dyDescent="0.25">
      <c r="A2128">
        <v>2099</v>
      </c>
      <c r="B2128">
        <v>0.19541751293525148</v>
      </c>
    </row>
    <row r="2129" spans="1:2" x14ac:dyDescent="0.25">
      <c r="A2129">
        <v>2100</v>
      </c>
      <c r="B2129">
        <v>0.18016439797155451</v>
      </c>
    </row>
    <row r="2130" spans="1:2" x14ac:dyDescent="0.25">
      <c r="A2130">
        <v>2101</v>
      </c>
      <c r="B2130">
        <v>0.32505662359977916</v>
      </c>
    </row>
    <row r="2131" spans="1:2" x14ac:dyDescent="0.25">
      <c r="A2131">
        <v>2102</v>
      </c>
      <c r="B2131">
        <v>0.10524518085262205</v>
      </c>
    </row>
    <row r="2132" spans="1:2" x14ac:dyDescent="0.25">
      <c r="A2132">
        <v>2103</v>
      </c>
      <c r="B2132">
        <v>0.14223717530716123</v>
      </c>
    </row>
    <row r="2133" spans="1:2" x14ac:dyDescent="0.25">
      <c r="A2133">
        <v>2104</v>
      </c>
      <c r="B2133">
        <v>0.20822183057480331</v>
      </c>
    </row>
    <row r="2134" spans="1:2" x14ac:dyDescent="0.25">
      <c r="A2134">
        <v>2105</v>
      </c>
      <c r="B2134">
        <v>0.59886629061425312</v>
      </c>
    </row>
    <row r="2135" spans="1:2" x14ac:dyDescent="0.25">
      <c r="A2135">
        <v>2106</v>
      </c>
      <c r="B2135">
        <v>0.15917931364289653</v>
      </c>
    </row>
    <row r="2136" spans="1:2" x14ac:dyDescent="0.25">
      <c r="A2136">
        <v>2107</v>
      </c>
      <c r="B2136">
        <v>0.6639844471195584</v>
      </c>
    </row>
    <row r="2137" spans="1:2" x14ac:dyDescent="0.25">
      <c r="A2137">
        <v>2108</v>
      </c>
      <c r="B2137">
        <v>0.17576383732975798</v>
      </c>
    </row>
    <row r="2138" spans="1:2" x14ac:dyDescent="0.25">
      <c r="A2138">
        <v>2109</v>
      </c>
      <c r="B2138">
        <v>0.37261763027206357</v>
      </c>
    </row>
    <row r="2139" spans="1:2" x14ac:dyDescent="0.25">
      <c r="A2139">
        <v>2110</v>
      </c>
      <c r="B2139">
        <v>0.33068817023322916</v>
      </c>
    </row>
    <row r="2140" spans="1:2" x14ac:dyDescent="0.25">
      <c r="A2140">
        <v>2111</v>
      </c>
      <c r="B2140">
        <v>0.51199542672815535</v>
      </c>
    </row>
    <row r="2141" spans="1:2" x14ac:dyDescent="0.25">
      <c r="A2141">
        <v>2112</v>
      </c>
      <c r="B2141">
        <v>0.18228592547010666</v>
      </c>
    </row>
    <row r="2142" spans="1:2" x14ac:dyDescent="0.25">
      <c r="A2142">
        <v>2113</v>
      </c>
      <c r="B2142">
        <v>7.0927574792394157E-2</v>
      </c>
    </row>
    <row r="2143" spans="1:2" x14ac:dyDescent="0.25">
      <c r="A2143">
        <v>2114</v>
      </c>
      <c r="B2143">
        <v>6.3900851639355008E-2</v>
      </c>
    </row>
    <row r="2144" spans="1:2" x14ac:dyDescent="0.25">
      <c r="A2144">
        <v>2115</v>
      </c>
      <c r="B2144">
        <v>0.12863484997611455</v>
      </c>
    </row>
    <row r="2145" spans="1:2" x14ac:dyDescent="0.25">
      <c r="A2145">
        <v>2116</v>
      </c>
      <c r="B2145">
        <v>0.14329453531636169</v>
      </c>
    </row>
    <row r="2146" spans="1:2" x14ac:dyDescent="0.25">
      <c r="A2146">
        <v>2117</v>
      </c>
      <c r="B2146">
        <v>0.14305679017844183</v>
      </c>
    </row>
    <row r="2147" spans="1:2" x14ac:dyDescent="0.25">
      <c r="A2147">
        <v>2118</v>
      </c>
      <c r="B2147">
        <v>4.9246195918402798E-2</v>
      </c>
    </row>
    <row r="2148" spans="1:2" x14ac:dyDescent="0.25">
      <c r="A2148">
        <v>2119</v>
      </c>
      <c r="B2148">
        <v>0.2727694080096626</v>
      </c>
    </row>
    <row r="2149" spans="1:2" x14ac:dyDescent="0.25">
      <c r="A2149">
        <v>2120</v>
      </c>
      <c r="B2149">
        <v>0.2269321500191665</v>
      </c>
    </row>
    <row r="2150" spans="1:2" x14ac:dyDescent="0.25">
      <c r="A2150">
        <v>2121</v>
      </c>
      <c r="B2150">
        <v>0.36292451524594949</v>
      </c>
    </row>
    <row r="2151" spans="1:2" x14ac:dyDescent="0.25">
      <c r="A2151">
        <v>2122</v>
      </c>
      <c r="B2151">
        <v>0.33573319858847817</v>
      </c>
    </row>
    <row r="2152" spans="1:2" x14ac:dyDescent="0.25">
      <c r="A2152">
        <v>2123</v>
      </c>
      <c r="B2152">
        <v>0.35919462020988846</v>
      </c>
    </row>
    <row r="2153" spans="1:2" x14ac:dyDescent="0.25">
      <c r="A2153">
        <v>2124</v>
      </c>
      <c r="B2153">
        <v>0.24669483770497139</v>
      </c>
    </row>
    <row r="2154" spans="1:2" x14ac:dyDescent="0.25">
      <c r="A2154">
        <v>2125</v>
      </c>
      <c r="B2154">
        <v>0.32807837003320978</v>
      </c>
    </row>
    <row r="2155" spans="1:2" x14ac:dyDescent="0.25">
      <c r="A2155">
        <v>2126</v>
      </c>
      <c r="B2155">
        <v>0.25225304149365724</v>
      </c>
    </row>
    <row r="2156" spans="1:2" x14ac:dyDescent="0.25">
      <c r="A2156">
        <v>2127</v>
      </c>
      <c r="B2156">
        <v>7.1775855800989219E-2</v>
      </c>
    </row>
    <row r="2157" spans="1:2" x14ac:dyDescent="0.25">
      <c r="A2157">
        <v>2128</v>
      </c>
      <c r="B2157">
        <v>0.46721190439709132</v>
      </c>
    </row>
    <row r="2158" spans="1:2" x14ac:dyDescent="0.25">
      <c r="A2158">
        <v>2129</v>
      </c>
      <c r="B2158">
        <v>0.21271602824774127</v>
      </c>
    </row>
    <row r="2159" spans="1:2" x14ac:dyDescent="0.25">
      <c r="A2159">
        <v>2130</v>
      </c>
      <c r="B2159">
        <v>9.2867760812229083E-2</v>
      </c>
    </row>
    <row r="2160" spans="1:2" x14ac:dyDescent="0.25">
      <c r="A2160">
        <v>2131</v>
      </c>
      <c r="B2160">
        <v>9.1973240070229431E-2</v>
      </c>
    </row>
    <row r="2161" spans="1:2" x14ac:dyDescent="0.25">
      <c r="A2161">
        <v>2132</v>
      </c>
      <c r="B2161">
        <v>0.14504714261274576</v>
      </c>
    </row>
    <row r="2162" spans="1:2" x14ac:dyDescent="0.25">
      <c r="A2162">
        <v>2133</v>
      </c>
      <c r="B2162">
        <v>0.12670416426737488</v>
      </c>
    </row>
    <row r="2163" spans="1:2" x14ac:dyDescent="0.25">
      <c r="A2163">
        <v>2134</v>
      </c>
      <c r="B2163">
        <v>0.36387509628067816</v>
      </c>
    </row>
    <row r="2164" spans="1:2" x14ac:dyDescent="0.25">
      <c r="A2164">
        <v>2135</v>
      </c>
      <c r="B2164">
        <v>0.41649376642232883</v>
      </c>
    </row>
    <row r="2165" spans="1:2" x14ac:dyDescent="0.25">
      <c r="A2165">
        <v>2136</v>
      </c>
      <c r="B2165">
        <v>0.14649590762611958</v>
      </c>
    </row>
    <row r="2166" spans="1:2" x14ac:dyDescent="0.25">
      <c r="A2166">
        <v>2137</v>
      </c>
      <c r="B2166">
        <v>9.1740330733710004E-2</v>
      </c>
    </row>
    <row r="2167" spans="1:2" x14ac:dyDescent="0.25">
      <c r="A2167">
        <v>2138</v>
      </c>
      <c r="B2167">
        <v>0.31529727404796754</v>
      </c>
    </row>
    <row r="2168" spans="1:2" x14ac:dyDescent="0.25">
      <c r="A2168">
        <v>2139</v>
      </c>
      <c r="B2168">
        <v>0.10002673296848344</v>
      </c>
    </row>
    <row r="2169" spans="1:2" x14ac:dyDescent="0.25">
      <c r="A2169">
        <v>2140</v>
      </c>
      <c r="B2169">
        <v>0.23161409529801311</v>
      </c>
    </row>
    <row r="2170" spans="1:2" x14ac:dyDescent="0.25">
      <c r="A2170">
        <v>2141</v>
      </c>
      <c r="B2170">
        <v>6.3486838504764165E-2</v>
      </c>
    </row>
    <row r="2171" spans="1:2" x14ac:dyDescent="0.25">
      <c r="A2171">
        <v>2142</v>
      </c>
      <c r="B2171">
        <v>0.1541331368375935</v>
      </c>
    </row>
    <row r="2172" spans="1:2" x14ac:dyDescent="0.25">
      <c r="A2172">
        <v>2143</v>
      </c>
      <c r="B2172">
        <v>4.7299325335730738E-2</v>
      </c>
    </row>
    <row r="2173" spans="1:2" x14ac:dyDescent="0.25">
      <c r="A2173">
        <v>2144</v>
      </c>
      <c r="B2173">
        <v>0.50333567025319692</v>
      </c>
    </row>
    <row r="2174" spans="1:2" x14ac:dyDescent="0.25">
      <c r="A2174">
        <v>2145</v>
      </c>
      <c r="B2174">
        <v>0.17605622053634717</v>
      </c>
    </row>
    <row r="2175" spans="1:2" x14ac:dyDescent="0.25">
      <c r="A2175">
        <v>2146</v>
      </c>
      <c r="B2175">
        <v>5.0329877325113508E-2</v>
      </c>
    </row>
    <row r="2176" spans="1:2" x14ac:dyDescent="0.25">
      <c r="A2176">
        <v>2147</v>
      </c>
      <c r="B2176">
        <v>4.6819944318588609E-2</v>
      </c>
    </row>
    <row r="2177" spans="1:2" x14ac:dyDescent="0.25">
      <c r="A2177">
        <v>2148</v>
      </c>
      <c r="B2177">
        <v>0.11536206406542035</v>
      </c>
    </row>
    <row r="2178" spans="1:2" x14ac:dyDescent="0.25">
      <c r="A2178">
        <v>2149</v>
      </c>
      <c r="B2178">
        <v>0.1632071274655934</v>
      </c>
    </row>
    <row r="2179" spans="1:2" x14ac:dyDescent="0.25">
      <c r="A2179">
        <v>2150</v>
      </c>
      <c r="B2179">
        <v>0.10190547044973429</v>
      </c>
    </row>
    <row r="2180" spans="1:2" x14ac:dyDescent="0.25">
      <c r="A2180">
        <v>2151</v>
      </c>
      <c r="B2180">
        <v>0.14679215173666077</v>
      </c>
    </row>
    <row r="2181" spans="1:2" x14ac:dyDescent="0.25">
      <c r="A2181">
        <v>2152</v>
      </c>
      <c r="B2181">
        <v>0.45249020354752106</v>
      </c>
    </row>
    <row r="2182" spans="1:2" x14ac:dyDescent="0.25">
      <c r="A2182">
        <v>2153</v>
      </c>
      <c r="B2182">
        <v>5.7037124776942359E-2</v>
      </c>
    </row>
    <row r="2183" spans="1:2" x14ac:dyDescent="0.25">
      <c r="A2183">
        <v>2154</v>
      </c>
      <c r="B2183">
        <v>5.4417305001945977E-2</v>
      </c>
    </row>
    <row r="2184" spans="1:2" x14ac:dyDescent="0.25">
      <c r="A2184">
        <v>2155</v>
      </c>
      <c r="B2184">
        <v>0.16321197596475304</v>
      </c>
    </row>
    <row r="2185" spans="1:2" x14ac:dyDescent="0.25">
      <c r="A2185">
        <v>2156</v>
      </c>
      <c r="B2185">
        <v>0.17135514757327006</v>
      </c>
    </row>
    <row r="2186" spans="1:2" x14ac:dyDescent="0.25">
      <c r="A2186">
        <v>2157</v>
      </c>
      <c r="B2186">
        <v>0.46181182027397261</v>
      </c>
    </row>
    <row r="2187" spans="1:2" x14ac:dyDescent="0.25">
      <c r="A2187">
        <v>2158</v>
      </c>
      <c r="B2187">
        <v>0.19661408999817667</v>
      </c>
    </row>
    <row r="2188" spans="1:2" x14ac:dyDescent="0.25">
      <c r="A2188">
        <v>2159</v>
      </c>
      <c r="B2188">
        <v>0.35548795413351425</v>
      </c>
    </row>
    <row r="2189" spans="1:2" x14ac:dyDescent="0.25">
      <c r="A2189">
        <v>2160</v>
      </c>
      <c r="B2189">
        <v>0.10859569565612841</v>
      </c>
    </row>
    <row r="2190" spans="1:2" x14ac:dyDescent="0.25">
      <c r="A2190">
        <v>2161</v>
      </c>
      <c r="B2190">
        <v>8.8088896191031399E-2</v>
      </c>
    </row>
    <row r="2191" spans="1:2" x14ac:dyDescent="0.25">
      <c r="A2191">
        <v>2162</v>
      </c>
      <c r="B2191">
        <v>0.19729166815803201</v>
      </c>
    </row>
    <row r="2192" spans="1:2" x14ac:dyDescent="0.25">
      <c r="A2192">
        <v>2163</v>
      </c>
      <c r="B2192">
        <v>0.1584962326134107</v>
      </c>
    </row>
    <row r="2193" spans="1:2" x14ac:dyDescent="0.25">
      <c r="A2193">
        <v>2164</v>
      </c>
      <c r="B2193">
        <v>7.248048370717057E-2</v>
      </c>
    </row>
    <row r="2194" spans="1:2" x14ac:dyDescent="0.25">
      <c r="A2194">
        <v>2165</v>
      </c>
      <c r="B2194">
        <v>0.12902614220344194</v>
      </c>
    </row>
    <row r="2195" spans="1:2" x14ac:dyDescent="0.25">
      <c r="A2195">
        <v>2166</v>
      </c>
      <c r="B2195">
        <v>0.10512772220950685</v>
      </c>
    </row>
    <row r="2196" spans="1:2" x14ac:dyDescent="0.25">
      <c r="A2196">
        <v>2167</v>
      </c>
      <c r="B2196">
        <v>0.39660863504285315</v>
      </c>
    </row>
    <row r="2197" spans="1:2" x14ac:dyDescent="0.25">
      <c r="A2197">
        <v>2168</v>
      </c>
      <c r="B2197">
        <v>0.2520685137066066</v>
      </c>
    </row>
    <row r="2198" spans="1:2" x14ac:dyDescent="0.25">
      <c r="A2198">
        <v>2169</v>
      </c>
      <c r="B2198">
        <v>0.26813600224079892</v>
      </c>
    </row>
    <row r="2199" spans="1:2" x14ac:dyDescent="0.25">
      <c r="A2199">
        <v>2170</v>
      </c>
      <c r="B2199">
        <v>0.24567276924261203</v>
      </c>
    </row>
    <row r="2200" spans="1:2" x14ac:dyDescent="0.25">
      <c r="A2200">
        <v>2171</v>
      </c>
      <c r="B2200">
        <v>8.1006985680119645E-2</v>
      </c>
    </row>
    <row r="2201" spans="1:2" x14ac:dyDescent="0.25">
      <c r="A2201">
        <v>2172</v>
      </c>
      <c r="B2201">
        <v>0.35123176675978951</v>
      </c>
    </row>
    <row r="2202" spans="1:2" x14ac:dyDescent="0.25">
      <c r="A2202">
        <v>2173</v>
      </c>
      <c r="B2202">
        <v>7.9569987235212331E-2</v>
      </c>
    </row>
    <row r="2203" spans="1:2" x14ac:dyDescent="0.25">
      <c r="A2203">
        <v>2174</v>
      </c>
      <c r="B2203">
        <v>0.2291752735896882</v>
      </c>
    </row>
    <row r="2204" spans="1:2" x14ac:dyDescent="0.25">
      <c r="A2204">
        <v>2175</v>
      </c>
      <c r="B2204">
        <v>0.32912883274120636</v>
      </c>
    </row>
    <row r="2205" spans="1:2" x14ac:dyDescent="0.25">
      <c r="A2205">
        <v>2176</v>
      </c>
      <c r="B2205">
        <v>0.14789372614115456</v>
      </c>
    </row>
    <row r="2206" spans="1:2" x14ac:dyDescent="0.25">
      <c r="A2206">
        <v>2177</v>
      </c>
      <c r="B2206">
        <v>0.34938214306204063</v>
      </c>
    </row>
    <row r="2207" spans="1:2" x14ac:dyDescent="0.25">
      <c r="A2207">
        <v>2178</v>
      </c>
      <c r="B2207">
        <v>0.14971100510213006</v>
      </c>
    </row>
    <row r="2208" spans="1:2" x14ac:dyDescent="0.25">
      <c r="A2208">
        <v>2179</v>
      </c>
      <c r="B2208">
        <v>0.19156235285135687</v>
      </c>
    </row>
    <row r="2209" spans="1:2" x14ac:dyDescent="0.25">
      <c r="A2209">
        <v>2180</v>
      </c>
      <c r="B2209">
        <v>0.30483642902412339</v>
      </c>
    </row>
    <row r="2210" spans="1:2" x14ac:dyDescent="0.25">
      <c r="A2210">
        <v>2181</v>
      </c>
      <c r="B2210">
        <v>0.13124326934355515</v>
      </c>
    </row>
    <row r="2211" spans="1:2" x14ac:dyDescent="0.25">
      <c r="A2211">
        <v>2182</v>
      </c>
      <c r="B2211">
        <v>0.21002517159301007</v>
      </c>
    </row>
    <row r="2212" spans="1:2" x14ac:dyDescent="0.25">
      <c r="A2212">
        <v>2183</v>
      </c>
      <c r="B2212">
        <v>1.3181890657965887</v>
      </c>
    </row>
    <row r="2213" spans="1:2" x14ac:dyDescent="0.25">
      <c r="A2213">
        <v>2184</v>
      </c>
      <c r="B2213">
        <v>0.15722509197453519</v>
      </c>
    </row>
    <row r="2214" spans="1:2" x14ac:dyDescent="0.25">
      <c r="A2214">
        <v>2185</v>
      </c>
      <c r="B2214">
        <v>0.1185305918515933</v>
      </c>
    </row>
    <row r="2215" spans="1:2" x14ac:dyDescent="0.25">
      <c r="A2215">
        <v>2186</v>
      </c>
      <c r="B2215">
        <v>0.22041795081259991</v>
      </c>
    </row>
    <row r="2216" spans="1:2" x14ac:dyDescent="0.25">
      <c r="A2216">
        <v>2187</v>
      </c>
      <c r="B2216">
        <v>0.38227646226428735</v>
      </c>
    </row>
    <row r="2217" spans="1:2" x14ac:dyDescent="0.25">
      <c r="A2217">
        <v>2188</v>
      </c>
      <c r="B2217">
        <v>0.49752150133269196</v>
      </c>
    </row>
    <row r="2218" spans="1:2" x14ac:dyDescent="0.25">
      <c r="A2218">
        <v>2189</v>
      </c>
      <c r="B2218">
        <v>0.21093674353998718</v>
      </c>
    </row>
    <row r="2219" spans="1:2" x14ac:dyDescent="0.25">
      <c r="A2219">
        <v>2190</v>
      </c>
      <c r="B2219">
        <v>0.1530212550932305</v>
      </c>
    </row>
    <row r="2220" spans="1:2" x14ac:dyDescent="0.25">
      <c r="A2220">
        <v>2191</v>
      </c>
      <c r="B2220">
        <v>0.11515042048239764</v>
      </c>
    </row>
    <row r="2221" spans="1:2" x14ac:dyDescent="0.25">
      <c r="A2221">
        <v>2192</v>
      </c>
      <c r="B2221">
        <v>5.0742660020247486E-2</v>
      </c>
    </row>
    <row r="2222" spans="1:2" x14ac:dyDescent="0.25">
      <c r="A2222">
        <v>2193</v>
      </c>
      <c r="B2222">
        <v>0.61687288958648856</v>
      </c>
    </row>
    <row r="2223" spans="1:2" x14ac:dyDescent="0.25">
      <c r="A2223">
        <v>2194</v>
      </c>
      <c r="B2223">
        <v>0.11427441113538685</v>
      </c>
    </row>
    <row r="2224" spans="1:2" x14ac:dyDescent="0.25">
      <c r="A2224">
        <v>2195</v>
      </c>
      <c r="B2224">
        <v>0.18589495828550004</v>
      </c>
    </row>
    <row r="2225" spans="1:2" x14ac:dyDescent="0.25">
      <c r="A2225">
        <v>2196</v>
      </c>
      <c r="B2225">
        <v>0.29237708125605127</v>
      </c>
    </row>
    <row r="2226" spans="1:2" x14ac:dyDescent="0.25">
      <c r="A2226">
        <v>2197</v>
      </c>
      <c r="B2226">
        <v>0.14744651681052448</v>
      </c>
    </row>
    <row r="2227" spans="1:2" x14ac:dyDescent="0.25">
      <c r="A2227">
        <v>2198</v>
      </c>
      <c r="B2227">
        <v>0.13197214889113287</v>
      </c>
    </row>
    <row r="2228" spans="1:2" x14ac:dyDescent="0.25">
      <c r="A2228">
        <v>2199</v>
      </c>
      <c r="B2228">
        <v>0.44076892463809342</v>
      </c>
    </row>
    <row r="2229" spans="1:2" x14ac:dyDescent="0.25">
      <c r="A2229">
        <v>2200</v>
      </c>
      <c r="B2229">
        <v>0.16167570619106547</v>
      </c>
    </row>
    <row r="2230" spans="1:2" x14ac:dyDescent="0.25">
      <c r="A2230">
        <v>2201</v>
      </c>
      <c r="B2230">
        <v>0.19395166929240867</v>
      </c>
    </row>
    <row r="2231" spans="1:2" x14ac:dyDescent="0.25">
      <c r="A2231">
        <v>2202</v>
      </c>
      <c r="B2231">
        <v>0.11730320652278839</v>
      </c>
    </row>
    <row r="2232" spans="1:2" x14ac:dyDescent="0.25">
      <c r="A2232">
        <v>2203</v>
      </c>
      <c r="B2232">
        <v>0.10560840495267394</v>
      </c>
    </row>
    <row r="2233" spans="1:2" x14ac:dyDescent="0.25">
      <c r="A2233">
        <v>2204</v>
      </c>
      <c r="B2233">
        <v>0.31833708620132728</v>
      </c>
    </row>
    <row r="2234" spans="1:2" x14ac:dyDescent="0.25">
      <c r="A2234">
        <v>2205</v>
      </c>
      <c r="B2234">
        <v>8.9407977908749145E-2</v>
      </c>
    </row>
    <row r="2235" spans="1:2" x14ac:dyDescent="0.25">
      <c r="A2235">
        <v>2206</v>
      </c>
      <c r="B2235">
        <v>0.1493080344029484</v>
      </c>
    </row>
    <row r="2236" spans="1:2" x14ac:dyDescent="0.25">
      <c r="A2236">
        <v>2207</v>
      </c>
      <c r="B2236">
        <v>0.27372007533921056</v>
      </c>
    </row>
    <row r="2237" spans="1:2" x14ac:dyDescent="0.25">
      <c r="A2237">
        <v>2208</v>
      </c>
      <c r="B2237">
        <v>0.2472277307129698</v>
      </c>
    </row>
    <row r="2238" spans="1:2" x14ac:dyDescent="0.25">
      <c r="A2238">
        <v>2209</v>
      </c>
      <c r="B2238">
        <v>0.13370507049419555</v>
      </c>
    </row>
    <row r="2239" spans="1:2" x14ac:dyDescent="0.25">
      <c r="A2239">
        <v>2210</v>
      </c>
      <c r="B2239">
        <v>3.5702067067516038E-2</v>
      </c>
    </row>
    <row r="2240" spans="1:2" x14ac:dyDescent="0.25">
      <c r="A2240">
        <v>2211</v>
      </c>
      <c r="B2240">
        <v>0.14035465871887542</v>
      </c>
    </row>
    <row r="2241" spans="1:2" x14ac:dyDescent="0.25">
      <c r="A2241">
        <v>2212</v>
      </c>
      <c r="B2241">
        <v>0.18209645675577119</v>
      </c>
    </row>
    <row r="2242" spans="1:2" x14ac:dyDescent="0.25">
      <c r="A2242">
        <v>2213</v>
      </c>
      <c r="B2242">
        <v>0.33252512315319072</v>
      </c>
    </row>
    <row r="2243" spans="1:2" x14ac:dyDescent="0.25">
      <c r="A2243">
        <v>2214</v>
      </c>
      <c r="B2243">
        <v>0.34524672167572268</v>
      </c>
    </row>
    <row r="2244" spans="1:2" x14ac:dyDescent="0.25">
      <c r="A2244">
        <v>2215</v>
      </c>
      <c r="B2244">
        <v>0.28751217769998422</v>
      </c>
    </row>
    <row r="2245" spans="1:2" x14ac:dyDescent="0.25">
      <c r="A2245">
        <v>2216</v>
      </c>
      <c r="B2245">
        <v>0.65408931390570868</v>
      </c>
    </row>
    <row r="2246" spans="1:2" x14ac:dyDescent="0.25">
      <c r="A2246">
        <v>2217</v>
      </c>
      <c r="B2246">
        <v>7.6803733665411544E-2</v>
      </c>
    </row>
    <row r="2247" spans="1:2" x14ac:dyDescent="0.25">
      <c r="A2247">
        <v>2218</v>
      </c>
      <c r="B2247">
        <v>0.36831643865382951</v>
      </c>
    </row>
    <row r="2248" spans="1:2" x14ac:dyDescent="0.25">
      <c r="A2248">
        <v>2219</v>
      </c>
      <c r="B2248">
        <v>0.20220473084119336</v>
      </c>
    </row>
    <row r="2249" spans="1:2" x14ac:dyDescent="0.25">
      <c r="A2249">
        <v>2220</v>
      </c>
      <c r="B2249">
        <v>0.1576339147305803</v>
      </c>
    </row>
    <row r="2250" spans="1:2" x14ac:dyDescent="0.25">
      <c r="A2250">
        <v>2221</v>
      </c>
      <c r="B2250">
        <v>0.26169740484689663</v>
      </c>
    </row>
    <row r="2251" spans="1:2" x14ac:dyDescent="0.25">
      <c r="A2251">
        <v>2222</v>
      </c>
      <c r="B2251">
        <v>0.15728401407149756</v>
      </c>
    </row>
    <row r="2252" spans="1:2" x14ac:dyDescent="0.25">
      <c r="A2252">
        <v>2223</v>
      </c>
      <c r="B2252">
        <v>0.16381040383666251</v>
      </c>
    </row>
    <row r="2253" spans="1:2" x14ac:dyDescent="0.25">
      <c r="A2253">
        <v>2224</v>
      </c>
      <c r="B2253">
        <v>0.18081611923295307</v>
      </c>
    </row>
    <row r="2254" spans="1:2" x14ac:dyDescent="0.25">
      <c r="A2254">
        <v>2225</v>
      </c>
      <c r="B2254">
        <v>7.4375025215064686E-2</v>
      </c>
    </row>
    <row r="2255" spans="1:2" x14ac:dyDescent="0.25">
      <c r="A2255">
        <v>2226</v>
      </c>
      <c r="B2255">
        <v>9.1515797131174345E-2</v>
      </c>
    </row>
    <row r="2256" spans="1:2" x14ac:dyDescent="0.25">
      <c r="A2256">
        <v>2227</v>
      </c>
      <c r="B2256">
        <v>0.23438688463079496</v>
      </c>
    </row>
    <row r="2257" spans="1:2" x14ac:dyDescent="0.25">
      <c r="A2257">
        <v>2228</v>
      </c>
      <c r="B2257">
        <v>0.11864546112668174</v>
      </c>
    </row>
    <row r="2258" spans="1:2" x14ac:dyDescent="0.25">
      <c r="A2258">
        <v>2229</v>
      </c>
      <c r="B2258">
        <v>0.17409459597146992</v>
      </c>
    </row>
    <row r="2259" spans="1:2" x14ac:dyDescent="0.25">
      <c r="A2259">
        <v>2230</v>
      </c>
      <c r="B2259">
        <v>8.5525960875151991E-2</v>
      </c>
    </row>
    <row r="2260" spans="1:2" x14ac:dyDescent="0.25">
      <c r="A2260">
        <v>2231</v>
      </c>
      <c r="B2260">
        <v>0.21876160434694317</v>
      </c>
    </row>
    <row r="2261" spans="1:2" x14ac:dyDescent="0.25">
      <c r="A2261">
        <v>2232</v>
      </c>
      <c r="B2261">
        <v>0.35219216393450709</v>
      </c>
    </row>
    <row r="2262" spans="1:2" x14ac:dyDescent="0.25">
      <c r="A2262">
        <v>2233</v>
      </c>
      <c r="B2262">
        <v>0.29894430113360221</v>
      </c>
    </row>
    <row r="2263" spans="1:2" x14ac:dyDescent="0.25">
      <c r="A2263">
        <v>2234</v>
      </c>
      <c r="B2263">
        <v>0.2198381000031564</v>
      </c>
    </row>
    <row r="2264" spans="1:2" x14ac:dyDescent="0.25">
      <c r="A2264">
        <v>2235</v>
      </c>
      <c r="B2264">
        <v>0.13180957892161879</v>
      </c>
    </row>
    <row r="2265" spans="1:2" x14ac:dyDescent="0.25">
      <c r="A2265">
        <v>2236</v>
      </c>
      <c r="B2265">
        <v>0.30371789195662652</v>
      </c>
    </row>
    <row r="2266" spans="1:2" x14ac:dyDescent="0.25">
      <c r="A2266">
        <v>2237</v>
      </c>
      <c r="B2266">
        <v>0.12121075109968037</v>
      </c>
    </row>
    <row r="2267" spans="1:2" x14ac:dyDescent="0.25">
      <c r="A2267">
        <v>2238</v>
      </c>
      <c r="B2267">
        <v>0.13591603310899744</v>
      </c>
    </row>
    <row r="2268" spans="1:2" x14ac:dyDescent="0.25">
      <c r="A2268">
        <v>2239</v>
      </c>
      <c r="B2268">
        <v>0.23699295210892227</v>
      </c>
    </row>
    <row r="2269" spans="1:2" x14ac:dyDescent="0.25">
      <c r="A2269">
        <v>2240</v>
      </c>
      <c r="B2269">
        <v>0.14382308837619145</v>
      </c>
    </row>
    <row r="2270" spans="1:2" x14ac:dyDescent="0.25">
      <c r="A2270">
        <v>2241</v>
      </c>
      <c r="B2270">
        <v>0.40252638681785652</v>
      </c>
    </row>
    <row r="2271" spans="1:2" x14ac:dyDescent="0.25">
      <c r="A2271">
        <v>2242</v>
      </c>
      <c r="B2271">
        <v>0.31423332521147318</v>
      </c>
    </row>
    <row r="2272" spans="1:2" x14ac:dyDescent="0.25">
      <c r="A2272">
        <v>2243</v>
      </c>
      <c r="B2272">
        <v>0.16564522390852698</v>
      </c>
    </row>
    <row r="2273" spans="1:2" x14ac:dyDescent="0.25">
      <c r="A2273">
        <v>2244</v>
      </c>
      <c r="B2273">
        <v>0.3087320240245503</v>
      </c>
    </row>
    <row r="2274" spans="1:2" x14ac:dyDescent="0.25">
      <c r="A2274">
        <v>2245</v>
      </c>
      <c r="B2274">
        <v>8.9555905901299734E-2</v>
      </c>
    </row>
    <row r="2275" spans="1:2" x14ac:dyDescent="0.25">
      <c r="A2275">
        <v>2246</v>
      </c>
      <c r="B2275">
        <v>0.129830016970886</v>
      </c>
    </row>
    <row r="2276" spans="1:2" x14ac:dyDescent="0.25">
      <c r="A2276">
        <v>2247</v>
      </c>
      <c r="B2276">
        <v>0.28980484068975354</v>
      </c>
    </row>
    <row r="2277" spans="1:2" x14ac:dyDescent="0.25">
      <c r="A2277">
        <v>2248</v>
      </c>
      <c r="B2277">
        <v>0.28330253471436667</v>
      </c>
    </row>
    <row r="2278" spans="1:2" x14ac:dyDescent="0.25">
      <c r="A2278">
        <v>2249</v>
      </c>
      <c r="B2278">
        <v>8.3240798824279011E-2</v>
      </c>
    </row>
    <row r="2279" spans="1:2" x14ac:dyDescent="0.25">
      <c r="A2279">
        <v>2250</v>
      </c>
      <c r="B2279">
        <v>0.11059924721722877</v>
      </c>
    </row>
    <row r="2280" spans="1:2" x14ac:dyDescent="0.25">
      <c r="A2280">
        <v>2251</v>
      </c>
      <c r="B2280">
        <v>0.16751003685827351</v>
      </c>
    </row>
    <row r="2281" spans="1:2" x14ac:dyDescent="0.25">
      <c r="A2281">
        <v>2252</v>
      </c>
      <c r="B2281">
        <v>0.13313127881993236</v>
      </c>
    </row>
    <row r="2282" spans="1:2" x14ac:dyDescent="0.25">
      <c r="A2282">
        <v>2253</v>
      </c>
      <c r="B2282">
        <v>0.33451876806914466</v>
      </c>
    </row>
    <row r="2283" spans="1:2" x14ac:dyDescent="0.25">
      <c r="A2283">
        <v>2254</v>
      </c>
      <c r="B2283">
        <v>8.2781859906407476E-2</v>
      </c>
    </row>
    <row r="2284" spans="1:2" x14ac:dyDescent="0.25">
      <c r="A2284">
        <v>2255</v>
      </c>
      <c r="B2284">
        <v>0.17036045338541755</v>
      </c>
    </row>
    <row r="2285" spans="1:2" x14ac:dyDescent="0.25">
      <c r="A2285">
        <v>2256</v>
      </c>
      <c r="B2285">
        <v>1.0582568975764798E-2</v>
      </c>
    </row>
    <row r="2286" spans="1:2" x14ac:dyDescent="0.25">
      <c r="A2286">
        <v>2257</v>
      </c>
      <c r="B2286">
        <v>9.8506164700973037E-2</v>
      </c>
    </row>
    <row r="2287" spans="1:2" x14ac:dyDescent="0.25">
      <c r="A2287">
        <v>2258</v>
      </c>
      <c r="B2287">
        <v>0.21698528757760854</v>
      </c>
    </row>
    <row r="2288" spans="1:2" x14ac:dyDescent="0.25">
      <c r="A2288">
        <v>2259</v>
      </c>
      <c r="B2288">
        <v>0.26768501977426923</v>
      </c>
    </row>
    <row r="2289" spans="1:2" x14ac:dyDescent="0.25">
      <c r="A2289">
        <v>2260</v>
      </c>
      <c r="B2289">
        <v>0.22290772718256502</v>
      </c>
    </row>
    <row r="2290" spans="1:2" x14ac:dyDescent="0.25">
      <c r="A2290">
        <v>2261</v>
      </c>
      <c r="B2290">
        <v>0.28628637157104153</v>
      </c>
    </row>
    <row r="2291" spans="1:2" x14ac:dyDescent="0.25">
      <c r="A2291">
        <v>2262</v>
      </c>
      <c r="B2291">
        <v>0.18430628956452125</v>
      </c>
    </row>
    <row r="2292" spans="1:2" x14ac:dyDescent="0.25">
      <c r="A2292">
        <v>2263</v>
      </c>
      <c r="B2292">
        <v>0.26246134019365358</v>
      </c>
    </row>
    <row r="2293" spans="1:2" x14ac:dyDescent="0.25">
      <c r="A2293">
        <v>2264</v>
      </c>
      <c r="B2293">
        <v>0.707093898271687</v>
      </c>
    </row>
    <row r="2294" spans="1:2" x14ac:dyDescent="0.25">
      <c r="A2294">
        <v>2265</v>
      </c>
      <c r="B2294">
        <v>9.664976652679548E-2</v>
      </c>
    </row>
    <row r="2295" spans="1:2" x14ac:dyDescent="0.25">
      <c r="A2295">
        <v>2266</v>
      </c>
      <c r="B2295">
        <v>0.19207587240599724</v>
      </c>
    </row>
    <row r="2296" spans="1:2" x14ac:dyDescent="0.25">
      <c r="A2296">
        <v>2267</v>
      </c>
      <c r="B2296">
        <v>0.23132591525042259</v>
      </c>
    </row>
    <row r="2297" spans="1:2" x14ac:dyDescent="0.25">
      <c r="A2297">
        <v>2268</v>
      </c>
      <c r="B2297">
        <v>0.17219863151641071</v>
      </c>
    </row>
    <row r="2298" spans="1:2" x14ac:dyDescent="0.25">
      <c r="A2298">
        <v>2269</v>
      </c>
      <c r="B2298">
        <v>0.12529349490291702</v>
      </c>
    </row>
    <row r="2299" spans="1:2" x14ac:dyDescent="0.25">
      <c r="A2299">
        <v>2270</v>
      </c>
      <c r="B2299">
        <v>0.3001820124368198</v>
      </c>
    </row>
    <row r="2300" spans="1:2" x14ac:dyDescent="0.25">
      <c r="A2300">
        <v>2271</v>
      </c>
      <c r="B2300">
        <v>2.9390810757880144E-2</v>
      </c>
    </row>
    <row r="2301" spans="1:2" x14ac:dyDescent="0.25">
      <c r="A2301">
        <v>2272</v>
      </c>
      <c r="B2301">
        <v>0.16615009685554791</v>
      </c>
    </row>
    <row r="2302" spans="1:2" x14ac:dyDescent="0.25">
      <c r="A2302">
        <v>2273</v>
      </c>
      <c r="B2302">
        <v>0.44717079726254277</v>
      </c>
    </row>
    <row r="2303" spans="1:2" x14ac:dyDescent="0.25">
      <c r="A2303">
        <v>2274</v>
      </c>
      <c r="B2303">
        <v>0.13538628275798245</v>
      </c>
    </row>
    <row r="2304" spans="1:2" x14ac:dyDescent="0.25">
      <c r="A2304">
        <v>2275</v>
      </c>
      <c r="B2304">
        <v>7.7112174969830791E-2</v>
      </c>
    </row>
    <row r="2305" spans="1:2" x14ac:dyDescent="0.25">
      <c r="A2305">
        <v>2276</v>
      </c>
      <c r="B2305">
        <v>0.32654300142149068</v>
      </c>
    </row>
    <row r="2306" spans="1:2" x14ac:dyDescent="0.25">
      <c r="A2306">
        <v>2277</v>
      </c>
      <c r="B2306">
        <v>0.2141554160137889</v>
      </c>
    </row>
    <row r="2307" spans="1:2" x14ac:dyDescent="0.25">
      <c r="A2307">
        <v>2278</v>
      </c>
      <c r="B2307">
        <v>6.702636076650427E-2</v>
      </c>
    </row>
    <row r="2308" spans="1:2" x14ac:dyDescent="0.25">
      <c r="A2308">
        <v>2279</v>
      </c>
      <c r="B2308">
        <v>3.364283135231292E-2</v>
      </c>
    </row>
    <row r="2309" spans="1:2" x14ac:dyDescent="0.25">
      <c r="A2309">
        <v>2280</v>
      </c>
      <c r="B2309">
        <v>9.4293667190380334E-2</v>
      </c>
    </row>
    <row r="2310" spans="1:2" x14ac:dyDescent="0.25">
      <c r="A2310">
        <v>2281</v>
      </c>
      <c r="B2310">
        <v>0.10699584212889117</v>
      </c>
    </row>
    <row r="2311" spans="1:2" x14ac:dyDescent="0.25">
      <c r="A2311">
        <v>2282</v>
      </c>
      <c r="B2311">
        <v>0.21015983351881917</v>
      </c>
    </row>
    <row r="2312" spans="1:2" x14ac:dyDescent="0.25">
      <c r="A2312">
        <v>2283</v>
      </c>
      <c r="B2312">
        <v>0.39024858349656333</v>
      </c>
    </row>
    <row r="2313" spans="1:2" x14ac:dyDescent="0.25">
      <c r="A2313">
        <v>2284</v>
      </c>
      <c r="B2313">
        <v>0.15130567988428101</v>
      </c>
    </row>
    <row r="2314" spans="1:2" x14ac:dyDescent="0.25">
      <c r="A2314">
        <v>2285</v>
      </c>
      <c r="B2314">
        <v>0.21480007707346241</v>
      </c>
    </row>
    <row r="2315" spans="1:2" x14ac:dyDescent="0.25">
      <c r="A2315">
        <v>2286</v>
      </c>
      <c r="B2315">
        <v>4.5565148233109296E-2</v>
      </c>
    </row>
    <row r="2316" spans="1:2" x14ac:dyDescent="0.25">
      <c r="A2316">
        <v>2287</v>
      </c>
      <c r="B2316">
        <v>0.13660607020224086</v>
      </c>
    </row>
    <row r="2317" spans="1:2" x14ac:dyDescent="0.25">
      <c r="A2317">
        <v>2288</v>
      </c>
      <c r="B2317">
        <v>0.27161116535796276</v>
      </c>
    </row>
    <row r="2318" spans="1:2" x14ac:dyDescent="0.25">
      <c r="A2318">
        <v>2289</v>
      </c>
      <c r="B2318">
        <v>2.955386046674565E-2</v>
      </c>
    </row>
    <row r="2319" spans="1:2" x14ac:dyDescent="0.25">
      <c r="A2319">
        <v>2290</v>
      </c>
      <c r="B2319">
        <v>4.6608745949852155E-2</v>
      </c>
    </row>
    <row r="2320" spans="1:2" x14ac:dyDescent="0.25">
      <c r="A2320">
        <v>2291</v>
      </c>
      <c r="B2320">
        <v>0.10602393396268155</v>
      </c>
    </row>
    <row r="2321" spans="1:2" x14ac:dyDescent="0.25">
      <c r="A2321">
        <v>2292</v>
      </c>
      <c r="B2321">
        <v>0.18490509424674906</v>
      </c>
    </row>
    <row r="2322" spans="1:2" x14ac:dyDescent="0.25">
      <c r="A2322">
        <v>2293</v>
      </c>
      <c r="B2322">
        <v>0.11936501854701757</v>
      </c>
    </row>
    <row r="2323" spans="1:2" x14ac:dyDescent="0.25">
      <c r="A2323">
        <v>2294</v>
      </c>
      <c r="B2323">
        <v>0.43703676028065613</v>
      </c>
    </row>
    <row r="2324" spans="1:2" x14ac:dyDescent="0.25">
      <c r="A2324">
        <v>2295</v>
      </c>
      <c r="B2324">
        <v>0.16579280981457906</v>
      </c>
    </row>
    <row r="2325" spans="1:2" x14ac:dyDescent="0.25">
      <c r="A2325">
        <v>2296</v>
      </c>
      <c r="B2325">
        <v>0.16200375811596038</v>
      </c>
    </row>
    <row r="2326" spans="1:2" x14ac:dyDescent="0.25">
      <c r="A2326">
        <v>2297</v>
      </c>
      <c r="B2326">
        <v>0.13263264664388444</v>
      </c>
    </row>
    <row r="2327" spans="1:2" x14ac:dyDescent="0.25">
      <c r="A2327">
        <v>2298</v>
      </c>
      <c r="B2327">
        <v>0.39690878047687117</v>
      </c>
    </row>
    <row r="2328" spans="1:2" x14ac:dyDescent="0.25">
      <c r="A2328">
        <v>2299</v>
      </c>
      <c r="B2328">
        <v>0.3615416291143953</v>
      </c>
    </row>
    <row r="2329" spans="1:2" x14ac:dyDescent="0.25">
      <c r="A2329">
        <v>2300</v>
      </c>
      <c r="B2329">
        <v>0.50928643726817258</v>
      </c>
    </row>
    <row r="2330" spans="1:2" x14ac:dyDescent="0.25">
      <c r="A2330">
        <v>2301</v>
      </c>
      <c r="B2330">
        <v>0.26379585980773651</v>
      </c>
    </row>
    <row r="2331" spans="1:2" x14ac:dyDescent="0.25">
      <c r="A2331">
        <v>2302</v>
      </c>
      <c r="B2331">
        <v>0.12243094413769691</v>
      </c>
    </row>
    <row r="2332" spans="1:2" x14ac:dyDescent="0.25">
      <c r="A2332">
        <v>2303</v>
      </c>
      <c r="B2332">
        <v>9.1011686124547519E-2</v>
      </c>
    </row>
    <row r="2333" spans="1:2" x14ac:dyDescent="0.25">
      <c r="A2333">
        <v>2304</v>
      </c>
      <c r="B2333">
        <v>0.28089524437126506</v>
      </c>
    </row>
    <row r="2334" spans="1:2" x14ac:dyDescent="0.25">
      <c r="A2334">
        <v>2305</v>
      </c>
      <c r="B2334">
        <v>0.17498154271234423</v>
      </c>
    </row>
    <row r="2335" spans="1:2" x14ac:dyDescent="0.25">
      <c r="A2335">
        <v>2306</v>
      </c>
      <c r="B2335">
        <v>0.10353856414901653</v>
      </c>
    </row>
    <row r="2336" spans="1:2" x14ac:dyDescent="0.25">
      <c r="A2336">
        <v>2307</v>
      </c>
      <c r="B2336">
        <v>0.11196358009393866</v>
      </c>
    </row>
    <row r="2337" spans="1:2" x14ac:dyDescent="0.25">
      <c r="A2337">
        <v>2308</v>
      </c>
      <c r="B2337">
        <v>4.4591448417234308E-2</v>
      </c>
    </row>
    <row r="2338" spans="1:2" x14ac:dyDescent="0.25">
      <c r="A2338">
        <v>2309</v>
      </c>
      <c r="B2338">
        <v>0.39164334353934072</v>
      </c>
    </row>
    <row r="2339" spans="1:2" x14ac:dyDescent="0.25">
      <c r="A2339">
        <v>2310</v>
      </c>
      <c r="B2339">
        <v>7.9243008713468926E-2</v>
      </c>
    </row>
    <row r="2340" spans="1:2" x14ac:dyDescent="0.25">
      <c r="A2340">
        <v>2311</v>
      </c>
      <c r="B2340">
        <v>0.12041136925542664</v>
      </c>
    </row>
    <row r="2341" spans="1:2" x14ac:dyDescent="0.25">
      <c r="A2341">
        <v>2312</v>
      </c>
      <c r="B2341">
        <v>0.13485875279836715</v>
      </c>
    </row>
    <row r="2342" spans="1:2" x14ac:dyDescent="0.25">
      <c r="A2342">
        <v>2313</v>
      </c>
      <c r="B2342">
        <v>0.2856051224994644</v>
      </c>
    </row>
    <row r="2343" spans="1:2" x14ac:dyDescent="0.25">
      <c r="A2343">
        <v>2314</v>
      </c>
      <c r="B2343">
        <v>0.60814424702483005</v>
      </c>
    </row>
    <row r="2344" spans="1:2" x14ac:dyDescent="0.25">
      <c r="A2344">
        <v>2315</v>
      </c>
      <c r="B2344">
        <v>0.19502722222755639</v>
      </c>
    </row>
    <row r="2345" spans="1:2" x14ac:dyDescent="0.25">
      <c r="A2345">
        <v>2316</v>
      </c>
      <c r="B2345">
        <v>0.13210504872899326</v>
      </c>
    </row>
    <row r="2346" spans="1:2" x14ac:dyDescent="0.25">
      <c r="A2346">
        <v>2317</v>
      </c>
      <c r="B2346">
        <v>0.24022909423839142</v>
      </c>
    </row>
    <row r="2347" spans="1:2" x14ac:dyDescent="0.25">
      <c r="A2347">
        <v>2318</v>
      </c>
      <c r="B2347">
        <v>0.60541585200117654</v>
      </c>
    </row>
    <row r="2348" spans="1:2" x14ac:dyDescent="0.25">
      <c r="A2348">
        <v>2319</v>
      </c>
      <c r="B2348">
        <v>9.0406757187266429E-2</v>
      </c>
    </row>
    <row r="2349" spans="1:2" x14ac:dyDescent="0.25">
      <c r="A2349">
        <v>2320</v>
      </c>
      <c r="B2349">
        <v>0.27213870670191492</v>
      </c>
    </row>
    <row r="2350" spans="1:2" x14ac:dyDescent="0.25">
      <c r="A2350">
        <v>2321</v>
      </c>
      <c r="B2350">
        <v>0.2370680411406835</v>
      </c>
    </row>
    <row r="2351" spans="1:2" x14ac:dyDescent="0.25">
      <c r="A2351">
        <v>2322</v>
      </c>
      <c r="B2351">
        <v>0.31233299598377262</v>
      </c>
    </row>
    <row r="2352" spans="1:2" x14ac:dyDescent="0.25">
      <c r="A2352">
        <v>2323</v>
      </c>
      <c r="B2352">
        <v>0.18943072839283157</v>
      </c>
    </row>
    <row r="2353" spans="1:2" x14ac:dyDescent="0.25">
      <c r="A2353">
        <v>2324</v>
      </c>
      <c r="B2353">
        <v>0.25761784454823006</v>
      </c>
    </row>
    <row r="2354" spans="1:2" x14ac:dyDescent="0.25">
      <c r="A2354">
        <v>2325</v>
      </c>
      <c r="B2354">
        <v>0.56010416876849445</v>
      </c>
    </row>
    <row r="2355" spans="1:2" x14ac:dyDescent="0.25">
      <c r="A2355">
        <v>2326</v>
      </c>
      <c r="B2355">
        <v>0.12511231344652432</v>
      </c>
    </row>
    <row r="2356" spans="1:2" x14ac:dyDescent="0.25">
      <c r="A2356">
        <v>2327</v>
      </c>
      <c r="B2356">
        <v>0.1777537696066967</v>
      </c>
    </row>
    <row r="2357" spans="1:2" x14ac:dyDescent="0.25">
      <c r="A2357">
        <v>2328</v>
      </c>
      <c r="B2357">
        <v>0.65907119525119851</v>
      </c>
    </row>
    <row r="2358" spans="1:2" x14ac:dyDescent="0.25">
      <c r="A2358">
        <v>2329</v>
      </c>
      <c r="B2358">
        <v>0.34089930698845705</v>
      </c>
    </row>
    <row r="2359" spans="1:2" x14ac:dyDescent="0.25">
      <c r="A2359">
        <v>2330</v>
      </c>
      <c r="B2359">
        <v>0.29048875936302826</v>
      </c>
    </row>
    <row r="2360" spans="1:2" x14ac:dyDescent="0.25">
      <c r="A2360">
        <v>2331</v>
      </c>
      <c r="B2360">
        <v>0.3154485200452618</v>
      </c>
    </row>
    <row r="2361" spans="1:2" x14ac:dyDescent="0.25">
      <c r="A2361">
        <v>2332</v>
      </c>
      <c r="B2361">
        <v>0.21971518065440848</v>
      </c>
    </row>
    <row r="2362" spans="1:2" x14ac:dyDescent="0.25">
      <c r="A2362">
        <v>2333</v>
      </c>
      <c r="B2362">
        <v>0.185644867221509</v>
      </c>
    </row>
    <row r="2363" spans="1:2" x14ac:dyDescent="0.25">
      <c r="A2363">
        <v>2334</v>
      </c>
      <c r="B2363">
        <v>7.879734119491702E-2</v>
      </c>
    </row>
    <row r="2364" spans="1:2" x14ac:dyDescent="0.25">
      <c r="A2364">
        <v>2335</v>
      </c>
      <c r="B2364">
        <v>0.13192889784709919</v>
      </c>
    </row>
    <row r="2365" spans="1:2" x14ac:dyDescent="0.25">
      <c r="A2365">
        <v>2336</v>
      </c>
      <c r="B2365">
        <v>9.554847832491406E-2</v>
      </c>
    </row>
    <row r="2366" spans="1:2" x14ac:dyDescent="0.25">
      <c r="A2366">
        <v>2337</v>
      </c>
      <c r="B2366">
        <v>0.36836992228761023</v>
      </c>
    </row>
    <row r="2367" spans="1:2" x14ac:dyDescent="0.25">
      <c r="A2367">
        <v>2338</v>
      </c>
      <c r="B2367">
        <v>9.1215323222598274E-2</v>
      </c>
    </row>
    <row r="2368" spans="1:2" x14ac:dyDescent="0.25">
      <c r="A2368">
        <v>2339</v>
      </c>
      <c r="B2368">
        <v>6.7673661864823945E-2</v>
      </c>
    </row>
    <row r="2369" spans="1:2" x14ac:dyDescent="0.25">
      <c r="A2369">
        <v>2340</v>
      </c>
      <c r="B2369">
        <v>0.45138199257556899</v>
      </c>
    </row>
    <row r="2370" spans="1:2" x14ac:dyDescent="0.25">
      <c r="A2370">
        <v>2341</v>
      </c>
      <c r="B2370">
        <v>0.21033061542500581</v>
      </c>
    </row>
    <row r="2371" spans="1:2" x14ac:dyDescent="0.25">
      <c r="A2371">
        <v>2342</v>
      </c>
      <c r="B2371">
        <v>0.17472710916596695</v>
      </c>
    </row>
    <row r="2372" spans="1:2" x14ac:dyDescent="0.25">
      <c r="A2372">
        <v>2343</v>
      </c>
      <c r="B2372">
        <v>5.1753655989023248E-2</v>
      </c>
    </row>
    <row r="2373" spans="1:2" x14ac:dyDescent="0.25">
      <c r="A2373">
        <v>2344</v>
      </c>
      <c r="B2373">
        <v>0.17560871616147369</v>
      </c>
    </row>
    <row r="2374" spans="1:2" x14ac:dyDescent="0.25">
      <c r="A2374">
        <v>2345</v>
      </c>
      <c r="B2374">
        <v>3.2504403498303983E-2</v>
      </c>
    </row>
    <row r="2375" spans="1:2" x14ac:dyDescent="0.25">
      <c r="A2375">
        <v>2346</v>
      </c>
      <c r="B2375">
        <v>0.11693755500157174</v>
      </c>
    </row>
    <row r="2376" spans="1:2" x14ac:dyDescent="0.25">
      <c r="A2376">
        <v>2347</v>
      </c>
      <c r="B2376">
        <v>0.36923241974005189</v>
      </c>
    </row>
    <row r="2377" spans="1:2" x14ac:dyDescent="0.25">
      <c r="A2377">
        <v>2348</v>
      </c>
      <c r="B2377">
        <v>0.31645789499876653</v>
      </c>
    </row>
    <row r="2378" spans="1:2" x14ac:dyDescent="0.25">
      <c r="A2378">
        <v>2349</v>
      </c>
      <c r="B2378">
        <v>0.33940267776242683</v>
      </c>
    </row>
    <row r="2379" spans="1:2" x14ac:dyDescent="0.25">
      <c r="A2379">
        <v>2350</v>
      </c>
      <c r="B2379">
        <v>0.15995009944317301</v>
      </c>
    </row>
    <row r="2380" spans="1:2" x14ac:dyDescent="0.25">
      <c r="A2380">
        <v>2351</v>
      </c>
      <c r="B2380">
        <v>0.26910010375217597</v>
      </c>
    </row>
    <row r="2381" spans="1:2" x14ac:dyDescent="0.25">
      <c r="A2381">
        <v>2352</v>
      </c>
      <c r="B2381">
        <v>0.12076575003762628</v>
      </c>
    </row>
    <row r="2382" spans="1:2" x14ac:dyDescent="0.25">
      <c r="A2382">
        <v>2353</v>
      </c>
      <c r="B2382">
        <v>3.0141564024757407E-2</v>
      </c>
    </row>
    <row r="2383" spans="1:2" x14ac:dyDescent="0.25">
      <c r="A2383">
        <v>2354</v>
      </c>
      <c r="B2383">
        <v>8.8298008923690927E-2</v>
      </c>
    </row>
    <row r="2384" spans="1:2" x14ac:dyDescent="0.25">
      <c r="A2384">
        <v>2355</v>
      </c>
      <c r="B2384">
        <v>0.4045061020084631</v>
      </c>
    </row>
    <row r="2385" spans="1:2" x14ac:dyDescent="0.25">
      <c r="A2385">
        <v>2356</v>
      </c>
      <c r="B2385">
        <v>9.495908561467406E-2</v>
      </c>
    </row>
    <row r="2386" spans="1:2" x14ac:dyDescent="0.25">
      <c r="A2386">
        <v>2357</v>
      </c>
      <c r="B2386">
        <v>0.14292763659425814</v>
      </c>
    </row>
    <row r="2387" spans="1:2" x14ac:dyDescent="0.25">
      <c r="A2387">
        <v>2358</v>
      </c>
      <c r="B2387">
        <v>0.16810392904349819</v>
      </c>
    </row>
    <row r="2388" spans="1:2" x14ac:dyDescent="0.25">
      <c r="A2388">
        <v>2359</v>
      </c>
      <c r="B2388">
        <v>0.18232539382902288</v>
      </c>
    </row>
    <row r="2389" spans="1:2" x14ac:dyDescent="0.25">
      <c r="A2389">
        <v>2360</v>
      </c>
      <c r="B2389">
        <v>0.33671701509825441</v>
      </c>
    </row>
    <row r="2390" spans="1:2" x14ac:dyDescent="0.25">
      <c r="A2390">
        <v>2361</v>
      </c>
      <c r="B2390">
        <v>6.564020900426569E-2</v>
      </c>
    </row>
    <row r="2391" spans="1:2" x14ac:dyDescent="0.25">
      <c r="A2391">
        <v>2362</v>
      </c>
      <c r="B2391">
        <v>0.30950873719187916</v>
      </c>
    </row>
    <row r="2392" spans="1:2" x14ac:dyDescent="0.25">
      <c r="A2392">
        <v>2363</v>
      </c>
      <c r="B2392">
        <v>0.10903471257455637</v>
      </c>
    </row>
    <row r="2393" spans="1:2" x14ac:dyDescent="0.25">
      <c r="A2393">
        <v>2364</v>
      </c>
      <c r="B2393">
        <v>0.15672026159270702</v>
      </c>
    </row>
    <row r="2394" spans="1:2" x14ac:dyDescent="0.25">
      <c r="A2394">
        <v>2365</v>
      </c>
      <c r="B2394">
        <v>8.463226248654615E-2</v>
      </c>
    </row>
    <row r="2395" spans="1:2" x14ac:dyDescent="0.25">
      <c r="A2395">
        <v>2366</v>
      </c>
      <c r="B2395">
        <v>0.26602154174653331</v>
      </c>
    </row>
    <row r="2396" spans="1:2" x14ac:dyDescent="0.25">
      <c r="A2396">
        <v>2367</v>
      </c>
      <c r="B2396">
        <v>0.53512014959321286</v>
      </c>
    </row>
    <row r="2397" spans="1:2" x14ac:dyDescent="0.25">
      <c r="A2397">
        <v>2368</v>
      </c>
      <c r="B2397">
        <v>0.19158406601103886</v>
      </c>
    </row>
    <row r="2398" spans="1:2" x14ac:dyDescent="0.25">
      <c r="A2398">
        <v>2369</v>
      </c>
      <c r="B2398">
        <v>9.3407017150349214E-2</v>
      </c>
    </row>
    <row r="2399" spans="1:2" x14ac:dyDescent="0.25">
      <c r="A2399">
        <v>2370</v>
      </c>
      <c r="B2399">
        <v>0.29965161980728594</v>
      </c>
    </row>
    <row r="2400" spans="1:2" x14ac:dyDescent="0.25">
      <c r="A2400">
        <v>2371</v>
      </c>
      <c r="B2400">
        <v>0.14640620522916448</v>
      </c>
    </row>
    <row r="2401" spans="1:2" x14ac:dyDescent="0.25">
      <c r="A2401">
        <v>2372</v>
      </c>
      <c r="B2401">
        <v>0.57299075327175775</v>
      </c>
    </row>
    <row r="2402" spans="1:2" x14ac:dyDescent="0.25">
      <c r="A2402">
        <v>2373</v>
      </c>
      <c r="B2402">
        <v>0.14426241144086094</v>
      </c>
    </row>
    <row r="2403" spans="1:2" x14ac:dyDescent="0.25">
      <c r="A2403">
        <v>2374</v>
      </c>
      <c r="B2403">
        <v>0.11529173606708344</v>
      </c>
    </row>
    <row r="2404" spans="1:2" x14ac:dyDescent="0.25">
      <c r="A2404">
        <v>2375</v>
      </c>
      <c r="B2404">
        <v>0.31911120370457613</v>
      </c>
    </row>
    <row r="2405" spans="1:2" x14ac:dyDescent="0.25">
      <c r="A2405">
        <v>2376</v>
      </c>
      <c r="B2405">
        <v>0.21963839452481254</v>
      </c>
    </row>
    <row r="2406" spans="1:2" x14ac:dyDescent="0.25">
      <c r="A2406">
        <v>2377</v>
      </c>
      <c r="B2406">
        <v>0.10533726631606739</v>
      </c>
    </row>
    <row r="2407" spans="1:2" x14ac:dyDescent="0.25">
      <c r="A2407">
        <v>2378</v>
      </c>
      <c r="B2407">
        <v>0.12358979483674273</v>
      </c>
    </row>
    <row r="2408" spans="1:2" x14ac:dyDescent="0.25">
      <c r="A2408">
        <v>2379</v>
      </c>
      <c r="B2408">
        <v>0.10909533064461012</v>
      </c>
    </row>
    <row r="2409" spans="1:2" x14ac:dyDescent="0.25">
      <c r="A2409">
        <v>2380</v>
      </c>
      <c r="B2409">
        <v>0.13566671592086002</v>
      </c>
    </row>
    <row r="2410" spans="1:2" x14ac:dyDescent="0.25">
      <c r="A2410">
        <v>2381</v>
      </c>
      <c r="B2410">
        <v>0.23101137416104728</v>
      </c>
    </row>
    <row r="2411" spans="1:2" x14ac:dyDescent="0.25">
      <c r="A2411">
        <v>2382</v>
      </c>
      <c r="B2411">
        <v>9.5646264693934321E-2</v>
      </c>
    </row>
    <row r="2412" spans="1:2" x14ac:dyDescent="0.25">
      <c r="A2412">
        <v>2383</v>
      </c>
      <c r="B2412">
        <v>0.27962831964089369</v>
      </c>
    </row>
    <row r="2413" spans="1:2" x14ac:dyDescent="0.25">
      <c r="A2413">
        <v>2384</v>
      </c>
      <c r="B2413">
        <v>6.0269010131475613E-2</v>
      </c>
    </row>
    <row r="2414" spans="1:2" x14ac:dyDescent="0.25">
      <c r="A2414">
        <v>2385</v>
      </c>
      <c r="B2414">
        <v>7.5694546643709129E-2</v>
      </c>
    </row>
    <row r="2415" spans="1:2" x14ac:dyDescent="0.25">
      <c r="A2415">
        <v>2386</v>
      </c>
      <c r="B2415">
        <v>0.57734228023535672</v>
      </c>
    </row>
    <row r="2416" spans="1:2" x14ac:dyDescent="0.25">
      <c r="A2416">
        <v>2387</v>
      </c>
      <c r="B2416">
        <v>0.11667765453311847</v>
      </c>
    </row>
    <row r="2417" spans="1:2" x14ac:dyDescent="0.25">
      <c r="A2417">
        <v>2388</v>
      </c>
      <c r="B2417">
        <v>0.10645066608396563</v>
      </c>
    </row>
    <row r="2418" spans="1:2" x14ac:dyDescent="0.25">
      <c r="A2418">
        <v>2389</v>
      </c>
      <c r="B2418">
        <v>0.10681247488240089</v>
      </c>
    </row>
    <row r="2419" spans="1:2" x14ac:dyDescent="0.25">
      <c r="A2419">
        <v>2390</v>
      </c>
      <c r="B2419">
        <v>6.0635753666192262E-2</v>
      </c>
    </row>
    <row r="2420" spans="1:2" x14ac:dyDescent="0.25">
      <c r="A2420">
        <v>2391</v>
      </c>
      <c r="B2420">
        <v>0.10490800044070032</v>
      </c>
    </row>
    <row r="2421" spans="1:2" x14ac:dyDescent="0.25">
      <c r="A2421">
        <v>2392</v>
      </c>
      <c r="B2421">
        <v>0.69935863692105626</v>
      </c>
    </row>
    <row r="2422" spans="1:2" x14ac:dyDescent="0.25">
      <c r="A2422">
        <v>2393</v>
      </c>
      <c r="B2422">
        <v>0.29785324493571513</v>
      </c>
    </row>
    <row r="2423" spans="1:2" x14ac:dyDescent="0.25">
      <c r="A2423">
        <v>2394</v>
      </c>
      <c r="B2423">
        <v>0.1925408918947745</v>
      </c>
    </row>
    <row r="2424" spans="1:2" x14ac:dyDescent="0.25">
      <c r="A2424">
        <v>2395</v>
      </c>
      <c r="B2424">
        <v>0.10038178321608933</v>
      </c>
    </row>
    <row r="2425" spans="1:2" x14ac:dyDescent="0.25">
      <c r="A2425">
        <v>2396</v>
      </c>
      <c r="B2425">
        <v>0.23626495919787655</v>
      </c>
    </row>
    <row r="2426" spans="1:2" x14ac:dyDescent="0.25">
      <c r="A2426">
        <v>2397</v>
      </c>
      <c r="B2426">
        <v>8.2119808918812487E-2</v>
      </c>
    </row>
    <row r="2427" spans="1:2" x14ac:dyDescent="0.25">
      <c r="A2427">
        <v>2398</v>
      </c>
      <c r="B2427">
        <v>0.16892065297299697</v>
      </c>
    </row>
    <row r="2428" spans="1:2" x14ac:dyDescent="0.25">
      <c r="A2428">
        <v>2399</v>
      </c>
      <c r="B2428">
        <v>0.10467659146922355</v>
      </c>
    </row>
    <row r="2429" spans="1:2" x14ac:dyDescent="0.25">
      <c r="A2429">
        <v>2400</v>
      </c>
      <c r="B2429">
        <v>0.26406685490088494</v>
      </c>
    </row>
    <row r="2430" spans="1:2" x14ac:dyDescent="0.25">
      <c r="A2430">
        <v>2401</v>
      </c>
      <c r="B2430">
        <v>0.24752456537259257</v>
      </c>
    </row>
    <row r="2431" spans="1:2" x14ac:dyDescent="0.25">
      <c r="A2431">
        <v>2402</v>
      </c>
      <c r="B2431">
        <v>0.15542033103607603</v>
      </c>
    </row>
    <row r="2432" spans="1:2" x14ac:dyDescent="0.25">
      <c r="A2432">
        <v>2403</v>
      </c>
      <c r="B2432">
        <v>0.46886186363500726</v>
      </c>
    </row>
    <row r="2433" spans="1:2" x14ac:dyDescent="0.25">
      <c r="A2433">
        <v>2404</v>
      </c>
      <c r="B2433">
        <v>0.34307909190995811</v>
      </c>
    </row>
    <row r="2434" spans="1:2" x14ac:dyDescent="0.25">
      <c r="A2434">
        <v>2405</v>
      </c>
      <c r="B2434">
        <v>6.9475981076279891E-2</v>
      </c>
    </row>
    <row r="2435" spans="1:2" x14ac:dyDescent="0.25">
      <c r="A2435">
        <v>2406</v>
      </c>
      <c r="B2435">
        <v>0.16729103394808292</v>
      </c>
    </row>
    <row r="2436" spans="1:2" x14ac:dyDescent="0.25">
      <c r="A2436">
        <v>2407</v>
      </c>
      <c r="B2436">
        <v>0.13402600466902956</v>
      </c>
    </row>
    <row r="2437" spans="1:2" x14ac:dyDescent="0.25">
      <c r="A2437">
        <v>2408</v>
      </c>
      <c r="B2437">
        <v>7.2176079926594222E-2</v>
      </c>
    </row>
    <row r="2438" spans="1:2" x14ac:dyDescent="0.25">
      <c r="A2438">
        <v>2409</v>
      </c>
      <c r="B2438">
        <v>0.60822445313290852</v>
      </c>
    </row>
    <row r="2439" spans="1:2" x14ac:dyDescent="0.25">
      <c r="A2439">
        <v>2410</v>
      </c>
      <c r="B2439">
        <v>0.26357441216723232</v>
      </c>
    </row>
    <row r="2440" spans="1:2" x14ac:dyDescent="0.25">
      <c r="A2440">
        <v>2411</v>
      </c>
      <c r="B2440">
        <v>0.1677947741426592</v>
      </c>
    </row>
    <row r="2441" spans="1:2" x14ac:dyDescent="0.25">
      <c r="A2441">
        <v>2412</v>
      </c>
      <c r="B2441">
        <v>0.19095071758826651</v>
      </c>
    </row>
    <row r="2442" spans="1:2" x14ac:dyDescent="0.25">
      <c r="A2442">
        <v>2413</v>
      </c>
      <c r="B2442">
        <v>6.3968124259651246E-2</v>
      </c>
    </row>
    <row r="2443" spans="1:2" x14ac:dyDescent="0.25">
      <c r="A2443">
        <v>2414</v>
      </c>
      <c r="B2443">
        <v>0.10680579597338773</v>
      </c>
    </row>
    <row r="2444" spans="1:2" x14ac:dyDescent="0.25">
      <c r="A2444">
        <v>2415</v>
      </c>
      <c r="B2444">
        <v>0.36379373561899031</v>
      </c>
    </row>
    <row r="2445" spans="1:2" x14ac:dyDescent="0.25">
      <c r="A2445">
        <v>2416</v>
      </c>
      <c r="B2445">
        <v>0.18128589920583657</v>
      </c>
    </row>
    <row r="2446" spans="1:2" x14ac:dyDescent="0.25">
      <c r="A2446">
        <v>2417</v>
      </c>
      <c r="B2446">
        <v>4.8769706400115541E-2</v>
      </c>
    </row>
    <row r="2447" spans="1:2" x14ac:dyDescent="0.25">
      <c r="A2447">
        <v>2418</v>
      </c>
      <c r="B2447">
        <v>0.38531503341909829</v>
      </c>
    </row>
    <row r="2448" spans="1:2" x14ac:dyDescent="0.25">
      <c r="A2448">
        <v>2419</v>
      </c>
      <c r="B2448">
        <v>0.48503722583573661</v>
      </c>
    </row>
    <row r="2449" spans="1:2" x14ac:dyDescent="0.25">
      <c r="A2449">
        <v>2420</v>
      </c>
      <c r="B2449">
        <v>0.29638976260025385</v>
      </c>
    </row>
    <row r="2450" spans="1:2" x14ac:dyDescent="0.25">
      <c r="A2450">
        <v>2421</v>
      </c>
      <c r="B2450">
        <v>0.36311429149854246</v>
      </c>
    </row>
    <row r="2451" spans="1:2" x14ac:dyDescent="0.25">
      <c r="A2451">
        <v>2422</v>
      </c>
      <c r="B2451">
        <v>0.23813239248617332</v>
      </c>
    </row>
    <row r="2452" spans="1:2" x14ac:dyDescent="0.25">
      <c r="A2452">
        <v>2423</v>
      </c>
      <c r="B2452">
        <v>9.1563548440589199E-2</v>
      </c>
    </row>
    <row r="2453" spans="1:2" x14ac:dyDescent="0.25">
      <c r="A2453">
        <v>2424</v>
      </c>
      <c r="B2453">
        <v>0.29889167779222692</v>
      </c>
    </row>
    <row r="2454" spans="1:2" x14ac:dyDescent="0.25">
      <c r="A2454">
        <v>2425</v>
      </c>
      <c r="B2454">
        <v>0.11424071100752842</v>
      </c>
    </row>
    <row r="2455" spans="1:2" x14ac:dyDescent="0.25">
      <c r="A2455">
        <v>2426</v>
      </c>
      <c r="B2455">
        <v>0.14124605551012034</v>
      </c>
    </row>
    <row r="2456" spans="1:2" x14ac:dyDescent="0.25">
      <c r="A2456">
        <v>2427</v>
      </c>
      <c r="B2456">
        <v>0.21958979533930631</v>
      </c>
    </row>
    <row r="2457" spans="1:2" x14ac:dyDescent="0.25">
      <c r="A2457">
        <v>2428</v>
      </c>
      <c r="B2457">
        <v>0.15809076453172755</v>
      </c>
    </row>
    <row r="2458" spans="1:2" x14ac:dyDescent="0.25">
      <c r="A2458">
        <v>2429</v>
      </c>
      <c r="B2458">
        <v>0.57027293824813241</v>
      </c>
    </row>
    <row r="2459" spans="1:2" x14ac:dyDescent="0.25">
      <c r="A2459">
        <v>2430</v>
      </c>
      <c r="B2459">
        <v>8.6550053539977398E-2</v>
      </c>
    </row>
    <row r="2460" spans="1:2" x14ac:dyDescent="0.25">
      <c r="A2460">
        <v>2431</v>
      </c>
      <c r="B2460">
        <v>0.17922129593571393</v>
      </c>
    </row>
    <row r="2461" spans="1:2" x14ac:dyDescent="0.25">
      <c r="A2461">
        <v>2432</v>
      </c>
      <c r="B2461">
        <v>0.17606425178009094</v>
      </c>
    </row>
    <row r="2462" spans="1:2" x14ac:dyDescent="0.25">
      <c r="A2462">
        <v>2433</v>
      </c>
      <c r="B2462">
        <v>8.9977539514640062E-2</v>
      </c>
    </row>
    <row r="2463" spans="1:2" x14ac:dyDescent="0.25">
      <c r="A2463">
        <v>2434</v>
      </c>
      <c r="B2463">
        <v>7.36201208268768E-2</v>
      </c>
    </row>
    <row r="2464" spans="1:2" x14ac:dyDescent="0.25">
      <c r="A2464">
        <v>2435</v>
      </c>
      <c r="B2464">
        <v>6.6924599830535045E-2</v>
      </c>
    </row>
    <row r="2465" spans="1:2" x14ac:dyDescent="0.25">
      <c r="A2465">
        <v>2436</v>
      </c>
      <c r="B2465">
        <v>0.2995900898234411</v>
      </c>
    </row>
    <row r="2466" spans="1:2" x14ac:dyDescent="0.25">
      <c r="A2466">
        <v>2437</v>
      </c>
      <c r="B2466">
        <v>0.20635651808455446</v>
      </c>
    </row>
    <row r="2467" spans="1:2" x14ac:dyDescent="0.25">
      <c r="A2467">
        <v>2438</v>
      </c>
      <c r="B2467">
        <v>0.15734190204170542</v>
      </c>
    </row>
    <row r="2468" spans="1:2" x14ac:dyDescent="0.25">
      <c r="A2468">
        <v>2439</v>
      </c>
      <c r="B2468">
        <v>0.37297178153414623</v>
      </c>
    </row>
    <row r="2469" spans="1:2" x14ac:dyDescent="0.25">
      <c r="A2469">
        <v>2440</v>
      </c>
      <c r="B2469">
        <v>0.38015323039356252</v>
      </c>
    </row>
    <row r="2470" spans="1:2" x14ac:dyDescent="0.25">
      <c r="A2470">
        <v>2441</v>
      </c>
      <c r="B2470">
        <v>0.11084062255461828</v>
      </c>
    </row>
    <row r="2471" spans="1:2" x14ac:dyDescent="0.25">
      <c r="A2471">
        <v>2442</v>
      </c>
      <c r="B2471">
        <v>0.26003432429169798</v>
      </c>
    </row>
    <row r="2472" spans="1:2" x14ac:dyDescent="0.25">
      <c r="A2472">
        <v>2443</v>
      </c>
      <c r="B2472">
        <v>3.2315130218643393E-2</v>
      </c>
    </row>
    <row r="2473" spans="1:2" x14ac:dyDescent="0.25">
      <c r="A2473">
        <v>2444</v>
      </c>
      <c r="B2473">
        <v>9.6793913144840787E-2</v>
      </c>
    </row>
    <row r="2474" spans="1:2" x14ac:dyDescent="0.25">
      <c r="A2474">
        <v>2445</v>
      </c>
      <c r="B2474">
        <v>0.15033309338651021</v>
      </c>
    </row>
    <row r="2475" spans="1:2" x14ac:dyDescent="0.25">
      <c r="A2475">
        <v>2446</v>
      </c>
      <c r="B2475">
        <v>9.5531636239179818E-2</v>
      </c>
    </row>
    <row r="2476" spans="1:2" x14ac:dyDescent="0.25">
      <c r="A2476">
        <v>2447</v>
      </c>
      <c r="B2476">
        <v>0.33389819684605593</v>
      </c>
    </row>
    <row r="2477" spans="1:2" x14ac:dyDescent="0.25">
      <c r="A2477">
        <v>2448</v>
      </c>
      <c r="B2477">
        <v>0.24838403582504284</v>
      </c>
    </row>
    <row r="2478" spans="1:2" x14ac:dyDescent="0.25">
      <c r="A2478">
        <v>2449</v>
      </c>
      <c r="B2478">
        <v>0.13305143074208972</v>
      </c>
    </row>
    <row r="2479" spans="1:2" x14ac:dyDescent="0.25">
      <c r="A2479">
        <v>2450</v>
      </c>
      <c r="B2479">
        <v>0.12740405548624023</v>
      </c>
    </row>
    <row r="2480" spans="1:2" x14ac:dyDescent="0.25">
      <c r="A2480">
        <v>2451</v>
      </c>
      <c r="B2480">
        <v>7.5675409780503924E-2</v>
      </c>
    </row>
    <row r="2481" spans="1:2" x14ac:dyDescent="0.25">
      <c r="A2481">
        <v>2452</v>
      </c>
      <c r="B2481">
        <v>0.24577039886563426</v>
      </c>
    </row>
    <row r="2482" spans="1:2" x14ac:dyDescent="0.25">
      <c r="A2482">
        <v>2453</v>
      </c>
      <c r="B2482">
        <v>0.20685425998761126</v>
      </c>
    </row>
    <row r="2483" spans="1:2" x14ac:dyDescent="0.25">
      <c r="A2483">
        <v>2454</v>
      </c>
      <c r="B2483">
        <v>0.21453756446024377</v>
      </c>
    </row>
    <row r="2484" spans="1:2" x14ac:dyDescent="0.25">
      <c r="A2484">
        <v>2455</v>
      </c>
      <c r="B2484">
        <v>6.4014722233565052E-2</v>
      </c>
    </row>
    <row r="2485" spans="1:2" x14ac:dyDescent="0.25">
      <c r="A2485">
        <v>2456</v>
      </c>
      <c r="B2485">
        <v>0.19645927115551914</v>
      </c>
    </row>
    <row r="2486" spans="1:2" x14ac:dyDescent="0.25">
      <c r="A2486">
        <v>2457</v>
      </c>
      <c r="B2486">
        <v>0.21563207237413212</v>
      </c>
    </row>
    <row r="2487" spans="1:2" x14ac:dyDescent="0.25">
      <c r="A2487">
        <v>2458</v>
      </c>
      <c r="B2487">
        <v>0.14155237484043379</v>
      </c>
    </row>
    <row r="2488" spans="1:2" x14ac:dyDescent="0.25">
      <c r="A2488">
        <v>2459</v>
      </c>
      <c r="B2488">
        <v>0.38909816372105971</v>
      </c>
    </row>
    <row r="2489" spans="1:2" x14ac:dyDescent="0.25">
      <c r="A2489">
        <v>2460</v>
      </c>
      <c r="B2489">
        <v>0.20157050253131378</v>
      </c>
    </row>
    <row r="2490" spans="1:2" x14ac:dyDescent="0.25">
      <c r="A2490">
        <v>2461</v>
      </c>
      <c r="B2490">
        <v>7.7399430746266304E-2</v>
      </c>
    </row>
    <row r="2491" spans="1:2" x14ac:dyDescent="0.25">
      <c r="A2491">
        <v>2462</v>
      </c>
      <c r="B2491">
        <v>0.32850470489244155</v>
      </c>
    </row>
    <row r="2492" spans="1:2" x14ac:dyDescent="0.25">
      <c r="A2492">
        <v>2463</v>
      </c>
      <c r="B2492">
        <v>0.76787464141968653</v>
      </c>
    </row>
    <row r="2493" spans="1:2" x14ac:dyDescent="0.25">
      <c r="A2493">
        <v>2464</v>
      </c>
      <c r="B2493">
        <v>0.13329987485020481</v>
      </c>
    </row>
    <row r="2494" spans="1:2" x14ac:dyDescent="0.25">
      <c r="A2494">
        <v>2465</v>
      </c>
      <c r="B2494">
        <v>0.50966614705596436</v>
      </c>
    </row>
    <row r="2495" spans="1:2" x14ac:dyDescent="0.25">
      <c r="A2495">
        <v>2466</v>
      </c>
      <c r="B2495">
        <v>0.42358797328979675</v>
      </c>
    </row>
    <row r="2496" spans="1:2" x14ac:dyDescent="0.25">
      <c r="A2496">
        <v>2467</v>
      </c>
      <c r="B2496">
        <v>0.24537795211043847</v>
      </c>
    </row>
    <row r="2497" spans="1:2" x14ac:dyDescent="0.25">
      <c r="A2497">
        <v>2468</v>
      </c>
      <c r="B2497">
        <v>0.18779799115197612</v>
      </c>
    </row>
    <row r="2498" spans="1:2" x14ac:dyDescent="0.25">
      <c r="A2498">
        <v>2469</v>
      </c>
      <c r="B2498">
        <v>0.13048649539633042</v>
      </c>
    </row>
    <row r="2499" spans="1:2" x14ac:dyDescent="0.25">
      <c r="A2499">
        <v>2470</v>
      </c>
      <c r="B2499">
        <v>0.31819338523931578</v>
      </c>
    </row>
    <row r="2500" spans="1:2" x14ac:dyDescent="0.25">
      <c r="A2500">
        <v>2471</v>
      </c>
      <c r="B2500">
        <v>9.7174752055493654E-2</v>
      </c>
    </row>
    <row r="2501" spans="1:2" x14ac:dyDescent="0.25">
      <c r="A2501">
        <v>2472</v>
      </c>
      <c r="B2501">
        <v>0.25592885587313718</v>
      </c>
    </row>
    <row r="2502" spans="1:2" x14ac:dyDescent="0.25">
      <c r="A2502">
        <v>2473</v>
      </c>
      <c r="B2502">
        <v>0.13480719482997849</v>
      </c>
    </row>
    <row r="2503" spans="1:2" x14ac:dyDescent="0.25">
      <c r="A2503">
        <v>2474</v>
      </c>
      <c r="B2503">
        <v>0.16338840926706694</v>
      </c>
    </row>
    <row r="2504" spans="1:2" x14ac:dyDescent="0.25">
      <c r="A2504">
        <v>2475</v>
      </c>
      <c r="B2504">
        <v>0.19574162194396971</v>
      </c>
    </row>
    <row r="2505" spans="1:2" x14ac:dyDescent="0.25">
      <c r="A2505">
        <v>2476</v>
      </c>
      <c r="B2505">
        <v>0.32910231393612394</v>
      </c>
    </row>
    <row r="2506" spans="1:2" x14ac:dyDescent="0.25">
      <c r="A2506">
        <v>2477</v>
      </c>
      <c r="B2506">
        <v>0.24010331980482622</v>
      </c>
    </row>
    <row r="2507" spans="1:2" x14ac:dyDescent="0.25">
      <c r="A2507">
        <v>2478</v>
      </c>
      <c r="B2507">
        <v>0.22654041133438152</v>
      </c>
    </row>
    <row r="2508" spans="1:2" x14ac:dyDescent="0.25">
      <c r="A2508">
        <v>2479</v>
      </c>
      <c r="B2508">
        <v>0.32375915243103165</v>
      </c>
    </row>
    <row r="2509" spans="1:2" x14ac:dyDescent="0.25">
      <c r="A2509">
        <v>2480</v>
      </c>
      <c r="B2509">
        <v>0.28705484710952828</v>
      </c>
    </row>
    <row r="2510" spans="1:2" x14ac:dyDescent="0.25">
      <c r="A2510">
        <v>2481</v>
      </c>
      <c r="B2510">
        <v>0.17018856571298277</v>
      </c>
    </row>
    <row r="2511" spans="1:2" x14ac:dyDescent="0.25">
      <c r="A2511">
        <v>2482</v>
      </c>
      <c r="B2511">
        <v>0.29908721680225525</v>
      </c>
    </row>
    <row r="2512" spans="1:2" x14ac:dyDescent="0.25">
      <c r="A2512">
        <v>2483</v>
      </c>
      <c r="B2512">
        <v>0.10386029606629502</v>
      </c>
    </row>
    <row r="2513" spans="1:2" x14ac:dyDescent="0.25">
      <c r="A2513">
        <v>2484</v>
      </c>
      <c r="B2513">
        <v>4.9446867274925359E-2</v>
      </c>
    </row>
    <row r="2514" spans="1:2" x14ac:dyDescent="0.25">
      <c r="A2514">
        <v>2485</v>
      </c>
      <c r="B2514">
        <v>0.15796715158288394</v>
      </c>
    </row>
    <row r="2515" spans="1:2" x14ac:dyDescent="0.25">
      <c r="A2515">
        <v>2486</v>
      </c>
      <c r="B2515">
        <v>0.14422117788483835</v>
      </c>
    </row>
    <row r="2516" spans="1:2" x14ac:dyDescent="0.25">
      <c r="A2516">
        <v>2487</v>
      </c>
      <c r="B2516">
        <v>0.1653253257099716</v>
      </c>
    </row>
    <row r="2517" spans="1:2" x14ac:dyDescent="0.25">
      <c r="A2517">
        <v>2488</v>
      </c>
      <c r="B2517">
        <v>7.0368703726003637E-2</v>
      </c>
    </row>
    <row r="2518" spans="1:2" x14ac:dyDescent="0.25">
      <c r="A2518">
        <v>2489</v>
      </c>
      <c r="B2518">
        <v>0.10821325436246874</v>
      </c>
    </row>
    <row r="2519" spans="1:2" x14ac:dyDescent="0.25">
      <c r="A2519">
        <v>2490</v>
      </c>
      <c r="B2519">
        <v>0.19809404233774766</v>
      </c>
    </row>
    <row r="2520" spans="1:2" x14ac:dyDescent="0.25">
      <c r="A2520">
        <v>2491</v>
      </c>
      <c r="B2520">
        <v>0.23667667154522906</v>
      </c>
    </row>
    <row r="2521" spans="1:2" x14ac:dyDescent="0.25">
      <c r="A2521">
        <v>2492</v>
      </c>
      <c r="B2521">
        <v>0.10537917050944889</v>
      </c>
    </row>
    <row r="2522" spans="1:2" x14ac:dyDescent="0.25">
      <c r="A2522">
        <v>2493</v>
      </c>
      <c r="B2522">
        <v>9.1564805384262954E-2</v>
      </c>
    </row>
    <row r="2523" spans="1:2" x14ac:dyDescent="0.25">
      <c r="A2523">
        <v>2494</v>
      </c>
      <c r="B2523">
        <v>0.46571232007470353</v>
      </c>
    </row>
    <row r="2524" spans="1:2" x14ac:dyDescent="0.25">
      <c r="A2524">
        <v>2495</v>
      </c>
      <c r="B2524">
        <v>0.17740949497809469</v>
      </c>
    </row>
    <row r="2525" spans="1:2" x14ac:dyDescent="0.25">
      <c r="A2525">
        <v>2496</v>
      </c>
      <c r="B2525">
        <v>0.40221165356193883</v>
      </c>
    </row>
    <row r="2526" spans="1:2" x14ac:dyDescent="0.25">
      <c r="A2526">
        <v>2497</v>
      </c>
      <c r="B2526">
        <v>0.14448723063695773</v>
      </c>
    </row>
    <row r="2527" spans="1:2" x14ac:dyDescent="0.25">
      <c r="A2527">
        <v>2498</v>
      </c>
      <c r="B2527">
        <v>0.19841741577700536</v>
      </c>
    </row>
    <row r="2528" spans="1:2" x14ac:dyDescent="0.25">
      <c r="A2528">
        <v>2499</v>
      </c>
      <c r="B2528">
        <v>0.12171098682227079</v>
      </c>
    </row>
    <row r="2529" spans="1:2" x14ac:dyDescent="0.25">
      <c r="A2529">
        <v>2500</v>
      </c>
      <c r="B2529">
        <v>0.21375469296022617</v>
      </c>
    </row>
    <row r="2530" spans="1:2" x14ac:dyDescent="0.25">
      <c r="A2530">
        <v>2501</v>
      </c>
      <c r="B2530">
        <v>0.17559814398352738</v>
      </c>
    </row>
    <row r="2531" spans="1:2" x14ac:dyDescent="0.25">
      <c r="A2531">
        <v>2502</v>
      </c>
      <c r="B2531">
        <v>0.6665136037962287</v>
      </c>
    </row>
    <row r="2532" spans="1:2" x14ac:dyDescent="0.25">
      <c r="A2532">
        <v>2503</v>
      </c>
      <c r="B2532">
        <v>0.1369672262083009</v>
      </c>
    </row>
    <row r="2533" spans="1:2" x14ac:dyDescent="0.25">
      <c r="A2533">
        <v>2504</v>
      </c>
      <c r="B2533">
        <v>7.1803322427959781E-2</v>
      </c>
    </row>
    <row r="2534" spans="1:2" x14ac:dyDescent="0.25">
      <c r="A2534">
        <v>2505</v>
      </c>
      <c r="B2534">
        <v>0.1519638625085562</v>
      </c>
    </row>
    <row r="2535" spans="1:2" x14ac:dyDescent="0.25">
      <c r="A2535">
        <v>2506</v>
      </c>
      <c r="B2535">
        <v>0.24613038389387612</v>
      </c>
    </row>
    <row r="2536" spans="1:2" x14ac:dyDescent="0.25">
      <c r="A2536">
        <v>2507</v>
      </c>
      <c r="B2536">
        <v>0.4810274353689637</v>
      </c>
    </row>
    <row r="2537" spans="1:2" x14ac:dyDescent="0.25">
      <c r="A2537">
        <v>2508</v>
      </c>
      <c r="B2537">
        <v>0.24246721398433629</v>
      </c>
    </row>
    <row r="2538" spans="1:2" x14ac:dyDescent="0.25">
      <c r="A2538">
        <v>2509</v>
      </c>
      <c r="B2538">
        <v>0.10784795060237391</v>
      </c>
    </row>
    <row r="2539" spans="1:2" x14ac:dyDescent="0.25">
      <c r="A2539">
        <v>2510</v>
      </c>
      <c r="B2539">
        <v>0.1042148938479656</v>
      </c>
    </row>
    <row r="2540" spans="1:2" x14ac:dyDescent="0.25">
      <c r="A2540">
        <v>2511</v>
      </c>
      <c r="B2540">
        <v>0.33299231716310307</v>
      </c>
    </row>
    <row r="2541" spans="1:2" x14ac:dyDescent="0.25">
      <c r="A2541">
        <v>2512</v>
      </c>
      <c r="B2541">
        <v>0.49769960751114639</v>
      </c>
    </row>
    <row r="2542" spans="1:2" x14ac:dyDescent="0.25">
      <c r="A2542">
        <v>2513</v>
      </c>
      <c r="B2542">
        <v>0.53300513846111719</v>
      </c>
    </row>
    <row r="2543" spans="1:2" x14ac:dyDescent="0.25">
      <c r="A2543">
        <v>2514</v>
      </c>
      <c r="B2543">
        <v>3.0886310479492432E-2</v>
      </c>
    </row>
    <row r="2544" spans="1:2" x14ac:dyDescent="0.25">
      <c r="A2544">
        <v>2515</v>
      </c>
      <c r="B2544">
        <v>0.18473265726302418</v>
      </c>
    </row>
    <row r="2545" spans="1:2" x14ac:dyDescent="0.25">
      <c r="A2545">
        <v>2516</v>
      </c>
      <c r="B2545">
        <v>0.21357505001935406</v>
      </c>
    </row>
    <row r="2546" spans="1:2" x14ac:dyDescent="0.25">
      <c r="A2546">
        <v>2517</v>
      </c>
      <c r="B2546">
        <v>0.12292343493265945</v>
      </c>
    </row>
    <row r="2547" spans="1:2" x14ac:dyDescent="0.25">
      <c r="A2547">
        <v>2518</v>
      </c>
      <c r="B2547">
        <v>1.3181890657965887</v>
      </c>
    </row>
    <row r="2548" spans="1:2" x14ac:dyDescent="0.25">
      <c r="A2548">
        <v>2519</v>
      </c>
      <c r="B2548">
        <v>0.12187260491614274</v>
      </c>
    </row>
    <row r="2549" spans="1:2" x14ac:dyDescent="0.25">
      <c r="A2549">
        <v>2520</v>
      </c>
      <c r="B2549">
        <v>0.30754532201730794</v>
      </c>
    </row>
    <row r="2550" spans="1:2" x14ac:dyDescent="0.25">
      <c r="A2550">
        <v>2521</v>
      </c>
      <c r="B2550">
        <v>2.4273817115529395E-2</v>
      </c>
    </row>
    <row r="2551" spans="1:2" x14ac:dyDescent="0.25">
      <c r="A2551">
        <v>2522</v>
      </c>
      <c r="B2551">
        <v>9.469561315599348E-2</v>
      </c>
    </row>
    <row r="2552" spans="1:2" x14ac:dyDescent="0.25">
      <c r="A2552">
        <v>2523</v>
      </c>
      <c r="B2552">
        <v>0.15965087172246986</v>
      </c>
    </row>
    <row r="2553" spans="1:2" x14ac:dyDescent="0.25">
      <c r="A2553">
        <v>2524</v>
      </c>
      <c r="B2553">
        <v>0.40139022231361099</v>
      </c>
    </row>
    <row r="2554" spans="1:2" x14ac:dyDescent="0.25">
      <c r="A2554">
        <v>2525</v>
      </c>
      <c r="B2554">
        <v>0.22188542476134276</v>
      </c>
    </row>
    <row r="2555" spans="1:2" x14ac:dyDescent="0.25">
      <c r="A2555">
        <v>2526</v>
      </c>
      <c r="B2555">
        <v>0.68481249632815089</v>
      </c>
    </row>
    <row r="2556" spans="1:2" x14ac:dyDescent="0.25">
      <c r="A2556">
        <v>2527</v>
      </c>
      <c r="B2556">
        <v>0.20981458403868281</v>
      </c>
    </row>
    <row r="2557" spans="1:2" x14ac:dyDescent="0.25">
      <c r="A2557">
        <v>2528</v>
      </c>
      <c r="B2557">
        <v>0.29661872520632515</v>
      </c>
    </row>
    <row r="2558" spans="1:2" x14ac:dyDescent="0.25">
      <c r="A2558">
        <v>2529</v>
      </c>
      <c r="B2558">
        <v>0.15068673169681182</v>
      </c>
    </row>
    <row r="2559" spans="1:2" x14ac:dyDescent="0.25">
      <c r="A2559">
        <v>2530</v>
      </c>
      <c r="B2559">
        <v>3.7938832934795448E-2</v>
      </c>
    </row>
    <row r="2560" spans="1:2" x14ac:dyDescent="0.25">
      <c r="A2560">
        <v>2531</v>
      </c>
      <c r="B2560">
        <v>0.10691608098086784</v>
      </c>
    </row>
    <row r="2561" spans="1:2" x14ac:dyDescent="0.25">
      <c r="A2561">
        <v>2532</v>
      </c>
      <c r="B2561">
        <v>0.10910732098141147</v>
      </c>
    </row>
    <row r="2562" spans="1:2" x14ac:dyDescent="0.25">
      <c r="A2562">
        <v>2533</v>
      </c>
      <c r="B2562">
        <v>0.17983704372100656</v>
      </c>
    </row>
    <row r="2563" spans="1:2" x14ac:dyDescent="0.25">
      <c r="A2563">
        <v>2534</v>
      </c>
      <c r="B2563">
        <v>0.28547031532585554</v>
      </c>
    </row>
    <row r="2564" spans="1:2" x14ac:dyDescent="0.25">
      <c r="A2564">
        <v>2535</v>
      </c>
      <c r="B2564">
        <v>9.7254824418417055E-2</v>
      </c>
    </row>
    <row r="2565" spans="1:2" x14ac:dyDescent="0.25">
      <c r="A2565">
        <v>2536</v>
      </c>
      <c r="B2565">
        <v>0.11622264498109636</v>
      </c>
    </row>
    <row r="2566" spans="1:2" x14ac:dyDescent="0.25">
      <c r="A2566">
        <v>2537</v>
      </c>
      <c r="B2566">
        <v>0.21706405291322733</v>
      </c>
    </row>
    <row r="2567" spans="1:2" x14ac:dyDescent="0.25">
      <c r="A2567">
        <v>2538</v>
      </c>
      <c r="B2567">
        <v>5.3579208798173565E-2</v>
      </c>
    </row>
    <row r="2568" spans="1:2" x14ac:dyDescent="0.25">
      <c r="A2568">
        <v>2539</v>
      </c>
      <c r="B2568">
        <v>7.570527811845891E-2</v>
      </c>
    </row>
    <row r="2569" spans="1:2" x14ac:dyDescent="0.25">
      <c r="A2569">
        <v>2540</v>
      </c>
      <c r="B2569">
        <v>0.35756890636079802</v>
      </c>
    </row>
    <row r="2570" spans="1:2" x14ac:dyDescent="0.25">
      <c r="A2570">
        <v>2541</v>
      </c>
      <c r="B2570">
        <v>0.24050781144269534</v>
      </c>
    </row>
    <row r="2571" spans="1:2" x14ac:dyDescent="0.25">
      <c r="A2571">
        <v>2542</v>
      </c>
      <c r="B2571">
        <v>0.41284913119560002</v>
      </c>
    </row>
    <row r="2572" spans="1:2" x14ac:dyDescent="0.25">
      <c r="A2572">
        <v>2543</v>
      </c>
      <c r="B2572">
        <v>7.271891116399265E-2</v>
      </c>
    </row>
    <row r="2573" spans="1:2" x14ac:dyDescent="0.25">
      <c r="A2573">
        <v>2544</v>
      </c>
      <c r="B2573">
        <v>0.16104520909834566</v>
      </c>
    </row>
    <row r="2574" spans="1:2" x14ac:dyDescent="0.25">
      <c r="A2574">
        <v>2545</v>
      </c>
      <c r="B2574">
        <v>0.3775761788141706</v>
      </c>
    </row>
    <row r="2575" spans="1:2" x14ac:dyDescent="0.25">
      <c r="A2575">
        <v>2546</v>
      </c>
      <c r="B2575">
        <v>5.0871634852129172E-2</v>
      </c>
    </row>
    <row r="2576" spans="1:2" x14ac:dyDescent="0.25">
      <c r="A2576">
        <v>2547</v>
      </c>
      <c r="B2576">
        <v>0.18182710756082512</v>
      </c>
    </row>
    <row r="2577" spans="1:2" x14ac:dyDescent="0.25">
      <c r="A2577">
        <v>2548</v>
      </c>
      <c r="B2577">
        <v>9.3463111309392374E-2</v>
      </c>
    </row>
    <row r="2578" spans="1:2" x14ac:dyDescent="0.25">
      <c r="A2578">
        <v>2549</v>
      </c>
      <c r="B2578">
        <v>9.2040797695894142E-2</v>
      </c>
    </row>
    <row r="2579" spans="1:2" x14ac:dyDescent="0.25">
      <c r="A2579">
        <v>2550</v>
      </c>
      <c r="B2579">
        <v>0.10743354442039228</v>
      </c>
    </row>
    <row r="2580" spans="1:2" x14ac:dyDescent="0.25">
      <c r="A2580">
        <v>2551</v>
      </c>
      <c r="B2580">
        <v>0.25116582490673006</v>
      </c>
    </row>
    <row r="2581" spans="1:2" x14ac:dyDescent="0.25">
      <c r="A2581">
        <v>2552</v>
      </c>
      <c r="B2581">
        <v>0.26826885748292939</v>
      </c>
    </row>
    <row r="2582" spans="1:2" x14ac:dyDescent="0.25">
      <c r="A2582">
        <v>2553</v>
      </c>
      <c r="B2582">
        <v>0.25758053803996273</v>
      </c>
    </row>
    <row r="2583" spans="1:2" x14ac:dyDescent="0.25">
      <c r="A2583">
        <v>2554</v>
      </c>
      <c r="B2583">
        <v>0.26083633459166677</v>
      </c>
    </row>
    <row r="2584" spans="1:2" x14ac:dyDescent="0.25">
      <c r="A2584">
        <v>2555</v>
      </c>
      <c r="B2584">
        <v>0.23230277555375381</v>
      </c>
    </row>
    <row r="2585" spans="1:2" x14ac:dyDescent="0.25">
      <c r="A2585">
        <v>2556</v>
      </c>
      <c r="B2585">
        <v>0.16896096341809941</v>
      </c>
    </row>
    <row r="2586" spans="1:2" x14ac:dyDescent="0.25">
      <c r="A2586">
        <v>2557</v>
      </c>
      <c r="B2586">
        <v>0.23600003924534077</v>
      </c>
    </row>
    <row r="2587" spans="1:2" x14ac:dyDescent="0.25">
      <c r="A2587">
        <v>2558</v>
      </c>
      <c r="B2587">
        <v>0.20737951975715788</v>
      </c>
    </row>
    <row r="2588" spans="1:2" x14ac:dyDescent="0.25">
      <c r="A2588">
        <v>2559</v>
      </c>
      <c r="B2588">
        <v>5.3784781311177886E-2</v>
      </c>
    </row>
    <row r="2589" spans="1:2" x14ac:dyDescent="0.25">
      <c r="A2589">
        <v>2560</v>
      </c>
      <c r="B2589">
        <v>0.12444664604381246</v>
      </c>
    </row>
    <row r="2590" spans="1:2" x14ac:dyDescent="0.25">
      <c r="A2590">
        <v>2561</v>
      </c>
      <c r="B2590">
        <v>6.3327952058139597E-2</v>
      </c>
    </row>
    <row r="2591" spans="1:2" x14ac:dyDescent="0.25">
      <c r="A2591">
        <v>2562</v>
      </c>
      <c r="B2591">
        <v>0.1880113207645297</v>
      </c>
    </row>
    <row r="2592" spans="1:2" x14ac:dyDescent="0.25">
      <c r="A2592">
        <v>2563</v>
      </c>
      <c r="B2592">
        <v>0.30001604681790228</v>
      </c>
    </row>
    <row r="2593" spans="1:2" x14ac:dyDescent="0.25">
      <c r="A2593">
        <v>2564</v>
      </c>
      <c r="B2593">
        <v>8.1892344812673851E-2</v>
      </c>
    </row>
    <row r="2594" spans="1:2" x14ac:dyDescent="0.25">
      <c r="A2594">
        <v>2565</v>
      </c>
      <c r="B2594">
        <v>0.12928738678921814</v>
      </c>
    </row>
    <row r="2595" spans="1:2" x14ac:dyDescent="0.25">
      <c r="A2595">
        <v>2566</v>
      </c>
      <c r="B2595">
        <v>6.5235750750298652E-2</v>
      </c>
    </row>
    <row r="2596" spans="1:2" x14ac:dyDescent="0.25">
      <c r="A2596">
        <v>2567</v>
      </c>
      <c r="B2596">
        <v>0.24045931696047146</v>
      </c>
    </row>
    <row r="2597" spans="1:2" x14ac:dyDescent="0.25">
      <c r="A2597">
        <v>2568</v>
      </c>
      <c r="B2597">
        <v>0.11591547069264077</v>
      </c>
    </row>
    <row r="2598" spans="1:2" x14ac:dyDescent="0.25">
      <c r="A2598">
        <v>2569</v>
      </c>
      <c r="B2598">
        <v>0.28397498373267155</v>
      </c>
    </row>
    <row r="2599" spans="1:2" x14ac:dyDescent="0.25">
      <c r="A2599">
        <v>2570</v>
      </c>
      <c r="B2599">
        <v>0.17267585994467155</v>
      </c>
    </row>
    <row r="2600" spans="1:2" x14ac:dyDescent="0.25">
      <c r="A2600">
        <v>2571</v>
      </c>
      <c r="B2600">
        <v>0.3963859599310498</v>
      </c>
    </row>
    <row r="2601" spans="1:2" x14ac:dyDescent="0.25">
      <c r="A2601">
        <v>2572</v>
      </c>
      <c r="B2601">
        <v>0.20151183185967581</v>
      </c>
    </row>
    <row r="2602" spans="1:2" x14ac:dyDescent="0.25">
      <c r="A2602">
        <v>2573</v>
      </c>
      <c r="B2602">
        <v>0.15790728085901021</v>
      </c>
    </row>
    <row r="2603" spans="1:2" x14ac:dyDescent="0.25">
      <c r="A2603">
        <v>2574</v>
      </c>
      <c r="B2603">
        <v>0.26567025937468475</v>
      </c>
    </row>
    <row r="2604" spans="1:2" x14ac:dyDescent="0.25">
      <c r="A2604">
        <v>2575</v>
      </c>
      <c r="B2604">
        <v>0.46133153896309631</v>
      </c>
    </row>
    <row r="2605" spans="1:2" x14ac:dyDescent="0.25">
      <c r="A2605">
        <v>2576</v>
      </c>
      <c r="B2605">
        <v>0.19127840841095689</v>
      </c>
    </row>
    <row r="2606" spans="1:2" x14ac:dyDescent="0.25">
      <c r="A2606">
        <v>2577</v>
      </c>
      <c r="B2606">
        <v>0.10112929113508874</v>
      </c>
    </row>
    <row r="2607" spans="1:2" x14ac:dyDescent="0.25">
      <c r="A2607">
        <v>2578</v>
      </c>
      <c r="B2607">
        <v>0.18741922281841927</v>
      </c>
    </row>
    <row r="2608" spans="1:2" x14ac:dyDescent="0.25">
      <c r="A2608">
        <v>2579</v>
      </c>
      <c r="B2608">
        <v>0.33268486692600718</v>
      </c>
    </row>
    <row r="2609" spans="1:2" x14ac:dyDescent="0.25">
      <c r="A2609">
        <v>2580</v>
      </c>
      <c r="B2609">
        <v>7.5104743871347787E-2</v>
      </c>
    </row>
    <row r="2610" spans="1:2" x14ac:dyDescent="0.25">
      <c r="A2610">
        <v>2581</v>
      </c>
      <c r="B2610">
        <v>0.12969666945327843</v>
      </c>
    </row>
    <row r="2611" spans="1:2" x14ac:dyDescent="0.25">
      <c r="A2611">
        <v>2582</v>
      </c>
      <c r="B2611">
        <v>0.49444063397992882</v>
      </c>
    </row>
    <row r="2612" spans="1:2" x14ac:dyDescent="0.25">
      <c r="A2612">
        <v>2583</v>
      </c>
      <c r="B2612">
        <v>0.22846318523025147</v>
      </c>
    </row>
    <row r="2613" spans="1:2" x14ac:dyDescent="0.25">
      <c r="A2613">
        <v>2584</v>
      </c>
      <c r="B2613">
        <v>0.11401723601574197</v>
      </c>
    </row>
    <row r="2614" spans="1:2" x14ac:dyDescent="0.25">
      <c r="A2614">
        <v>2585</v>
      </c>
      <c r="B2614">
        <v>6.1891168666446665E-2</v>
      </c>
    </row>
    <row r="2615" spans="1:2" x14ac:dyDescent="0.25">
      <c r="A2615">
        <v>2586</v>
      </c>
      <c r="B2615">
        <v>0.19494527721719959</v>
      </c>
    </row>
    <row r="2616" spans="1:2" x14ac:dyDescent="0.25">
      <c r="A2616">
        <v>2587</v>
      </c>
      <c r="B2616">
        <v>8.6739760027360557E-2</v>
      </c>
    </row>
    <row r="2617" spans="1:2" x14ac:dyDescent="0.25">
      <c r="A2617">
        <v>2588</v>
      </c>
      <c r="B2617">
        <v>0.49440963402451904</v>
      </c>
    </row>
    <row r="2618" spans="1:2" x14ac:dyDescent="0.25">
      <c r="A2618">
        <v>2589</v>
      </c>
      <c r="B2618">
        <v>8.2288716287848104E-2</v>
      </c>
    </row>
    <row r="2619" spans="1:2" x14ac:dyDescent="0.25">
      <c r="A2619">
        <v>2590</v>
      </c>
      <c r="B2619">
        <v>0.26405441879704578</v>
      </c>
    </row>
    <row r="2620" spans="1:2" x14ac:dyDescent="0.25">
      <c r="A2620">
        <v>2591</v>
      </c>
      <c r="B2620">
        <v>0.26172050575604927</v>
      </c>
    </row>
    <row r="2621" spans="1:2" x14ac:dyDescent="0.25">
      <c r="A2621">
        <v>2592</v>
      </c>
      <c r="B2621">
        <v>0.29714450780113533</v>
      </c>
    </row>
    <row r="2622" spans="1:2" x14ac:dyDescent="0.25">
      <c r="A2622">
        <v>2593</v>
      </c>
      <c r="B2622">
        <v>0.14025102537667661</v>
      </c>
    </row>
    <row r="2623" spans="1:2" x14ac:dyDescent="0.25">
      <c r="A2623">
        <v>2594</v>
      </c>
      <c r="B2623">
        <v>0.21986801630344635</v>
      </c>
    </row>
    <row r="2624" spans="1:2" x14ac:dyDescent="0.25">
      <c r="A2624">
        <v>2595</v>
      </c>
      <c r="B2624">
        <v>3.8007596370335989E-2</v>
      </c>
    </row>
    <row r="2625" spans="1:2" x14ac:dyDescent="0.25">
      <c r="A2625">
        <v>2596</v>
      </c>
      <c r="B2625">
        <v>7.0648941315361272E-2</v>
      </c>
    </row>
    <row r="2626" spans="1:2" x14ac:dyDescent="0.25">
      <c r="A2626">
        <v>2597</v>
      </c>
      <c r="B2626">
        <v>0.16036508748141759</v>
      </c>
    </row>
    <row r="2627" spans="1:2" x14ac:dyDescent="0.25">
      <c r="A2627">
        <v>2598</v>
      </c>
      <c r="B2627">
        <v>0.16036592793085688</v>
      </c>
    </row>
    <row r="2628" spans="1:2" x14ac:dyDescent="0.25">
      <c r="A2628">
        <v>2599</v>
      </c>
      <c r="B2628">
        <v>7.5994559234157391E-2</v>
      </c>
    </row>
    <row r="2629" spans="1:2" x14ac:dyDescent="0.25">
      <c r="A2629">
        <v>2600</v>
      </c>
      <c r="B2629">
        <v>0.17075640515545282</v>
      </c>
    </row>
    <row r="2630" spans="1:2" x14ac:dyDescent="0.25">
      <c r="A2630">
        <v>2601</v>
      </c>
      <c r="B2630">
        <v>0.28767048291957642</v>
      </c>
    </row>
    <row r="2631" spans="1:2" x14ac:dyDescent="0.25">
      <c r="A2631">
        <v>2602</v>
      </c>
      <c r="B2631">
        <v>0.26374252930907938</v>
      </c>
    </row>
    <row r="2632" spans="1:2" x14ac:dyDescent="0.25">
      <c r="A2632">
        <v>2603</v>
      </c>
      <c r="B2632">
        <v>7.8302043475939054E-2</v>
      </c>
    </row>
    <row r="2633" spans="1:2" x14ac:dyDescent="0.25">
      <c r="A2633">
        <v>2604</v>
      </c>
      <c r="B2633">
        <v>0.18188610890099302</v>
      </c>
    </row>
    <row r="2634" spans="1:2" x14ac:dyDescent="0.25">
      <c r="A2634">
        <v>2605</v>
      </c>
      <c r="B2634">
        <v>0.19782631944296469</v>
      </c>
    </row>
    <row r="2635" spans="1:2" x14ac:dyDescent="0.25">
      <c r="A2635">
        <v>2606</v>
      </c>
      <c r="B2635">
        <v>0.19831965244861355</v>
      </c>
    </row>
    <row r="2636" spans="1:2" x14ac:dyDescent="0.25">
      <c r="A2636">
        <v>2607</v>
      </c>
      <c r="B2636">
        <v>0.10727255488580274</v>
      </c>
    </row>
    <row r="2637" spans="1:2" x14ac:dyDescent="0.25">
      <c r="A2637">
        <v>2608</v>
      </c>
      <c r="B2637">
        <v>0.16177976946250702</v>
      </c>
    </row>
    <row r="2638" spans="1:2" x14ac:dyDescent="0.25">
      <c r="A2638">
        <v>2609</v>
      </c>
      <c r="B2638">
        <v>0.20251337941313574</v>
      </c>
    </row>
    <row r="2639" spans="1:2" x14ac:dyDescent="0.25">
      <c r="A2639">
        <v>2610</v>
      </c>
      <c r="B2639">
        <v>0.11195031458946135</v>
      </c>
    </row>
    <row r="2640" spans="1:2" x14ac:dyDescent="0.25">
      <c r="A2640">
        <v>2611</v>
      </c>
      <c r="B2640">
        <v>0.13584428322744235</v>
      </c>
    </row>
    <row r="2641" spans="1:2" x14ac:dyDescent="0.25">
      <c r="A2641">
        <v>2612</v>
      </c>
      <c r="B2641">
        <v>0.37921018563573866</v>
      </c>
    </row>
    <row r="2642" spans="1:2" x14ac:dyDescent="0.25">
      <c r="A2642">
        <v>2613</v>
      </c>
      <c r="B2642">
        <v>0.13113006161081231</v>
      </c>
    </row>
    <row r="2643" spans="1:2" x14ac:dyDescent="0.25">
      <c r="A2643">
        <v>2614</v>
      </c>
      <c r="B2643">
        <v>0.20402088256853412</v>
      </c>
    </row>
    <row r="2644" spans="1:2" x14ac:dyDescent="0.25">
      <c r="A2644">
        <v>2615</v>
      </c>
      <c r="B2644">
        <v>0.40578922126155015</v>
      </c>
    </row>
    <row r="2645" spans="1:2" x14ac:dyDescent="0.25">
      <c r="A2645">
        <v>2616</v>
      </c>
      <c r="B2645">
        <v>0.39138577934524738</v>
      </c>
    </row>
    <row r="2646" spans="1:2" x14ac:dyDescent="0.25">
      <c r="A2646">
        <v>2617</v>
      </c>
      <c r="B2646">
        <v>0.20634987574690719</v>
      </c>
    </row>
    <row r="2647" spans="1:2" x14ac:dyDescent="0.25">
      <c r="A2647">
        <v>2618</v>
      </c>
      <c r="B2647">
        <v>0.28633300686702795</v>
      </c>
    </row>
    <row r="2648" spans="1:2" x14ac:dyDescent="0.25">
      <c r="A2648">
        <v>2619</v>
      </c>
      <c r="B2648">
        <v>0.14405902886694491</v>
      </c>
    </row>
    <row r="2649" spans="1:2" x14ac:dyDescent="0.25">
      <c r="A2649">
        <v>2620</v>
      </c>
      <c r="B2649">
        <v>0.14908040697650041</v>
      </c>
    </row>
    <row r="2650" spans="1:2" x14ac:dyDescent="0.25">
      <c r="A2650">
        <v>2621</v>
      </c>
      <c r="B2650">
        <v>0.20348433216076084</v>
      </c>
    </row>
    <row r="2651" spans="1:2" x14ac:dyDescent="0.25">
      <c r="A2651">
        <v>2622</v>
      </c>
      <c r="B2651">
        <v>4.3013161811983384E-2</v>
      </c>
    </row>
    <row r="2652" spans="1:2" x14ac:dyDescent="0.25">
      <c r="A2652">
        <v>2623</v>
      </c>
      <c r="B2652">
        <v>0.3460581407072173</v>
      </c>
    </row>
    <row r="2653" spans="1:2" x14ac:dyDescent="0.25">
      <c r="A2653">
        <v>2624</v>
      </c>
      <c r="B2653">
        <v>0.13903929366125303</v>
      </c>
    </row>
    <row r="2654" spans="1:2" x14ac:dyDescent="0.25">
      <c r="A2654">
        <v>2625</v>
      </c>
      <c r="B2654">
        <v>0.13373770468385959</v>
      </c>
    </row>
    <row r="2655" spans="1:2" x14ac:dyDescent="0.25">
      <c r="A2655">
        <v>2626</v>
      </c>
      <c r="B2655">
        <v>0.17400536178258777</v>
      </c>
    </row>
    <row r="2656" spans="1:2" x14ac:dyDescent="0.25">
      <c r="A2656">
        <v>2627</v>
      </c>
      <c r="B2656">
        <v>0.32451962715224886</v>
      </c>
    </row>
    <row r="2657" spans="1:2" x14ac:dyDescent="0.25">
      <c r="A2657">
        <v>2628</v>
      </c>
      <c r="B2657">
        <v>8.550921499133779E-2</v>
      </c>
    </row>
    <row r="2658" spans="1:2" x14ac:dyDescent="0.25">
      <c r="A2658">
        <v>2629</v>
      </c>
      <c r="B2658">
        <v>0.2254249610800769</v>
      </c>
    </row>
    <row r="2659" spans="1:2" x14ac:dyDescent="0.25">
      <c r="A2659">
        <v>2630</v>
      </c>
      <c r="B2659">
        <v>8.3494847325478058E-2</v>
      </c>
    </row>
    <row r="2660" spans="1:2" x14ac:dyDescent="0.25">
      <c r="A2660">
        <v>2631</v>
      </c>
      <c r="B2660">
        <v>0.22997406220025243</v>
      </c>
    </row>
    <row r="2661" spans="1:2" x14ac:dyDescent="0.25">
      <c r="A2661">
        <v>2632</v>
      </c>
      <c r="B2661">
        <v>0.33452774441920685</v>
      </c>
    </row>
    <row r="2662" spans="1:2" x14ac:dyDescent="0.25">
      <c r="A2662">
        <v>2633</v>
      </c>
      <c r="B2662">
        <v>0.4061609311234739</v>
      </c>
    </row>
    <row r="2663" spans="1:2" x14ac:dyDescent="0.25">
      <c r="A2663">
        <v>2634</v>
      </c>
      <c r="B2663">
        <v>6.6697146841065272E-2</v>
      </c>
    </row>
    <row r="2664" spans="1:2" x14ac:dyDescent="0.25">
      <c r="A2664">
        <v>2635</v>
      </c>
      <c r="B2664">
        <v>0.64320623976763303</v>
      </c>
    </row>
    <row r="2665" spans="1:2" x14ac:dyDescent="0.25">
      <c r="A2665">
        <v>2636</v>
      </c>
      <c r="B2665">
        <v>0.21957959673573288</v>
      </c>
    </row>
    <row r="2666" spans="1:2" x14ac:dyDescent="0.25">
      <c r="A2666">
        <v>2637</v>
      </c>
      <c r="B2666">
        <v>0.18210863808216493</v>
      </c>
    </row>
    <row r="2667" spans="1:2" x14ac:dyDescent="0.25">
      <c r="A2667">
        <v>2638</v>
      </c>
      <c r="B2667">
        <v>0.3031569491559632</v>
      </c>
    </row>
    <row r="2668" spans="1:2" x14ac:dyDescent="0.25">
      <c r="A2668">
        <v>2639</v>
      </c>
      <c r="B2668">
        <v>0.25429462583514206</v>
      </c>
    </row>
    <row r="2669" spans="1:2" x14ac:dyDescent="0.25">
      <c r="A2669">
        <v>2640</v>
      </c>
      <c r="B2669">
        <v>8.3651741782080097E-2</v>
      </c>
    </row>
    <row r="2670" spans="1:2" x14ac:dyDescent="0.25">
      <c r="A2670">
        <v>2641</v>
      </c>
      <c r="B2670">
        <v>0.30411883651446275</v>
      </c>
    </row>
    <row r="2671" spans="1:2" x14ac:dyDescent="0.25">
      <c r="A2671">
        <v>2642</v>
      </c>
      <c r="B2671">
        <v>0.10922830504396203</v>
      </c>
    </row>
    <row r="2672" spans="1:2" x14ac:dyDescent="0.25">
      <c r="A2672">
        <v>2643</v>
      </c>
      <c r="B2672">
        <v>8.8053436979598498E-2</v>
      </c>
    </row>
    <row r="2673" spans="1:2" x14ac:dyDescent="0.25">
      <c r="A2673">
        <v>2644</v>
      </c>
      <c r="B2673">
        <v>0.22339473827099388</v>
      </c>
    </row>
    <row r="2674" spans="1:2" x14ac:dyDescent="0.25">
      <c r="A2674">
        <v>2645</v>
      </c>
      <c r="B2674">
        <v>0.23648277077200791</v>
      </c>
    </row>
    <row r="2675" spans="1:2" x14ac:dyDescent="0.25">
      <c r="A2675">
        <v>2646</v>
      </c>
      <c r="B2675">
        <v>0.45422077161757413</v>
      </c>
    </row>
    <row r="2676" spans="1:2" x14ac:dyDescent="0.25">
      <c r="A2676">
        <v>2647</v>
      </c>
      <c r="B2676">
        <v>0.19665053959202894</v>
      </c>
    </row>
    <row r="2677" spans="1:2" x14ac:dyDescent="0.25">
      <c r="A2677">
        <v>2648</v>
      </c>
      <c r="B2677">
        <v>0.14685714445483641</v>
      </c>
    </row>
    <row r="2678" spans="1:2" x14ac:dyDescent="0.25">
      <c r="A2678">
        <v>2649</v>
      </c>
      <c r="B2678">
        <v>0.17236980887276404</v>
      </c>
    </row>
    <row r="2679" spans="1:2" x14ac:dyDescent="0.25">
      <c r="A2679">
        <v>2650</v>
      </c>
      <c r="B2679">
        <v>0.20610141537513302</v>
      </c>
    </row>
    <row r="2680" spans="1:2" x14ac:dyDescent="0.25">
      <c r="A2680">
        <v>2651</v>
      </c>
      <c r="B2680">
        <v>0.22648578759412177</v>
      </c>
    </row>
    <row r="2681" spans="1:2" x14ac:dyDescent="0.25">
      <c r="A2681">
        <v>2652</v>
      </c>
      <c r="B2681">
        <v>0.35720350586948812</v>
      </c>
    </row>
    <row r="2682" spans="1:2" x14ac:dyDescent="0.25">
      <c r="A2682">
        <v>2653</v>
      </c>
      <c r="B2682">
        <v>0.18341789869803182</v>
      </c>
    </row>
    <row r="2683" spans="1:2" x14ac:dyDescent="0.25">
      <c r="A2683">
        <v>2654</v>
      </c>
      <c r="B2683">
        <v>9.8349431973160498E-2</v>
      </c>
    </row>
    <row r="2684" spans="1:2" x14ac:dyDescent="0.25">
      <c r="A2684">
        <v>2655</v>
      </c>
      <c r="B2684">
        <v>0.17747338972699966</v>
      </c>
    </row>
    <row r="2685" spans="1:2" x14ac:dyDescent="0.25">
      <c r="A2685">
        <v>2656</v>
      </c>
      <c r="B2685">
        <v>0.59261138150708315</v>
      </c>
    </row>
    <row r="2686" spans="1:2" x14ac:dyDescent="0.25">
      <c r="A2686">
        <v>2657</v>
      </c>
      <c r="B2686">
        <v>7.393380125183277E-2</v>
      </c>
    </row>
    <row r="2687" spans="1:2" x14ac:dyDescent="0.25">
      <c r="A2687">
        <v>2658</v>
      </c>
      <c r="B2687">
        <v>0.19015251170442452</v>
      </c>
    </row>
    <row r="2688" spans="1:2" x14ac:dyDescent="0.25">
      <c r="A2688">
        <v>2659</v>
      </c>
      <c r="B2688">
        <v>0.24262193755701889</v>
      </c>
    </row>
    <row r="2689" spans="1:2" x14ac:dyDescent="0.25">
      <c r="A2689">
        <v>2660</v>
      </c>
      <c r="B2689">
        <v>0.43314525408213322</v>
      </c>
    </row>
    <row r="2690" spans="1:2" x14ac:dyDescent="0.25">
      <c r="A2690">
        <v>2661</v>
      </c>
      <c r="B2690">
        <v>8.6929324725068424E-2</v>
      </c>
    </row>
    <row r="2691" spans="1:2" x14ac:dyDescent="0.25">
      <c r="A2691">
        <v>2662</v>
      </c>
      <c r="B2691">
        <v>0.34486739507073927</v>
      </c>
    </row>
    <row r="2692" spans="1:2" x14ac:dyDescent="0.25">
      <c r="A2692">
        <v>2663</v>
      </c>
      <c r="B2692">
        <v>0.19519647420140041</v>
      </c>
    </row>
    <row r="2693" spans="1:2" x14ac:dyDescent="0.25">
      <c r="A2693">
        <v>2664</v>
      </c>
      <c r="B2693">
        <v>0.11838369361024891</v>
      </c>
    </row>
    <row r="2694" spans="1:2" x14ac:dyDescent="0.25">
      <c r="A2694">
        <v>2665</v>
      </c>
      <c r="B2694">
        <v>0.1393346167245994</v>
      </c>
    </row>
    <row r="2695" spans="1:2" x14ac:dyDescent="0.25">
      <c r="A2695">
        <v>2666</v>
      </c>
      <c r="B2695">
        <v>0.19089458132294509</v>
      </c>
    </row>
    <row r="2696" spans="1:2" x14ac:dyDescent="0.25">
      <c r="A2696">
        <v>2667</v>
      </c>
      <c r="B2696">
        <v>0.17184734987591055</v>
      </c>
    </row>
    <row r="2697" spans="1:2" x14ac:dyDescent="0.25">
      <c r="A2697">
        <v>2668</v>
      </c>
      <c r="B2697">
        <v>0.13215257149853588</v>
      </c>
    </row>
    <row r="2698" spans="1:2" x14ac:dyDescent="0.25">
      <c r="A2698">
        <v>2669</v>
      </c>
      <c r="B2698">
        <v>0.19026947877470018</v>
      </c>
    </row>
    <row r="2699" spans="1:2" x14ac:dyDescent="0.25">
      <c r="A2699">
        <v>2670</v>
      </c>
      <c r="B2699">
        <v>0.21429284691133088</v>
      </c>
    </row>
    <row r="2700" spans="1:2" x14ac:dyDescent="0.25">
      <c r="A2700">
        <v>2671</v>
      </c>
      <c r="B2700">
        <v>0.19366030241011903</v>
      </c>
    </row>
    <row r="2701" spans="1:2" x14ac:dyDescent="0.25">
      <c r="A2701">
        <v>2672</v>
      </c>
      <c r="B2701">
        <v>0.27689836342134555</v>
      </c>
    </row>
    <row r="2702" spans="1:2" x14ac:dyDescent="0.25">
      <c r="A2702">
        <v>2673</v>
      </c>
      <c r="B2702">
        <v>0.12661570971502303</v>
      </c>
    </row>
    <row r="2703" spans="1:2" x14ac:dyDescent="0.25">
      <c r="A2703">
        <v>2674</v>
      </c>
      <c r="B2703">
        <v>8.458487264748929E-2</v>
      </c>
    </row>
    <row r="2704" spans="1:2" x14ac:dyDescent="0.25">
      <c r="A2704">
        <v>2675</v>
      </c>
      <c r="B2704">
        <v>0.18999839748859781</v>
      </c>
    </row>
    <row r="2705" spans="1:2" x14ac:dyDescent="0.25">
      <c r="A2705">
        <v>2676</v>
      </c>
      <c r="B2705">
        <v>0.39979909949423831</v>
      </c>
    </row>
    <row r="2706" spans="1:2" x14ac:dyDescent="0.25">
      <c r="A2706">
        <v>2677</v>
      </c>
      <c r="B2706">
        <v>0.46853610923483358</v>
      </c>
    </row>
    <row r="2707" spans="1:2" x14ac:dyDescent="0.25">
      <c r="A2707">
        <v>2678</v>
      </c>
      <c r="B2707">
        <v>5.9993447339858709E-2</v>
      </c>
    </row>
    <row r="2708" spans="1:2" x14ac:dyDescent="0.25">
      <c r="A2708">
        <v>2679</v>
      </c>
      <c r="B2708">
        <v>0.16290971265827031</v>
      </c>
    </row>
    <row r="2709" spans="1:2" x14ac:dyDescent="0.25">
      <c r="A2709">
        <v>2680</v>
      </c>
      <c r="B2709">
        <v>0.11901015381098067</v>
      </c>
    </row>
    <row r="2710" spans="1:2" x14ac:dyDescent="0.25">
      <c r="A2710">
        <v>2681</v>
      </c>
      <c r="B2710">
        <v>0.15194193612226115</v>
      </c>
    </row>
    <row r="2711" spans="1:2" x14ac:dyDescent="0.25">
      <c r="A2711">
        <v>2682</v>
      </c>
      <c r="B2711">
        <v>0.34153895224849973</v>
      </c>
    </row>
    <row r="2712" spans="1:2" x14ac:dyDescent="0.25">
      <c r="A2712">
        <v>2683</v>
      </c>
      <c r="B2712">
        <v>0.20346577076513803</v>
      </c>
    </row>
    <row r="2713" spans="1:2" x14ac:dyDescent="0.25">
      <c r="A2713">
        <v>2684</v>
      </c>
      <c r="B2713">
        <v>0.11587508536558208</v>
      </c>
    </row>
    <row r="2714" spans="1:2" x14ac:dyDescent="0.25">
      <c r="A2714">
        <v>2685</v>
      </c>
      <c r="B2714">
        <v>0.18849155721131972</v>
      </c>
    </row>
    <row r="2715" spans="1:2" x14ac:dyDescent="0.25">
      <c r="A2715">
        <v>2686</v>
      </c>
      <c r="B2715">
        <v>9.953475622278847E-2</v>
      </c>
    </row>
    <row r="2716" spans="1:2" x14ac:dyDescent="0.25">
      <c r="A2716">
        <v>2687</v>
      </c>
      <c r="B2716">
        <v>8.4736803321917187E-2</v>
      </c>
    </row>
    <row r="2717" spans="1:2" x14ac:dyDescent="0.25">
      <c r="A2717">
        <v>2688</v>
      </c>
      <c r="B2717">
        <v>0.14507206596666158</v>
      </c>
    </row>
    <row r="2718" spans="1:2" x14ac:dyDescent="0.25">
      <c r="A2718">
        <v>2689</v>
      </c>
      <c r="B2718">
        <v>0.18697268247379778</v>
      </c>
    </row>
    <row r="2719" spans="1:2" x14ac:dyDescent="0.25">
      <c r="A2719">
        <v>2690</v>
      </c>
      <c r="B2719">
        <v>0.22705891529905864</v>
      </c>
    </row>
    <row r="2720" spans="1:2" x14ac:dyDescent="0.25">
      <c r="A2720">
        <v>2691</v>
      </c>
      <c r="B2720">
        <v>0.18464746338430987</v>
      </c>
    </row>
    <row r="2721" spans="1:2" x14ac:dyDescent="0.25">
      <c r="A2721">
        <v>2692</v>
      </c>
      <c r="B2721">
        <v>7.949281537364665E-2</v>
      </c>
    </row>
    <row r="2722" spans="1:2" x14ac:dyDescent="0.25">
      <c r="A2722">
        <v>2693</v>
      </c>
      <c r="B2722">
        <v>0.27688162527934984</v>
      </c>
    </row>
    <row r="2723" spans="1:2" x14ac:dyDescent="0.25">
      <c r="A2723">
        <v>2694</v>
      </c>
      <c r="B2723">
        <v>0.2158587788030536</v>
      </c>
    </row>
    <row r="2724" spans="1:2" x14ac:dyDescent="0.25">
      <c r="A2724">
        <v>2695</v>
      </c>
      <c r="B2724">
        <v>8.7483363134473927E-2</v>
      </c>
    </row>
    <row r="2725" spans="1:2" x14ac:dyDescent="0.25">
      <c r="A2725">
        <v>2696</v>
      </c>
      <c r="B2725">
        <v>0.18879263943725264</v>
      </c>
    </row>
    <row r="2726" spans="1:2" x14ac:dyDescent="0.25">
      <c r="A2726">
        <v>2697</v>
      </c>
      <c r="B2726">
        <v>0.21001959312875748</v>
      </c>
    </row>
    <row r="2727" spans="1:2" x14ac:dyDescent="0.25">
      <c r="A2727">
        <v>2698</v>
      </c>
      <c r="B2727">
        <v>0.14410290933659167</v>
      </c>
    </row>
    <row r="2728" spans="1:2" x14ac:dyDescent="0.25">
      <c r="A2728">
        <v>2699</v>
      </c>
      <c r="B2728">
        <v>0.14921235097456795</v>
      </c>
    </row>
    <row r="2729" spans="1:2" x14ac:dyDescent="0.25">
      <c r="A2729">
        <v>2700</v>
      </c>
      <c r="B2729">
        <v>5.6513523305481442E-2</v>
      </c>
    </row>
    <row r="2730" spans="1:2" x14ac:dyDescent="0.25">
      <c r="A2730">
        <v>2701</v>
      </c>
      <c r="B2730">
        <v>0.33551527770066175</v>
      </c>
    </row>
    <row r="2731" spans="1:2" x14ac:dyDescent="0.25">
      <c r="A2731">
        <v>2702</v>
      </c>
      <c r="B2731">
        <v>0.27313688488809762</v>
      </c>
    </row>
    <row r="2732" spans="1:2" x14ac:dyDescent="0.25">
      <c r="A2732">
        <v>2703</v>
      </c>
      <c r="B2732">
        <v>0.15249590461311646</v>
      </c>
    </row>
    <row r="2733" spans="1:2" x14ac:dyDescent="0.25">
      <c r="A2733">
        <v>2704</v>
      </c>
      <c r="B2733">
        <v>0.39236176675765044</v>
      </c>
    </row>
    <row r="2734" spans="1:2" x14ac:dyDescent="0.25">
      <c r="A2734">
        <v>2705</v>
      </c>
      <c r="B2734">
        <v>0.14445446777658758</v>
      </c>
    </row>
    <row r="2735" spans="1:2" x14ac:dyDescent="0.25">
      <c r="A2735">
        <v>2706</v>
      </c>
      <c r="B2735">
        <v>0.42226985782190679</v>
      </c>
    </row>
    <row r="2736" spans="1:2" x14ac:dyDescent="0.25">
      <c r="A2736">
        <v>2707</v>
      </c>
      <c r="B2736">
        <v>0.43045583369647034</v>
      </c>
    </row>
    <row r="2737" spans="1:2" x14ac:dyDescent="0.25">
      <c r="A2737">
        <v>2708</v>
      </c>
      <c r="B2737">
        <v>0.28453835800646743</v>
      </c>
    </row>
    <row r="2738" spans="1:2" x14ac:dyDescent="0.25">
      <c r="A2738">
        <v>2709</v>
      </c>
      <c r="B2738">
        <v>0.24405494579367346</v>
      </c>
    </row>
    <row r="2739" spans="1:2" x14ac:dyDescent="0.25">
      <c r="A2739">
        <v>2710</v>
      </c>
      <c r="B2739">
        <v>0.14470353668447561</v>
      </c>
    </row>
    <row r="2740" spans="1:2" x14ac:dyDescent="0.25">
      <c r="A2740">
        <v>2711</v>
      </c>
      <c r="B2740">
        <v>0.1902232147903882</v>
      </c>
    </row>
    <row r="2741" spans="1:2" x14ac:dyDescent="0.25">
      <c r="A2741">
        <v>2712</v>
      </c>
      <c r="B2741">
        <v>0.1794054382868179</v>
      </c>
    </row>
    <row r="2742" spans="1:2" x14ac:dyDescent="0.25">
      <c r="A2742">
        <v>2713</v>
      </c>
      <c r="B2742">
        <v>0.3395597676720204</v>
      </c>
    </row>
    <row r="2743" spans="1:2" x14ac:dyDescent="0.25">
      <c r="A2743">
        <v>2714</v>
      </c>
      <c r="B2743">
        <v>0.15824815091978595</v>
      </c>
    </row>
    <row r="2744" spans="1:2" x14ac:dyDescent="0.25">
      <c r="A2744">
        <v>2715</v>
      </c>
      <c r="B2744">
        <v>3.7895928834794604E-2</v>
      </c>
    </row>
    <row r="2745" spans="1:2" x14ac:dyDescent="0.25">
      <c r="A2745">
        <v>2716</v>
      </c>
      <c r="B2745">
        <v>0.35985371024503349</v>
      </c>
    </row>
    <row r="2746" spans="1:2" x14ac:dyDescent="0.25">
      <c r="A2746">
        <v>2717</v>
      </c>
      <c r="B2746">
        <v>0.11148885942757161</v>
      </c>
    </row>
    <row r="2747" spans="1:2" x14ac:dyDescent="0.25">
      <c r="A2747">
        <v>2718</v>
      </c>
      <c r="B2747">
        <v>0.21783404585674157</v>
      </c>
    </row>
    <row r="2748" spans="1:2" x14ac:dyDescent="0.25">
      <c r="A2748">
        <v>2719</v>
      </c>
      <c r="B2748">
        <v>0.23062616760135604</v>
      </c>
    </row>
    <row r="2749" spans="1:2" x14ac:dyDescent="0.25">
      <c r="A2749">
        <v>2720</v>
      </c>
      <c r="B2749">
        <v>0.29349508157934995</v>
      </c>
    </row>
    <row r="2750" spans="1:2" x14ac:dyDescent="0.25">
      <c r="A2750">
        <v>2721</v>
      </c>
      <c r="B2750">
        <v>5.1234930204051794E-2</v>
      </c>
    </row>
    <row r="2751" spans="1:2" x14ac:dyDescent="0.25">
      <c r="A2751">
        <v>2722</v>
      </c>
      <c r="B2751">
        <v>0.16523939966000645</v>
      </c>
    </row>
    <row r="2752" spans="1:2" x14ac:dyDescent="0.25">
      <c r="A2752">
        <v>2723</v>
      </c>
      <c r="B2752">
        <v>0.20928598518446226</v>
      </c>
    </row>
    <row r="2753" spans="1:2" x14ac:dyDescent="0.25">
      <c r="A2753">
        <v>2724</v>
      </c>
      <c r="B2753">
        <v>7.3057757212412991E-2</v>
      </c>
    </row>
    <row r="2754" spans="1:2" x14ac:dyDescent="0.25">
      <c r="A2754">
        <v>2725</v>
      </c>
      <c r="B2754">
        <v>0.26378749328640266</v>
      </c>
    </row>
    <row r="2755" spans="1:2" x14ac:dyDescent="0.25">
      <c r="A2755">
        <v>2726</v>
      </c>
      <c r="B2755">
        <v>0.24329447462460146</v>
      </c>
    </row>
    <row r="2756" spans="1:2" x14ac:dyDescent="0.25">
      <c r="A2756">
        <v>2727</v>
      </c>
      <c r="B2756">
        <v>0.3618467674019179</v>
      </c>
    </row>
    <row r="2757" spans="1:2" x14ac:dyDescent="0.25">
      <c r="A2757">
        <v>2728</v>
      </c>
      <c r="B2757">
        <v>0.24308504821059776</v>
      </c>
    </row>
    <row r="2758" spans="1:2" x14ac:dyDescent="0.25">
      <c r="A2758">
        <v>2729</v>
      </c>
      <c r="B2758">
        <v>0.32498851721770677</v>
      </c>
    </row>
    <row r="2759" spans="1:2" x14ac:dyDescent="0.25">
      <c r="A2759">
        <v>2730</v>
      </c>
      <c r="B2759">
        <v>0.1358214497863649</v>
      </c>
    </row>
    <row r="2760" spans="1:2" x14ac:dyDescent="0.25">
      <c r="A2760">
        <v>2731</v>
      </c>
      <c r="B2760">
        <v>0.16516724890505774</v>
      </c>
    </row>
    <row r="2761" spans="1:2" x14ac:dyDescent="0.25">
      <c r="A2761">
        <v>2732</v>
      </c>
      <c r="B2761">
        <v>0.3082316586837201</v>
      </c>
    </row>
    <row r="2762" spans="1:2" x14ac:dyDescent="0.25">
      <c r="A2762">
        <v>2733</v>
      </c>
      <c r="B2762">
        <v>4.9023899496424113E-2</v>
      </c>
    </row>
    <row r="2763" spans="1:2" x14ac:dyDescent="0.25">
      <c r="A2763">
        <v>2734</v>
      </c>
      <c r="B2763">
        <v>0.15386763924435284</v>
      </c>
    </row>
    <row r="2764" spans="1:2" x14ac:dyDescent="0.25">
      <c r="A2764">
        <v>2735</v>
      </c>
      <c r="B2764">
        <v>0.27889830903758017</v>
      </c>
    </row>
    <row r="2765" spans="1:2" x14ac:dyDescent="0.25">
      <c r="A2765">
        <v>2736</v>
      </c>
      <c r="B2765">
        <v>0.12223060136543716</v>
      </c>
    </row>
    <row r="2766" spans="1:2" x14ac:dyDescent="0.25">
      <c r="A2766">
        <v>2737</v>
      </c>
      <c r="B2766">
        <v>0.17592053750080666</v>
      </c>
    </row>
    <row r="2767" spans="1:2" x14ac:dyDescent="0.25">
      <c r="A2767">
        <v>2738</v>
      </c>
      <c r="B2767">
        <v>0.43848151795839191</v>
      </c>
    </row>
    <row r="2768" spans="1:2" x14ac:dyDescent="0.25">
      <c r="A2768">
        <v>2739</v>
      </c>
      <c r="B2768">
        <v>0.12309748854503705</v>
      </c>
    </row>
    <row r="2769" spans="1:2" x14ac:dyDescent="0.25">
      <c r="A2769">
        <v>2740</v>
      </c>
      <c r="B2769">
        <v>0.32360634393042653</v>
      </c>
    </row>
    <row r="2770" spans="1:2" x14ac:dyDescent="0.25">
      <c r="A2770">
        <v>2741</v>
      </c>
      <c r="B2770">
        <v>0.16968184242453882</v>
      </c>
    </row>
    <row r="2771" spans="1:2" x14ac:dyDescent="0.25">
      <c r="A2771">
        <v>2742</v>
      </c>
      <c r="B2771">
        <v>0.24991348227664023</v>
      </c>
    </row>
    <row r="2772" spans="1:2" x14ac:dyDescent="0.25">
      <c r="A2772">
        <v>2743</v>
      </c>
      <c r="B2772">
        <v>8.7736261592636491E-2</v>
      </c>
    </row>
    <row r="2773" spans="1:2" x14ac:dyDescent="0.25">
      <c r="A2773">
        <v>2744</v>
      </c>
      <c r="B2773">
        <v>0.23696448871218459</v>
      </c>
    </row>
    <row r="2774" spans="1:2" x14ac:dyDescent="0.25">
      <c r="A2774">
        <v>2745</v>
      </c>
      <c r="B2774">
        <v>0.1548814937654738</v>
      </c>
    </row>
    <row r="2775" spans="1:2" x14ac:dyDescent="0.25">
      <c r="A2775">
        <v>2746</v>
      </c>
      <c r="B2775">
        <v>0.22782610799140773</v>
      </c>
    </row>
    <row r="2776" spans="1:2" x14ac:dyDescent="0.25">
      <c r="A2776">
        <v>2747</v>
      </c>
      <c r="B2776">
        <v>0.26857264209036885</v>
      </c>
    </row>
    <row r="2777" spans="1:2" x14ac:dyDescent="0.25">
      <c r="A2777">
        <v>2748</v>
      </c>
      <c r="B2777">
        <v>0.13647389759739861</v>
      </c>
    </row>
    <row r="2778" spans="1:2" x14ac:dyDescent="0.25">
      <c r="A2778">
        <v>2749</v>
      </c>
      <c r="B2778">
        <v>0.21804174291788142</v>
      </c>
    </row>
    <row r="2779" spans="1:2" x14ac:dyDescent="0.25">
      <c r="A2779">
        <v>2750</v>
      </c>
      <c r="B2779">
        <v>9.0627783429690384E-2</v>
      </c>
    </row>
    <row r="2780" spans="1:2" x14ac:dyDescent="0.25">
      <c r="A2780">
        <v>2751</v>
      </c>
      <c r="B2780">
        <v>8.906140462857369E-2</v>
      </c>
    </row>
    <row r="2781" spans="1:2" x14ac:dyDescent="0.25">
      <c r="A2781">
        <v>2752</v>
      </c>
      <c r="B2781">
        <v>0.26600100618526767</v>
      </c>
    </row>
    <row r="2782" spans="1:2" x14ac:dyDescent="0.25">
      <c r="A2782">
        <v>2753</v>
      </c>
      <c r="B2782">
        <v>0.25701350354760394</v>
      </c>
    </row>
    <row r="2783" spans="1:2" x14ac:dyDescent="0.25">
      <c r="A2783">
        <v>2754</v>
      </c>
      <c r="B2783">
        <v>8.2140361455069005E-2</v>
      </c>
    </row>
    <row r="2784" spans="1:2" x14ac:dyDescent="0.25">
      <c r="A2784">
        <v>2755</v>
      </c>
      <c r="B2784">
        <v>0.4755676050727754</v>
      </c>
    </row>
    <row r="2785" spans="1:2" x14ac:dyDescent="0.25">
      <c r="A2785">
        <v>2756</v>
      </c>
      <c r="B2785">
        <v>0.58842851751135661</v>
      </c>
    </row>
    <row r="2786" spans="1:2" x14ac:dyDescent="0.25">
      <c r="A2786">
        <v>2757</v>
      </c>
      <c r="B2786">
        <v>0.61350732318026702</v>
      </c>
    </row>
    <row r="2787" spans="1:2" x14ac:dyDescent="0.25">
      <c r="A2787">
        <v>2758</v>
      </c>
      <c r="B2787">
        <v>0.21838256088523017</v>
      </c>
    </row>
    <row r="2788" spans="1:2" x14ac:dyDescent="0.25">
      <c r="A2788">
        <v>2759</v>
      </c>
      <c r="B2788">
        <v>0.13306234688468052</v>
      </c>
    </row>
    <row r="2789" spans="1:2" x14ac:dyDescent="0.25">
      <c r="A2789">
        <v>2760</v>
      </c>
      <c r="B2789">
        <v>0.33228322870116539</v>
      </c>
    </row>
    <row r="2790" spans="1:2" x14ac:dyDescent="0.25">
      <c r="A2790">
        <v>2761</v>
      </c>
      <c r="B2790">
        <v>0.26789556536699183</v>
      </c>
    </row>
    <row r="2791" spans="1:2" x14ac:dyDescent="0.25">
      <c r="A2791">
        <v>2762</v>
      </c>
      <c r="B2791">
        <v>0.24442794734804338</v>
      </c>
    </row>
    <row r="2792" spans="1:2" x14ac:dyDescent="0.25">
      <c r="A2792">
        <v>2763</v>
      </c>
      <c r="B2792">
        <v>0.20098215800480376</v>
      </c>
    </row>
    <row r="2793" spans="1:2" x14ac:dyDescent="0.25">
      <c r="A2793">
        <v>2764</v>
      </c>
      <c r="B2793">
        <v>0.68510380472412546</v>
      </c>
    </row>
    <row r="2794" spans="1:2" x14ac:dyDescent="0.25">
      <c r="A2794">
        <v>2765</v>
      </c>
      <c r="B2794">
        <v>0.39704940022634611</v>
      </c>
    </row>
    <row r="2795" spans="1:2" x14ac:dyDescent="0.25">
      <c r="A2795">
        <v>2766</v>
      </c>
      <c r="B2795">
        <v>7.3554870895054802E-2</v>
      </c>
    </row>
    <row r="2796" spans="1:2" x14ac:dyDescent="0.25">
      <c r="A2796">
        <v>2767</v>
      </c>
      <c r="B2796">
        <v>0.15490163105512195</v>
      </c>
    </row>
    <row r="2797" spans="1:2" x14ac:dyDescent="0.25">
      <c r="A2797">
        <v>2768</v>
      </c>
      <c r="B2797">
        <v>4.8896069830761849E-2</v>
      </c>
    </row>
    <row r="2798" spans="1:2" x14ac:dyDescent="0.25">
      <c r="A2798">
        <v>2769</v>
      </c>
      <c r="B2798">
        <v>0.46536351005340471</v>
      </c>
    </row>
    <row r="2799" spans="1:2" x14ac:dyDescent="0.25">
      <c r="A2799">
        <v>2770</v>
      </c>
      <c r="B2799">
        <v>0.15361991607695313</v>
      </c>
    </row>
    <row r="2800" spans="1:2" x14ac:dyDescent="0.25">
      <c r="A2800">
        <v>2771</v>
      </c>
      <c r="B2800">
        <v>0.12317583803006718</v>
      </c>
    </row>
    <row r="2801" spans="1:2" x14ac:dyDescent="0.25">
      <c r="A2801">
        <v>2772</v>
      </c>
      <c r="B2801">
        <v>0.31691107585024697</v>
      </c>
    </row>
    <row r="2802" spans="1:2" x14ac:dyDescent="0.25">
      <c r="A2802">
        <v>2773</v>
      </c>
      <c r="B2802">
        <v>0.15904124341268022</v>
      </c>
    </row>
    <row r="2803" spans="1:2" x14ac:dyDescent="0.25">
      <c r="A2803">
        <v>2774</v>
      </c>
      <c r="B2803">
        <v>6.6630376673175951E-2</v>
      </c>
    </row>
    <row r="2804" spans="1:2" x14ac:dyDescent="0.25">
      <c r="A2804">
        <v>2775</v>
      </c>
      <c r="B2804">
        <v>0.15539531782234611</v>
      </c>
    </row>
    <row r="2805" spans="1:2" x14ac:dyDescent="0.25">
      <c r="A2805">
        <v>2776</v>
      </c>
      <c r="B2805">
        <v>0.36370355567413148</v>
      </c>
    </row>
    <row r="2806" spans="1:2" x14ac:dyDescent="0.25">
      <c r="A2806">
        <v>2777</v>
      </c>
      <c r="B2806">
        <v>0.14251544050816045</v>
      </c>
    </row>
    <row r="2807" spans="1:2" x14ac:dyDescent="0.25">
      <c r="A2807">
        <v>2778</v>
      </c>
      <c r="B2807">
        <v>0.38388318834200741</v>
      </c>
    </row>
    <row r="2808" spans="1:2" x14ac:dyDescent="0.25">
      <c r="A2808">
        <v>2779</v>
      </c>
      <c r="B2808">
        <v>0.21640223346321044</v>
      </c>
    </row>
    <row r="2809" spans="1:2" x14ac:dyDescent="0.25">
      <c r="A2809">
        <v>2780</v>
      </c>
      <c r="B2809">
        <v>0.19445917868484713</v>
      </c>
    </row>
    <row r="2810" spans="1:2" x14ac:dyDescent="0.25">
      <c r="A2810">
        <v>2781</v>
      </c>
      <c r="B2810">
        <v>4.837988006442992E-2</v>
      </c>
    </row>
    <row r="2811" spans="1:2" x14ac:dyDescent="0.25">
      <c r="A2811">
        <v>2782</v>
      </c>
      <c r="B2811">
        <v>0.10477993038803921</v>
      </c>
    </row>
    <row r="2812" spans="1:2" x14ac:dyDescent="0.25">
      <c r="A2812">
        <v>2783</v>
      </c>
      <c r="B2812">
        <v>0.24065935915612169</v>
      </c>
    </row>
    <row r="2813" spans="1:2" x14ac:dyDescent="0.25">
      <c r="A2813">
        <v>2784</v>
      </c>
      <c r="B2813">
        <v>0.45589288759035301</v>
      </c>
    </row>
    <row r="2814" spans="1:2" x14ac:dyDescent="0.25">
      <c r="A2814">
        <v>2785</v>
      </c>
      <c r="B2814">
        <v>0.24498816872057488</v>
      </c>
    </row>
    <row r="2815" spans="1:2" x14ac:dyDescent="0.25">
      <c r="A2815">
        <v>2786</v>
      </c>
      <c r="B2815">
        <v>0.29439846115064078</v>
      </c>
    </row>
    <row r="2816" spans="1:2" x14ac:dyDescent="0.25">
      <c r="A2816">
        <v>2787</v>
      </c>
      <c r="B2816">
        <v>0.32164778166693969</v>
      </c>
    </row>
    <row r="2817" spans="1:2" x14ac:dyDescent="0.25">
      <c r="A2817">
        <v>2788</v>
      </c>
      <c r="B2817">
        <v>8.832098190414131E-2</v>
      </c>
    </row>
    <row r="2818" spans="1:2" x14ac:dyDescent="0.25">
      <c r="A2818">
        <v>2789</v>
      </c>
      <c r="B2818">
        <v>0.28840311799877888</v>
      </c>
    </row>
    <row r="2819" spans="1:2" x14ac:dyDescent="0.25">
      <c r="A2819">
        <v>2790</v>
      </c>
      <c r="B2819">
        <v>0.21627352045301512</v>
      </c>
    </row>
    <row r="2820" spans="1:2" x14ac:dyDescent="0.25">
      <c r="A2820">
        <v>2791</v>
      </c>
      <c r="B2820">
        <v>8.0668211099226825E-2</v>
      </c>
    </row>
    <row r="2821" spans="1:2" x14ac:dyDescent="0.25">
      <c r="A2821">
        <v>2792</v>
      </c>
      <c r="B2821">
        <v>0.39809558764463043</v>
      </c>
    </row>
    <row r="2822" spans="1:2" x14ac:dyDescent="0.25">
      <c r="A2822">
        <v>2793</v>
      </c>
      <c r="B2822">
        <v>0.21488816540650166</v>
      </c>
    </row>
    <row r="2823" spans="1:2" x14ac:dyDescent="0.25">
      <c r="A2823">
        <v>2794</v>
      </c>
      <c r="B2823">
        <v>9.7676241586211868E-2</v>
      </c>
    </row>
    <row r="2824" spans="1:2" x14ac:dyDescent="0.25">
      <c r="A2824">
        <v>2795</v>
      </c>
      <c r="B2824">
        <v>0.22337155225747496</v>
      </c>
    </row>
    <row r="2825" spans="1:2" x14ac:dyDescent="0.25">
      <c r="A2825">
        <v>2796</v>
      </c>
      <c r="B2825">
        <v>0.54674634173718251</v>
      </c>
    </row>
    <row r="2826" spans="1:2" x14ac:dyDescent="0.25">
      <c r="A2826">
        <v>2797</v>
      </c>
      <c r="B2826">
        <v>0.21224570566919093</v>
      </c>
    </row>
    <row r="2827" spans="1:2" x14ac:dyDescent="0.25">
      <c r="A2827">
        <v>2798</v>
      </c>
      <c r="B2827">
        <v>0.13304519105566598</v>
      </c>
    </row>
    <row r="2828" spans="1:2" x14ac:dyDescent="0.25">
      <c r="A2828">
        <v>2799</v>
      </c>
      <c r="B2828">
        <v>0.26936802525007131</v>
      </c>
    </row>
    <row r="2829" spans="1:2" x14ac:dyDescent="0.25">
      <c r="A2829">
        <v>2800</v>
      </c>
      <c r="B2829">
        <v>0.34610288877164597</v>
      </c>
    </row>
    <row r="2830" spans="1:2" x14ac:dyDescent="0.25">
      <c r="A2830">
        <v>2801</v>
      </c>
      <c r="B2830">
        <v>0.17227152532044515</v>
      </c>
    </row>
    <row r="2831" spans="1:2" x14ac:dyDescent="0.25">
      <c r="A2831">
        <v>2802</v>
      </c>
      <c r="B2831">
        <v>0.39444528189468314</v>
      </c>
    </row>
    <row r="2832" spans="1:2" x14ac:dyDescent="0.25">
      <c r="A2832">
        <v>2803</v>
      </c>
      <c r="B2832">
        <v>0.17808856340378193</v>
      </c>
    </row>
    <row r="2833" spans="1:2" x14ac:dyDescent="0.25">
      <c r="A2833">
        <v>2804</v>
      </c>
      <c r="B2833">
        <v>0.29226756996250325</v>
      </c>
    </row>
    <row r="2834" spans="1:2" x14ac:dyDescent="0.25">
      <c r="A2834">
        <v>2805</v>
      </c>
      <c r="B2834">
        <v>0.10768620925896791</v>
      </c>
    </row>
    <row r="2835" spans="1:2" x14ac:dyDescent="0.25">
      <c r="A2835">
        <v>2806</v>
      </c>
      <c r="B2835">
        <v>0.12351748864567773</v>
      </c>
    </row>
    <row r="2836" spans="1:2" x14ac:dyDescent="0.25">
      <c r="A2836">
        <v>2807</v>
      </c>
      <c r="B2836">
        <v>0.30873929894365254</v>
      </c>
    </row>
    <row r="2837" spans="1:2" x14ac:dyDescent="0.25">
      <c r="A2837">
        <v>2808</v>
      </c>
      <c r="B2837">
        <v>7.9103577150773735E-2</v>
      </c>
    </row>
    <row r="2838" spans="1:2" x14ac:dyDescent="0.25">
      <c r="A2838">
        <v>2809</v>
      </c>
      <c r="B2838">
        <v>7.0659517826484913E-2</v>
      </c>
    </row>
    <row r="2839" spans="1:2" x14ac:dyDescent="0.25">
      <c r="A2839">
        <v>2810</v>
      </c>
      <c r="B2839">
        <v>0.10597457648796699</v>
      </c>
    </row>
    <row r="2840" spans="1:2" x14ac:dyDescent="0.25">
      <c r="A2840">
        <v>2811</v>
      </c>
      <c r="B2840">
        <v>0.12035072109843373</v>
      </c>
    </row>
    <row r="2841" spans="1:2" x14ac:dyDescent="0.25">
      <c r="A2841">
        <v>2812</v>
      </c>
      <c r="B2841">
        <v>7.8618729807187343E-2</v>
      </c>
    </row>
    <row r="2842" spans="1:2" x14ac:dyDescent="0.25">
      <c r="A2842">
        <v>2813</v>
      </c>
      <c r="B2842">
        <v>0.32641234195234231</v>
      </c>
    </row>
    <row r="2843" spans="1:2" x14ac:dyDescent="0.25">
      <c r="A2843">
        <v>2814</v>
      </c>
      <c r="B2843">
        <v>4.3421983216300787E-2</v>
      </c>
    </row>
    <row r="2844" spans="1:2" x14ac:dyDescent="0.25">
      <c r="A2844">
        <v>2815</v>
      </c>
      <c r="B2844">
        <v>0.2612134556825248</v>
      </c>
    </row>
    <row r="2845" spans="1:2" x14ac:dyDescent="0.25">
      <c r="A2845">
        <v>2816</v>
      </c>
      <c r="B2845">
        <v>0.13190964133294653</v>
      </c>
    </row>
    <row r="2846" spans="1:2" x14ac:dyDescent="0.25">
      <c r="A2846">
        <v>2817</v>
      </c>
      <c r="B2846">
        <v>0.10275068560392508</v>
      </c>
    </row>
    <row r="2847" spans="1:2" x14ac:dyDescent="0.25">
      <c r="A2847">
        <v>2818</v>
      </c>
      <c r="B2847">
        <v>0.16785122630521437</v>
      </c>
    </row>
    <row r="2848" spans="1:2" x14ac:dyDescent="0.25">
      <c r="A2848">
        <v>2819</v>
      </c>
      <c r="B2848">
        <v>0.19895605770652952</v>
      </c>
    </row>
    <row r="2849" spans="1:2" x14ac:dyDescent="0.25">
      <c r="A2849">
        <v>2820</v>
      </c>
      <c r="B2849">
        <v>0.16586399103709351</v>
      </c>
    </row>
    <row r="2850" spans="1:2" x14ac:dyDescent="0.25">
      <c r="A2850">
        <v>2821</v>
      </c>
      <c r="B2850">
        <v>0.25225471940254129</v>
      </c>
    </row>
    <row r="2851" spans="1:2" x14ac:dyDescent="0.25">
      <c r="A2851">
        <v>2822</v>
      </c>
      <c r="B2851">
        <v>0.13773816371751704</v>
      </c>
    </row>
    <row r="2852" spans="1:2" x14ac:dyDescent="0.25">
      <c r="A2852">
        <v>2823</v>
      </c>
      <c r="B2852">
        <v>0.19224860528228618</v>
      </c>
    </row>
    <row r="2853" spans="1:2" x14ac:dyDescent="0.25">
      <c r="A2853">
        <v>2824</v>
      </c>
      <c r="B2853">
        <v>0.25855435995371429</v>
      </c>
    </row>
    <row r="2854" spans="1:2" x14ac:dyDescent="0.25">
      <c r="A2854">
        <v>2825</v>
      </c>
      <c r="B2854">
        <v>0.24902103031173944</v>
      </c>
    </row>
    <row r="2855" spans="1:2" x14ac:dyDescent="0.25">
      <c r="A2855">
        <v>2826</v>
      </c>
      <c r="B2855">
        <v>0.11111274960175171</v>
      </c>
    </row>
    <row r="2856" spans="1:2" x14ac:dyDescent="0.25">
      <c r="A2856">
        <v>2827</v>
      </c>
      <c r="B2856">
        <v>0.29903251610589288</v>
      </c>
    </row>
    <row r="2857" spans="1:2" x14ac:dyDescent="0.25">
      <c r="A2857">
        <v>2828</v>
      </c>
      <c r="B2857">
        <v>8.8724361080610034E-2</v>
      </c>
    </row>
    <row r="2858" spans="1:2" x14ac:dyDescent="0.25">
      <c r="A2858">
        <v>2829</v>
      </c>
      <c r="B2858">
        <v>0.14408579679193709</v>
      </c>
    </row>
    <row r="2859" spans="1:2" x14ac:dyDescent="0.25">
      <c r="A2859">
        <v>2830</v>
      </c>
      <c r="B2859">
        <v>0.14850199663102892</v>
      </c>
    </row>
    <row r="2860" spans="1:2" x14ac:dyDescent="0.25">
      <c r="A2860">
        <v>2831</v>
      </c>
      <c r="B2860">
        <v>0.31830653852656265</v>
      </c>
    </row>
    <row r="2861" spans="1:2" x14ac:dyDescent="0.25">
      <c r="A2861">
        <v>2832</v>
      </c>
      <c r="B2861">
        <v>0.13271193613683152</v>
      </c>
    </row>
    <row r="2862" spans="1:2" x14ac:dyDescent="0.25">
      <c r="A2862">
        <v>2833</v>
      </c>
      <c r="B2862">
        <v>0.17526218890621523</v>
      </c>
    </row>
    <row r="2863" spans="1:2" x14ac:dyDescent="0.25">
      <c r="A2863">
        <v>2834</v>
      </c>
      <c r="B2863">
        <v>4.6771885685144766E-2</v>
      </c>
    </row>
    <row r="2864" spans="1:2" x14ac:dyDescent="0.25">
      <c r="A2864">
        <v>2835</v>
      </c>
      <c r="B2864">
        <v>0.10018306493966493</v>
      </c>
    </row>
    <row r="2865" spans="1:2" x14ac:dyDescent="0.25">
      <c r="A2865">
        <v>2836</v>
      </c>
      <c r="B2865">
        <v>0.11133462120776798</v>
      </c>
    </row>
    <row r="2866" spans="1:2" x14ac:dyDescent="0.25">
      <c r="A2866">
        <v>2837</v>
      </c>
      <c r="B2866">
        <v>0.23049992395063065</v>
      </c>
    </row>
    <row r="2867" spans="1:2" x14ac:dyDescent="0.25">
      <c r="A2867">
        <v>2838</v>
      </c>
      <c r="B2867">
        <v>0.28266795433478142</v>
      </c>
    </row>
    <row r="2868" spans="1:2" x14ac:dyDescent="0.25">
      <c r="A2868">
        <v>2839</v>
      </c>
      <c r="B2868">
        <v>5.1483056837645425E-2</v>
      </c>
    </row>
    <row r="2869" spans="1:2" x14ac:dyDescent="0.25">
      <c r="A2869">
        <v>2840</v>
      </c>
      <c r="B2869">
        <v>0.17070858507871389</v>
      </c>
    </row>
    <row r="2870" spans="1:2" x14ac:dyDescent="0.25">
      <c r="A2870">
        <v>2841</v>
      </c>
      <c r="B2870">
        <v>0.37842686136287695</v>
      </c>
    </row>
    <row r="2871" spans="1:2" x14ac:dyDescent="0.25">
      <c r="A2871">
        <v>2842</v>
      </c>
      <c r="B2871">
        <v>0.11476644086486802</v>
      </c>
    </row>
    <row r="2872" spans="1:2" x14ac:dyDescent="0.25">
      <c r="A2872">
        <v>2843</v>
      </c>
      <c r="B2872">
        <v>0.15356681264615119</v>
      </c>
    </row>
    <row r="2873" spans="1:2" x14ac:dyDescent="0.25">
      <c r="A2873">
        <v>2844</v>
      </c>
      <c r="B2873">
        <v>1.3181890657965887</v>
      </c>
    </row>
    <row r="2874" spans="1:2" x14ac:dyDescent="0.25">
      <c r="A2874">
        <v>2845</v>
      </c>
      <c r="B2874">
        <v>0.23673016418483905</v>
      </c>
    </row>
    <row r="2875" spans="1:2" x14ac:dyDescent="0.25">
      <c r="A2875">
        <v>2846</v>
      </c>
      <c r="B2875">
        <v>0.26743208544238339</v>
      </c>
    </row>
    <row r="2876" spans="1:2" x14ac:dyDescent="0.25">
      <c r="A2876">
        <v>2847</v>
      </c>
      <c r="B2876">
        <v>7.7403226803163749E-2</v>
      </c>
    </row>
    <row r="2877" spans="1:2" x14ac:dyDescent="0.25">
      <c r="A2877">
        <v>2848</v>
      </c>
      <c r="B2877">
        <v>7.0372265122455022E-2</v>
      </c>
    </row>
    <row r="2878" spans="1:2" x14ac:dyDescent="0.25">
      <c r="A2878">
        <v>2849</v>
      </c>
      <c r="B2878">
        <v>9.1645510785532056E-2</v>
      </c>
    </row>
    <row r="2879" spans="1:2" x14ac:dyDescent="0.25">
      <c r="A2879">
        <v>2850</v>
      </c>
      <c r="B2879">
        <v>0.1561084472804406</v>
      </c>
    </row>
    <row r="2880" spans="1:2" x14ac:dyDescent="0.25">
      <c r="A2880">
        <v>2851</v>
      </c>
      <c r="B2880">
        <v>0.30392920768333026</v>
      </c>
    </row>
    <row r="2881" spans="1:2" x14ac:dyDescent="0.25">
      <c r="A2881">
        <v>2852</v>
      </c>
      <c r="B2881">
        <v>0.10855455696063107</v>
      </c>
    </row>
    <row r="2882" spans="1:2" x14ac:dyDescent="0.25">
      <c r="A2882">
        <v>2853</v>
      </c>
      <c r="B2882">
        <v>0.17609340500988441</v>
      </c>
    </row>
    <row r="2883" spans="1:2" x14ac:dyDescent="0.25">
      <c r="A2883">
        <v>2854</v>
      </c>
      <c r="B2883">
        <v>0.26951902704289921</v>
      </c>
    </row>
    <row r="2884" spans="1:2" x14ac:dyDescent="0.25">
      <c r="A2884">
        <v>2855</v>
      </c>
      <c r="B2884">
        <v>8.9247533167119558E-2</v>
      </c>
    </row>
    <row r="2885" spans="1:2" x14ac:dyDescent="0.25">
      <c r="A2885">
        <v>2856</v>
      </c>
      <c r="B2885">
        <v>0.16974048303326725</v>
      </c>
    </row>
    <row r="2886" spans="1:2" x14ac:dyDescent="0.25">
      <c r="A2886">
        <v>2857</v>
      </c>
      <c r="B2886">
        <v>9.9170624925914205E-2</v>
      </c>
    </row>
    <row r="2887" spans="1:2" x14ac:dyDescent="0.25">
      <c r="A2887">
        <v>2858</v>
      </c>
      <c r="B2887">
        <v>5.6810778328719863E-2</v>
      </c>
    </row>
    <row r="2888" spans="1:2" x14ac:dyDescent="0.25">
      <c r="A2888">
        <v>2859</v>
      </c>
      <c r="B2888">
        <v>0.16274481766644541</v>
      </c>
    </row>
    <row r="2889" spans="1:2" x14ac:dyDescent="0.25">
      <c r="A2889">
        <v>2860</v>
      </c>
      <c r="B2889">
        <v>0.45236256197978147</v>
      </c>
    </row>
    <row r="2890" spans="1:2" x14ac:dyDescent="0.25">
      <c r="A2890">
        <v>2861</v>
      </c>
      <c r="B2890">
        <v>0.12496579073366347</v>
      </c>
    </row>
    <row r="2891" spans="1:2" x14ac:dyDescent="0.25">
      <c r="A2891">
        <v>2862</v>
      </c>
      <c r="B2891">
        <v>0.40399332151312317</v>
      </c>
    </row>
    <row r="2892" spans="1:2" x14ac:dyDescent="0.25">
      <c r="A2892">
        <v>2863</v>
      </c>
      <c r="B2892">
        <v>0.26010436471009174</v>
      </c>
    </row>
    <row r="2893" spans="1:2" x14ac:dyDescent="0.25">
      <c r="A2893">
        <v>2864</v>
      </c>
      <c r="B2893">
        <v>9.2454384879033472E-2</v>
      </c>
    </row>
    <row r="2894" spans="1:2" x14ac:dyDescent="0.25">
      <c r="A2894">
        <v>2865</v>
      </c>
      <c r="B2894">
        <v>0.19649628459605994</v>
      </c>
    </row>
    <row r="2895" spans="1:2" x14ac:dyDescent="0.25">
      <c r="A2895">
        <v>2866</v>
      </c>
      <c r="B2895">
        <v>0.29148685487166615</v>
      </c>
    </row>
    <row r="2896" spans="1:2" x14ac:dyDescent="0.25">
      <c r="A2896">
        <v>2867</v>
      </c>
      <c r="B2896">
        <v>0.11156459231130639</v>
      </c>
    </row>
    <row r="2897" spans="1:2" x14ac:dyDescent="0.25">
      <c r="A2897">
        <v>2868</v>
      </c>
      <c r="B2897">
        <v>7.0878471734505358E-2</v>
      </c>
    </row>
    <row r="2898" spans="1:2" x14ac:dyDescent="0.25">
      <c r="A2898">
        <v>2869</v>
      </c>
      <c r="B2898">
        <v>0.29615944350096102</v>
      </c>
    </row>
    <row r="2899" spans="1:2" x14ac:dyDescent="0.25">
      <c r="A2899">
        <v>2870</v>
      </c>
      <c r="B2899">
        <v>0.43345087495415791</v>
      </c>
    </row>
    <row r="2900" spans="1:2" x14ac:dyDescent="0.25">
      <c r="A2900">
        <v>2871</v>
      </c>
      <c r="B2900">
        <v>0.46272546942534165</v>
      </c>
    </row>
    <row r="2901" spans="1:2" x14ac:dyDescent="0.25">
      <c r="A2901">
        <v>2872</v>
      </c>
      <c r="B2901">
        <v>0.11565738499290421</v>
      </c>
    </row>
    <row r="2902" spans="1:2" x14ac:dyDescent="0.25">
      <c r="A2902">
        <v>2873</v>
      </c>
      <c r="B2902">
        <v>0.16183722044069848</v>
      </c>
    </row>
    <row r="2903" spans="1:2" x14ac:dyDescent="0.25">
      <c r="A2903">
        <v>2874</v>
      </c>
      <c r="B2903">
        <v>7.7272199019454715E-2</v>
      </c>
    </row>
    <row r="2904" spans="1:2" x14ac:dyDescent="0.25">
      <c r="A2904">
        <v>2875</v>
      </c>
      <c r="B2904">
        <v>0.18940162530649579</v>
      </c>
    </row>
    <row r="2905" spans="1:2" x14ac:dyDescent="0.25">
      <c r="A2905">
        <v>2876</v>
      </c>
      <c r="B2905">
        <v>5.0425884757703474E-2</v>
      </c>
    </row>
    <row r="2906" spans="1:2" x14ac:dyDescent="0.25">
      <c r="A2906">
        <v>2877</v>
      </c>
      <c r="B2906">
        <v>0.22422083686270772</v>
      </c>
    </row>
    <row r="2907" spans="1:2" x14ac:dyDescent="0.25">
      <c r="A2907">
        <v>2878</v>
      </c>
      <c r="B2907">
        <v>0.16769879725080014</v>
      </c>
    </row>
    <row r="2908" spans="1:2" x14ac:dyDescent="0.25">
      <c r="A2908">
        <v>2879</v>
      </c>
      <c r="B2908">
        <v>0.21072459658872281</v>
      </c>
    </row>
    <row r="2909" spans="1:2" x14ac:dyDescent="0.25">
      <c r="A2909">
        <v>2880</v>
      </c>
      <c r="B2909">
        <v>0.16424371939906024</v>
      </c>
    </row>
    <row r="2910" spans="1:2" x14ac:dyDescent="0.25">
      <c r="A2910">
        <v>2881</v>
      </c>
      <c r="B2910">
        <v>0.41727114305471924</v>
      </c>
    </row>
    <row r="2911" spans="1:2" x14ac:dyDescent="0.25">
      <c r="A2911">
        <v>2882</v>
      </c>
      <c r="B2911">
        <v>0.41113973540693183</v>
      </c>
    </row>
    <row r="2912" spans="1:2" x14ac:dyDescent="0.25">
      <c r="A2912">
        <v>2883</v>
      </c>
      <c r="B2912">
        <v>1.2610826677382379</v>
      </c>
    </row>
    <row r="2913" spans="1:2" x14ac:dyDescent="0.25">
      <c r="A2913">
        <v>2884</v>
      </c>
      <c r="B2913">
        <v>0.16951563451421656</v>
      </c>
    </row>
    <row r="2914" spans="1:2" x14ac:dyDescent="0.25">
      <c r="A2914">
        <v>2885</v>
      </c>
      <c r="B2914">
        <v>0.15411800353482044</v>
      </c>
    </row>
    <row r="2915" spans="1:2" x14ac:dyDescent="0.25">
      <c r="A2915">
        <v>2886</v>
      </c>
      <c r="B2915">
        <v>0.29506875782097697</v>
      </c>
    </row>
    <row r="2916" spans="1:2" x14ac:dyDescent="0.25">
      <c r="A2916">
        <v>2887</v>
      </c>
      <c r="B2916">
        <v>0.43108321295222446</v>
      </c>
    </row>
    <row r="2917" spans="1:2" x14ac:dyDescent="0.25">
      <c r="A2917">
        <v>2888</v>
      </c>
      <c r="B2917">
        <v>0.3349892355972523</v>
      </c>
    </row>
    <row r="2918" spans="1:2" x14ac:dyDescent="0.25">
      <c r="A2918">
        <v>2889</v>
      </c>
      <c r="B2918">
        <v>0.19364728816342197</v>
      </c>
    </row>
    <row r="2919" spans="1:2" x14ac:dyDescent="0.25">
      <c r="A2919">
        <v>2890</v>
      </c>
      <c r="B2919">
        <v>6.9030082086821029E-2</v>
      </c>
    </row>
    <row r="2920" spans="1:2" x14ac:dyDescent="0.25">
      <c r="A2920">
        <v>2891</v>
      </c>
      <c r="B2920">
        <v>0.25347452918913604</v>
      </c>
    </row>
    <row r="2921" spans="1:2" x14ac:dyDescent="0.25">
      <c r="A2921">
        <v>2892</v>
      </c>
      <c r="B2921">
        <v>6.3777601513360038E-2</v>
      </c>
    </row>
    <row r="2922" spans="1:2" x14ac:dyDescent="0.25">
      <c r="A2922">
        <v>2893</v>
      </c>
      <c r="B2922">
        <v>0.52267416795270527</v>
      </c>
    </row>
    <row r="2923" spans="1:2" x14ac:dyDescent="0.25">
      <c r="A2923">
        <v>2894</v>
      </c>
      <c r="B2923">
        <v>0.1014885227376193</v>
      </c>
    </row>
    <row r="2924" spans="1:2" x14ac:dyDescent="0.25">
      <c r="A2924">
        <v>2895</v>
      </c>
      <c r="B2924">
        <v>0.47319073828351488</v>
      </c>
    </row>
    <row r="2925" spans="1:2" x14ac:dyDescent="0.25">
      <c r="A2925">
        <v>2896</v>
      </c>
      <c r="B2925">
        <v>0.19126792761277761</v>
      </c>
    </row>
    <row r="2926" spans="1:2" x14ac:dyDescent="0.25">
      <c r="A2926">
        <v>2897</v>
      </c>
      <c r="B2926">
        <v>0.14654070251788254</v>
      </c>
    </row>
    <row r="2927" spans="1:2" x14ac:dyDescent="0.25">
      <c r="A2927">
        <v>2898</v>
      </c>
      <c r="B2927">
        <v>0.12739126017834343</v>
      </c>
    </row>
    <row r="2928" spans="1:2" x14ac:dyDescent="0.25">
      <c r="A2928">
        <v>2899</v>
      </c>
      <c r="B2928">
        <v>0.15783387346883651</v>
      </c>
    </row>
    <row r="2929" spans="1:2" x14ac:dyDescent="0.25">
      <c r="A2929">
        <v>2900</v>
      </c>
      <c r="B2929">
        <v>0.16551254028547874</v>
      </c>
    </row>
    <row r="2930" spans="1:2" x14ac:dyDescent="0.25">
      <c r="A2930">
        <v>2901</v>
      </c>
      <c r="B2930">
        <v>0.29988943557925635</v>
      </c>
    </row>
    <row r="2931" spans="1:2" x14ac:dyDescent="0.25">
      <c r="A2931">
        <v>2902</v>
      </c>
      <c r="B2931">
        <v>0.1941297987650506</v>
      </c>
    </row>
    <row r="2932" spans="1:2" x14ac:dyDescent="0.25">
      <c r="A2932">
        <v>2903</v>
      </c>
      <c r="B2932">
        <v>0.80889734144046455</v>
      </c>
    </row>
    <row r="2933" spans="1:2" x14ac:dyDescent="0.25">
      <c r="A2933">
        <v>2904</v>
      </c>
      <c r="B2933">
        <v>0.11517918694250769</v>
      </c>
    </row>
    <row r="2934" spans="1:2" x14ac:dyDescent="0.25">
      <c r="A2934">
        <v>2905</v>
      </c>
      <c r="B2934">
        <v>0.13423002169061815</v>
      </c>
    </row>
    <row r="2935" spans="1:2" x14ac:dyDescent="0.25">
      <c r="A2935">
        <v>2906</v>
      </c>
      <c r="B2935">
        <v>0.29740932205871046</v>
      </c>
    </row>
    <row r="2936" spans="1:2" x14ac:dyDescent="0.25">
      <c r="A2936">
        <v>2907</v>
      </c>
      <c r="B2936">
        <v>1.3488273415429606E-2</v>
      </c>
    </row>
    <row r="2937" spans="1:2" x14ac:dyDescent="0.25">
      <c r="A2937">
        <v>2908</v>
      </c>
      <c r="B2937">
        <v>0.15478568438128568</v>
      </c>
    </row>
    <row r="2938" spans="1:2" x14ac:dyDescent="0.25">
      <c r="A2938">
        <v>2909</v>
      </c>
      <c r="B2938">
        <v>0.13708854673001897</v>
      </c>
    </row>
    <row r="2939" spans="1:2" x14ac:dyDescent="0.25">
      <c r="A2939">
        <v>2910</v>
      </c>
      <c r="B2939">
        <v>0.13816959542310189</v>
      </c>
    </row>
    <row r="2940" spans="1:2" x14ac:dyDescent="0.25">
      <c r="A2940">
        <v>2911</v>
      </c>
      <c r="B2940">
        <v>0.29966242734540649</v>
      </c>
    </row>
    <row r="2941" spans="1:2" x14ac:dyDescent="0.25">
      <c r="A2941">
        <v>2912</v>
      </c>
      <c r="B2941">
        <v>0.36651324972772653</v>
      </c>
    </row>
    <row r="2942" spans="1:2" x14ac:dyDescent="0.25">
      <c r="A2942">
        <v>2913</v>
      </c>
      <c r="B2942">
        <v>0.72662444683152194</v>
      </c>
    </row>
    <row r="2943" spans="1:2" x14ac:dyDescent="0.25">
      <c r="A2943">
        <v>2914</v>
      </c>
      <c r="B2943">
        <v>0.14708160805717901</v>
      </c>
    </row>
    <row r="2944" spans="1:2" x14ac:dyDescent="0.25">
      <c r="A2944">
        <v>2915</v>
      </c>
      <c r="B2944">
        <v>0.18622037216151363</v>
      </c>
    </row>
    <row r="2945" spans="1:2" x14ac:dyDescent="0.25">
      <c r="A2945">
        <v>2916</v>
      </c>
      <c r="B2945">
        <v>0.16795230736326749</v>
      </c>
    </row>
    <row r="2946" spans="1:2" x14ac:dyDescent="0.25">
      <c r="A2946">
        <v>2917</v>
      </c>
      <c r="B2946">
        <v>0.4050883239410506</v>
      </c>
    </row>
    <row r="2947" spans="1:2" x14ac:dyDescent="0.25">
      <c r="A2947">
        <v>2918</v>
      </c>
      <c r="B2947">
        <v>0.28199822496699883</v>
      </c>
    </row>
    <row r="2948" spans="1:2" x14ac:dyDescent="0.25">
      <c r="A2948">
        <v>2919</v>
      </c>
      <c r="B2948">
        <v>0.62440573075025341</v>
      </c>
    </row>
    <row r="2949" spans="1:2" x14ac:dyDescent="0.25">
      <c r="A2949">
        <v>2920</v>
      </c>
      <c r="B2949">
        <v>0.16336011759542121</v>
      </c>
    </row>
    <row r="2950" spans="1:2" x14ac:dyDescent="0.25">
      <c r="A2950">
        <v>2921</v>
      </c>
      <c r="B2950">
        <v>6.6059331264782264E-2</v>
      </c>
    </row>
    <row r="2951" spans="1:2" x14ac:dyDescent="0.25">
      <c r="A2951">
        <v>2922</v>
      </c>
      <c r="B2951">
        <v>0.18679616397949506</v>
      </c>
    </row>
    <row r="2952" spans="1:2" x14ac:dyDescent="0.25">
      <c r="A2952">
        <v>2923</v>
      </c>
      <c r="B2952">
        <v>0.21468197912558856</v>
      </c>
    </row>
    <row r="2953" spans="1:2" x14ac:dyDescent="0.25">
      <c r="A2953">
        <v>2924</v>
      </c>
      <c r="B2953">
        <v>0.40096550728743491</v>
      </c>
    </row>
    <row r="2954" spans="1:2" x14ac:dyDescent="0.25">
      <c r="A2954">
        <v>2925</v>
      </c>
      <c r="B2954">
        <v>0.29475312666633019</v>
      </c>
    </row>
    <row r="2955" spans="1:2" x14ac:dyDescent="0.25">
      <c r="A2955">
        <v>2926</v>
      </c>
      <c r="B2955">
        <v>0.2858866670969476</v>
      </c>
    </row>
    <row r="2956" spans="1:2" x14ac:dyDescent="0.25">
      <c r="A2956">
        <v>2927</v>
      </c>
      <c r="B2956">
        <v>0.28421997958557887</v>
      </c>
    </row>
    <row r="2957" spans="1:2" x14ac:dyDescent="0.25">
      <c r="A2957">
        <v>2928</v>
      </c>
      <c r="B2957">
        <v>7.0012669086182089E-2</v>
      </c>
    </row>
    <row r="2958" spans="1:2" x14ac:dyDescent="0.25">
      <c r="A2958">
        <v>2929</v>
      </c>
      <c r="B2958">
        <v>0.18348750705742845</v>
      </c>
    </row>
    <row r="2959" spans="1:2" x14ac:dyDescent="0.25">
      <c r="A2959">
        <v>2930</v>
      </c>
      <c r="B2959">
        <v>5.7369861198521395E-2</v>
      </c>
    </row>
    <row r="2960" spans="1:2" x14ac:dyDescent="0.25">
      <c r="A2960">
        <v>2931</v>
      </c>
      <c r="B2960">
        <v>0.19016593805114118</v>
      </c>
    </row>
    <row r="2961" spans="1:2" x14ac:dyDescent="0.25">
      <c r="A2961">
        <v>2932</v>
      </c>
      <c r="B2961">
        <v>0.24796013512872847</v>
      </c>
    </row>
    <row r="2962" spans="1:2" x14ac:dyDescent="0.25">
      <c r="A2962">
        <v>2933</v>
      </c>
      <c r="B2962">
        <v>0.28806033592965502</v>
      </c>
    </row>
    <row r="2963" spans="1:2" x14ac:dyDescent="0.25">
      <c r="A2963">
        <v>2934</v>
      </c>
      <c r="B2963">
        <v>0.22249467174511972</v>
      </c>
    </row>
    <row r="2964" spans="1:2" x14ac:dyDescent="0.25">
      <c r="A2964">
        <v>2935</v>
      </c>
      <c r="B2964">
        <v>9.7216550348898104E-2</v>
      </c>
    </row>
    <row r="2965" spans="1:2" x14ac:dyDescent="0.25">
      <c r="A2965">
        <v>2936</v>
      </c>
      <c r="B2965">
        <v>8.8485791969569821E-2</v>
      </c>
    </row>
    <row r="2966" spans="1:2" x14ac:dyDescent="0.25">
      <c r="A2966">
        <v>2937</v>
      </c>
      <c r="B2966">
        <v>0.17590683900711424</v>
      </c>
    </row>
    <row r="2967" spans="1:2" x14ac:dyDescent="0.25">
      <c r="A2967">
        <v>2938</v>
      </c>
      <c r="B2967">
        <v>0.10872549524352726</v>
      </c>
    </row>
    <row r="2968" spans="1:2" x14ac:dyDescent="0.25">
      <c r="A2968">
        <v>2939</v>
      </c>
      <c r="B2968">
        <v>6.3986606997987222E-2</v>
      </c>
    </row>
    <row r="2969" spans="1:2" x14ac:dyDescent="0.25">
      <c r="A2969">
        <v>2940</v>
      </c>
      <c r="B2969">
        <v>0.20240547755870489</v>
      </c>
    </row>
    <row r="2970" spans="1:2" x14ac:dyDescent="0.25">
      <c r="A2970">
        <v>2941</v>
      </c>
      <c r="B2970">
        <v>7.1418823859538932E-2</v>
      </c>
    </row>
    <row r="2971" spans="1:2" x14ac:dyDescent="0.25">
      <c r="A2971">
        <v>2942</v>
      </c>
      <c r="B2971">
        <v>0.69452864413468329</v>
      </c>
    </row>
    <row r="2972" spans="1:2" x14ac:dyDescent="0.25">
      <c r="A2972">
        <v>2943</v>
      </c>
      <c r="B2972">
        <v>6.4225993898266637E-2</v>
      </c>
    </row>
    <row r="2973" spans="1:2" x14ac:dyDescent="0.25">
      <c r="A2973">
        <v>2944</v>
      </c>
      <c r="B2973">
        <v>0.13721230635647441</v>
      </c>
    </row>
    <row r="2974" spans="1:2" x14ac:dyDescent="0.25">
      <c r="A2974">
        <v>2945</v>
      </c>
      <c r="B2974">
        <v>0.13286200929628278</v>
      </c>
    </row>
    <row r="2975" spans="1:2" x14ac:dyDescent="0.25">
      <c r="A2975">
        <v>2946</v>
      </c>
      <c r="B2975">
        <v>0.13357842850389415</v>
      </c>
    </row>
    <row r="2976" spans="1:2" x14ac:dyDescent="0.25">
      <c r="A2976">
        <v>2947</v>
      </c>
      <c r="B2976">
        <v>2.7535012942712267E-2</v>
      </c>
    </row>
    <row r="2977" spans="1:2" x14ac:dyDescent="0.25">
      <c r="A2977">
        <v>2948</v>
      </c>
      <c r="B2977">
        <v>9.9482253567468509E-2</v>
      </c>
    </row>
    <row r="2978" spans="1:2" x14ac:dyDescent="0.25">
      <c r="A2978">
        <v>2949</v>
      </c>
      <c r="B2978">
        <v>0.18578377923621778</v>
      </c>
    </row>
    <row r="2979" spans="1:2" x14ac:dyDescent="0.25">
      <c r="A2979">
        <v>2950</v>
      </c>
      <c r="B2979">
        <v>0.21083290331552645</v>
      </c>
    </row>
    <row r="2980" spans="1:2" x14ac:dyDescent="0.25">
      <c r="A2980">
        <v>2951</v>
      </c>
      <c r="B2980">
        <v>0.43724230432085959</v>
      </c>
    </row>
    <row r="2981" spans="1:2" x14ac:dyDescent="0.25">
      <c r="A2981">
        <v>2952</v>
      </c>
      <c r="B2981">
        <v>6.4836851569238532E-2</v>
      </c>
    </row>
    <row r="2982" spans="1:2" x14ac:dyDescent="0.25">
      <c r="A2982">
        <v>2953</v>
      </c>
      <c r="B2982">
        <v>0.40880174519231538</v>
      </c>
    </row>
    <row r="2983" spans="1:2" x14ac:dyDescent="0.25">
      <c r="A2983">
        <v>2954</v>
      </c>
      <c r="B2983">
        <v>0.41982410546245447</v>
      </c>
    </row>
    <row r="2984" spans="1:2" x14ac:dyDescent="0.25">
      <c r="A2984">
        <v>2955</v>
      </c>
      <c r="B2984">
        <v>0.18792688923331644</v>
      </c>
    </row>
    <row r="2985" spans="1:2" x14ac:dyDescent="0.25">
      <c r="A2985">
        <v>2956</v>
      </c>
      <c r="B2985">
        <v>0.10759729443974873</v>
      </c>
    </row>
    <row r="2986" spans="1:2" x14ac:dyDescent="0.25">
      <c r="A2986">
        <v>2957</v>
      </c>
      <c r="B2986">
        <v>0.16403246444761094</v>
      </c>
    </row>
    <row r="2987" spans="1:2" x14ac:dyDescent="0.25">
      <c r="A2987">
        <v>2958</v>
      </c>
      <c r="B2987">
        <v>0.11783548366514121</v>
      </c>
    </row>
    <row r="2988" spans="1:2" x14ac:dyDescent="0.25">
      <c r="A2988">
        <v>2959</v>
      </c>
      <c r="B2988">
        <v>0.30376257127167777</v>
      </c>
    </row>
    <row r="2989" spans="1:2" x14ac:dyDescent="0.25">
      <c r="A2989">
        <v>2960</v>
      </c>
      <c r="B2989">
        <v>0.62681593358790111</v>
      </c>
    </row>
    <row r="2990" spans="1:2" x14ac:dyDescent="0.25">
      <c r="A2990">
        <v>2961</v>
      </c>
      <c r="B2990">
        <v>0.17863249632894268</v>
      </c>
    </row>
    <row r="2991" spans="1:2" x14ac:dyDescent="0.25">
      <c r="A2991">
        <v>2962</v>
      </c>
      <c r="B2991">
        <v>0.12843876278781458</v>
      </c>
    </row>
    <row r="2992" spans="1:2" x14ac:dyDescent="0.25">
      <c r="A2992">
        <v>2963</v>
      </c>
      <c r="B2992">
        <v>0.13629215510349099</v>
      </c>
    </row>
    <row r="2993" spans="1:2" x14ac:dyDescent="0.25">
      <c r="A2993">
        <v>2964</v>
      </c>
      <c r="B2993">
        <v>0.17682813835496333</v>
      </c>
    </row>
    <row r="2994" spans="1:2" x14ac:dyDescent="0.25">
      <c r="A2994">
        <v>2965</v>
      </c>
      <c r="B2994">
        <v>0.16748241379516068</v>
      </c>
    </row>
    <row r="2995" spans="1:2" x14ac:dyDescent="0.25">
      <c r="A2995">
        <v>2966</v>
      </c>
      <c r="B2995">
        <v>0.2118882378590044</v>
      </c>
    </row>
    <row r="2996" spans="1:2" x14ac:dyDescent="0.25">
      <c r="A2996">
        <v>2967</v>
      </c>
      <c r="B2996">
        <v>0.14457093128824217</v>
      </c>
    </row>
    <row r="2997" spans="1:2" x14ac:dyDescent="0.25">
      <c r="A2997">
        <v>2968</v>
      </c>
      <c r="B2997">
        <v>0.12561749673378991</v>
      </c>
    </row>
    <row r="2998" spans="1:2" x14ac:dyDescent="0.25">
      <c r="A2998">
        <v>2969</v>
      </c>
      <c r="B2998">
        <v>0.12997473444239438</v>
      </c>
    </row>
    <row r="2999" spans="1:2" x14ac:dyDescent="0.25">
      <c r="A2999">
        <v>2970</v>
      </c>
      <c r="B2999">
        <v>0.22843767654924457</v>
      </c>
    </row>
    <row r="3000" spans="1:2" x14ac:dyDescent="0.25">
      <c r="A3000">
        <v>2971</v>
      </c>
      <c r="B3000">
        <v>0.150044069114593</v>
      </c>
    </row>
    <row r="3001" spans="1:2" x14ac:dyDescent="0.25">
      <c r="A3001">
        <v>2972</v>
      </c>
      <c r="B3001">
        <v>0.20347734069364745</v>
      </c>
    </row>
    <row r="3002" spans="1:2" x14ac:dyDescent="0.25">
      <c r="A3002">
        <v>2973</v>
      </c>
      <c r="B3002">
        <v>7.4888910449539547E-2</v>
      </c>
    </row>
    <row r="3003" spans="1:2" x14ac:dyDescent="0.25">
      <c r="A3003">
        <v>2974</v>
      </c>
      <c r="B3003">
        <v>4.5117086716568507E-2</v>
      </c>
    </row>
    <row r="3004" spans="1:2" x14ac:dyDescent="0.25">
      <c r="A3004">
        <v>2975</v>
      </c>
      <c r="B3004">
        <v>0.13898677306604487</v>
      </c>
    </row>
    <row r="3005" spans="1:2" x14ac:dyDescent="0.25">
      <c r="A3005">
        <v>2976</v>
      </c>
      <c r="B3005">
        <v>0.64103339214048705</v>
      </c>
    </row>
    <row r="3006" spans="1:2" x14ac:dyDescent="0.25">
      <c r="A3006">
        <v>2977</v>
      </c>
      <c r="B3006">
        <v>4.5155818493021957E-2</v>
      </c>
    </row>
    <row r="3007" spans="1:2" x14ac:dyDescent="0.25">
      <c r="A3007">
        <v>2978</v>
      </c>
      <c r="B3007">
        <v>0.52442799788353966</v>
      </c>
    </row>
    <row r="3008" spans="1:2" x14ac:dyDescent="0.25">
      <c r="A3008">
        <v>2979</v>
      </c>
      <c r="B3008">
        <v>7.3439784575024314E-2</v>
      </c>
    </row>
    <row r="3009" spans="1:2" x14ac:dyDescent="0.25">
      <c r="A3009">
        <v>2980</v>
      </c>
      <c r="B3009">
        <v>0.22333341188404265</v>
      </c>
    </row>
    <row r="3010" spans="1:2" x14ac:dyDescent="0.25">
      <c r="A3010">
        <v>2981</v>
      </c>
      <c r="B3010">
        <v>0.11197668767269101</v>
      </c>
    </row>
    <row r="3011" spans="1:2" x14ac:dyDescent="0.25">
      <c r="A3011">
        <v>2982</v>
      </c>
      <c r="B3011">
        <v>0.47634729348693489</v>
      </c>
    </row>
    <row r="3012" spans="1:2" x14ac:dyDescent="0.25">
      <c r="A3012">
        <v>2983</v>
      </c>
      <c r="B3012">
        <v>0.21050052809857472</v>
      </c>
    </row>
    <row r="3013" spans="1:2" x14ac:dyDescent="0.25">
      <c r="A3013">
        <v>2984</v>
      </c>
      <c r="B3013">
        <v>0.42029424491292039</v>
      </c>
    </row>
    <row r="3014" spans="1:2" x14ac:dyDescent="0.25">
      <c r="A3014">
        <v>2985</v>
      </c>
      <c r="B3014">
        <v>8.7443969305071506E-2</v>
      </c>
    </row>
    <row r="3015" spans="1:2" x14ac:dyDescent="0.25">
      <c r="A3015">
        <v>2986</v>
      </c>
      <c r="B3015">
        <v>0.30084366958738967</v>
      </c>
    </row>
    <row r="3016" spans="1:2" x14ac:dyDescent="0.25">
      <c r="A3016">
        <v>2987</v>
      </c>
      <c r="B3016">
        <v>0.22400484949702315</v>
      </c>
    </row>
    <row r="3017" spans="1:2" x14ac:dyDescent="0.25">
      <c r="A3017">
        <v>2988</v>
      </c>
      <c r="B3017">
        <v>8.198945319110576E-2</v>
      </c>
    </row>
    <row r="3018" spans="1:2" x14ac:dyDescent="0.25">
      <c r="A3018">
        <v>2989</v>
      </c>
      <c r="B3018">
        <v>0.26371021687780954</v>
      </c>
    </row>
    <row r="3019" spans="1:2" x14ac:dyDescent="0.25">
      <c r="A3019">
        <v>2990</v>
      </c>
      <c r="B3019">
        <v>0.26987341525295477</v>
      </c>
    </row>
    <row r="3020" spans="1:2" x14ac:dyDescent="0.25">
      <c r="A3020">
        <v>2991</v>
      </c>
      <c r="B3020">
        <v>0.22310592867187357</v>
      </c>
    </row>
    <row r="3021" spans="1:2" x14ac:dyDescent="0.25">
      <c r="A3021">
        <v>2992</v>
      </c>
      <c r="B3021">
        <v>9.9275593423102229E-2</v>
      </c>
    </row>
    <row r="3022" spans="1:2" x14ac:dyDescent="0.25">
      <c r="A3022">
        <v>2993</v>
      </c>
      <c r="B3022">
        <v>0.32110233444951214</v>
      </c>
    </row>
    <row r="3023" spans="1:2" x14ac:dyDescent="0.25">
      <c r="A3023">
        <v>2994</v>
      </c>
      <c r="B3023">
        <v>5.9779490669708814E-2</v>
      </c>
    </row>
    <row r="3024" spans="1:2" x14ac:dyDescent="0.25">
      <c r="A3024">
        <v>2995</v>
      </c>
      <c r="B3024">
        <v>0.16237367847509751</v>
      </c>
    </row>
    <row r="3025" spans="1:2" x14ac:dyDescent="0.25">
      <c r="A3025">
        <v>2996</v>
      </c>
      <c r="B3025">
        <v>0.29499301653170917</v>
      </c>
    </row>
    <row r="3026" spans="1:2" x14ac:dyDescent="0.25">
      <c r="A3026">
        <v>2997</v>
      </c>
      <c r="B3026">
        <v>0.38698485597492066</v>
      </c>
    </row>
    <row r="3027" spans="1:2" x14ac:dyDescent="0.25">
      <c r="A3027">
        <v>2998</v>
      </c>
      <c r="B3027">
        <v>0.16545443380228766</v>
      </c>
    </row>
    <row r="3028" spans="1:2" x14ac:dyDescent="0.25">
      <c r="A3028">
        <v>2999</v>
      </c>
      <c r="B3028">
        <v>0.29334637638912425</v>
      </c>
    </row>
    <row r="3029" spans="1:2" x14ac:dyDescent="0.25">
      <c r="A3029">
        <v>3000</v>
      </c>
      <c r="B3029">
        <v>0.3829078919435917</v>
      </c>
    </row>
    <row r="3030" spans="1:2" x14ac:dyDescent="0.25">
      <c r="A3030">
        <v>3001</v>
      </c>
      <c r="B3030">
        <v>0.11188102562820057</v>
      </c>
    </row>
    <row r="3031" spans="1:2" x14ac:dyDescent="0.25">
      <c r="A3031">
        <v>3002</v>
      </c>
      <c r="B3031">
        <v>0.1107559592531514</v>
      </c>
    </row>
    <row r="3032" spans="1:2" x14ac:dyDescent="0.25">
      <c r="A3032">
        <v>3003</v>
      </c>
      <c r="B3032">
        <v>0.26541656438852912</v>
      </c>
    </row>
    <row r="3033" spans="1:2" x14ac:dyDescent="0.25">
      <c r="A3033">
        <v>3004</v>
      </c>
      <c r="B3033">
        <v>0.30204502702766428</v>
      </c>
    </row>
    <row r="3034" spans="1:2" x14ac:dyDescent="0.25">
      <c r="A3034">
        <v>3005</v>
      </c>
      <c r="B3034">
        <v>0.10380735289914658</v>
      </c>
    </row>
    <row r="3035" spans="1:2" x14ac:dyDescent="0.25">
      <c r="A3035">
        <v>3006</v>
      </c>
      <c r="B3035">
        <v>0.22489878549103715</v>
      </c>
    </row>
    <row r="3036" spans="1:2" x14ac:dyDescent="0.25">
      <c r="A3036">
        <v>3007</v>
      </c>
      <c r="B3036">
        <v>0.10312857130580555</v>
      </c>
    </row>
    <row r="3037" spans="1:2" x14ac:dyDescent="0.25">
      <c r="A3037">
        <v>3008</v>
      </c>
      <c r="B3037">
        <v>0.13723680055673665</v>
      </c>
    </row>
    <row r="3038" spans="1:2" x14ac:dyDescent="0.25">
      <c r="A3038">
        <v>3009</v>
      </c>
      <c r="B3038">
        <v>0.1165005706967783</v>
      </c>
    </row>
    <row r="3039" spans="1:2" x14ac:dyDescent="0.25">
      <c r="A3039">
        <v>3010</v>
      </c>
      <c r="B3039">
        <v>0.10487335166875682</v>
      </c>
    </row>
    <row r="3040" spans="1:2" x14ac:dyDescent="0.25">
      <c r="A3040">
        <v>3011</v>
      </c>
      <c r="B3040">
        <v>0.18564063740698897</v>
      </c>
    </row>
    <row r="3041" spans="1:2" x14ac:dyDescent="0.25">
      <c r="A3041">
        <v>3012</v>
      </c>
      <c r="B3041">
        <v>0.10218771137639715</v>
      </c>
    </row>
    <row r="3042" spans="1:2" x14ac:dyDescent="0.25">
      <c r="A3042">
        <v>3013</v>
      </c>
      <c r="B3042">
        <v>5.5306943501707402E-2</v>
      </c>
    </row>
    <row r="3043" spans="1:2" x14ac:dyDescent="0.25">
      <c r="A3043">
        <v>3014</v>
      </c>
      <c r="B3043">
        <v>0.33374379453643221</v>
      </c>
    </row>
    <row r="3044" spans="1:2" x14ac:dyDescent="0.25">
      <c r="A3044">
        <v>3015</v>
      </c>
      <c r="B3044">
        <v>0.22988497086756773</v>
      </c>
    </row>
    <row r="3045" spans="1:2" x14ac:dyDescent="0.25">
      <c r="A3045">
        <v>3016</v>
      </c>
      <c r="B3045">
        <v>0.27314306661808513</v>
      </c>
    </row>
    <row r="3046" spans="1:2" x14ac:dyDescent="0.25">
      <c r="A3046">
        <v>3017</v>
      </c>
      <c r="B3046">
        <v>0.67008134140275022</v>
      </c>
    </row>
    <row r="3047" spans="1:2" x14ac:dyDescent="0.25">
      <c r="A3047">
        <v>3018</v>
      </c>
      <c r="B3047">
        <v>0.20159793531476108</v>
      </c>
    </row>
    <row r="3048" spans="1:2" x14ac:dyDescent="0.25">
      <c r="A3048">
        <v>3019</v>
      </c>
      <c r="B3048">
        <v>0.11639346561370774</v>
      </c>
    </row>
    <row r="3049" spans="1:2" x14ac:dyDescent="0.25">
      <c r="A3049">
        <v>3020</v>
      </c>
      <c r="B3049">
        <v>0.25283537170821069</v>
      </c>
    </row>
    <row r="3050" spans="1:2" x14ac:dyDescent="0.25">
      <c r="A3050">
        <v>3021</v>
      </c>
      <c r="B3050">
        <v>8.8105965095303176E-2</v>
      </c>
    </row>
    <row r="3051" spans="1:2" x14ac:dyDescent="0.25">
      <c r="A3051">
        <v>3022</v>
      </c>
      <c r="B3051">
        <v>0.38868495889988081</v>
      </c>
    </row>
    <row r="3052" spans="1:2" x14ac:dyDescent="0.25">
      <c r="A3052">
        <v>3023</v>
      </c>
      <c r="B3052">
        <v>0.36982535351935086</v>
      </c>
    </row>
    <row r="3053" spans="1:2" x14ac:dyDescent="0.25">
      <c r="A3053">
        <v>3024</v>
      </c>
      <c r="B3053">
        <v>3.9813669516722251E-2</v>
      </c>
    </row>
    <row r="3054" spans="1:2" x14ac:dyDescent="0.25">
      <c r="A3054">
        <v>3025</v>
      </c>
      <c r="B3054">
        <v>0.1006479889186314</v>
      </c>
    </row>
    <row r="3055" spans="1:2" x14ac:dyDescent="0.25">
      <c r="A3055">
        <v>3026</v>
      </c>
      <c r="B3055">
        <v>0.10995172428600153</v>
      </c>
    </row>
    <row r="3056" spans="1:2" x14ac:dyDescent="0.25">
      <c r="A3056">
        <v>3027</v>
      </c>
      <c r="B3056">
        <v>0.19391379127449776</v>
      </c>
    </row>
    <row r="3057" spans="1:2" x14ac:dyDescent="0.25">
      <c r="A3057">
        <v>3028</v>
      </c>
      <c r="B3057">
        <v>0.11979667151901766</v>
      </c>
    </row>
    <row r="3058" spans="1:2" x14ac:dyDescent="0.25">
      <c r="A3058">
        <v>3029</v>
      </c>
      <c r="B3058">
        <v>0.14439549011579414</v>
      </c>
    </row>
    <row r="3059" spans="1:2" x14ac:dyDescent="0.25">
      <c r="A3059">
        <v>3030</v>
      </c>
      <c r="B3059">
        <v>0.13751272451860552</v>
      </c>
    </row>
    <row r="3060" spans="1:2" x14ac:dyDescent="0.25">
      <c r="A3060">
        <v>3031</v>
      </c>
      <c r="B3060">
        <v>2.7484915816423046E-2</v>
      </c>
    </row>
    <row r="3061" spans="1:2" x14ac:dyDescent="0.25">
      <c r="A3061">
        <v>3032</v>
      </c>
      <c r="B3061">
        <v>0.19048542508135788</v>
      </c>
    </row>
    <row r="3062" spans="1:2" x14ac:dyDescent="0.25">
      <c r="A3062">
        <v>3033</v>
      </c>
      <c r="B3062">
        <v>0.17387246246039526</v>
      </c>
    </row>
    <row r="3063" spans="1:2" x14ac:dyDescent="0.25">
      <c r="A3063">
        <v>3034</v>
      </c>
      <c r="B3063">
        <v>0.2851414064338571</v>
      </c>
    </row>
    <row r="3064" spans="1:2" x14ac:dyDescent="0.25">
      <c r="A3064">
        <v>3035</v>
      </c>
      <c r="B3064">
        <v>0.14223443032229036</v>
      </c>
    </row>
    <row r="3065" spans="1:2" x14ac:dyDescent="0.25">
      <c r="A3065">
        <v>3036</v>
      </c>
      <c r="B3065">
        <v>9.7504752869606123E-2</v>
      </c>
    </row>
    <row r="3066" spans="1:2" x14ac:dyDescent="0.25">
      <c r="A3066">
        <v>3037</v>
      </c>
      <c r="B3066">
        <v>5.7439191121984826E-2</v>
      </c>
    </row>
    <row r="3067" spans="1:2" x14ac:dyDescent="0.25">
      <c r="A3067">
        <v>3038</v>
      </c>
      <c r="B3067">
        <v>0.54259570418102498</v>
      </c>
    </row>
    <row r="3068" spans="1:2" x14ac:dyDescent="0.25">
      <c r="A3068">
        <v>3039</v>
      </c>
      <c r="B3068">
        <v>0.12343504097585914</v>
      </c>
    </row>
    <row r="3069" spans="1:2" x14ac:dyDescent="0.25">
      <c r="A3069">
        <v>3040</v>
      </c>
      <c r="B3069">
        <v>0.16722353937719825</v>
      </c>
    </row>
    <row r="3070" spans="1:2" x14ac:dyDescent="0.25">
      <c r="A3070">
        <v>3041</v>
      </c>
      <c r="B3070">
        <v>0.16797637808814186</v>
      </c>
    </row>
    <row r="3071" spans="1:2" x14ac:dyDescent="0.25">
      <c r="A3071">
        <v>3042</v>
      </c>
      <c r="B3071">
        <v>0.35106360733452352</v>
      </c>
    </row>
    <row r="3072" spans="1:2" x14ac:dyDescent="0.25">
      <c r="A3072">
        <v>3043</v>
      </c>
      <c r="B3072">
        <v>0.1582186797615816</v>
      </c>
    </row>
    <row r="3073" spans="1:2" x14ac:dyDescent="0.25">
      <c r="A3073">
        <v>3044</v>
      </c>
      <c r="B3073">
        <v>4.7202232289184722E-2</v>
      </c>
    </row>
    <row r="3074" spans="1:2" x14ac:dyDescent="0.25">
      <c r="A3074">
        <v>3045</v>
      </c>
      <c r="B3074">
        <v>7.4963027993303594E-2</v>
      </c>
    </row>
    <row r="3075" spans="1:2" x14ac:dyDescent="0.25">
      <c r="A3075">
        <v>3046</v>
      </c>
      <c r="B3075">
        <v>0.14971815765157157</v>
      </c>
    </row>
    <row r="3076" spans="1:2" x14ac:dyDescent="0.25">
      <c r="A3076">
        <v>3047</v>
      </c>
      <c r="B3076">
        <v>0.61357771724032284</v>
      </c>
    </row>
    <row r="3077" spans="1:2" x14ac:dyDescent="0.25">
      <c r="A3077">
        <v>3048</v>
      </c>
      <c r="B3077">
        <v>6.5787045478490333E-2</v>
      </c>
    </row>
    <row r="3078" spans="1:2" x14ac:dyDescent="0.25">
      <c r="A3078">
        <v>3049</v>
      </c>
      <c r="B3078">
        <v>0.20157925282041067</v>
      </c>
    </row>
    <row r="3079" spans="1:2" x14ac:dyDescent="0.25">
      <c r="A3079">
        <v>3050</v>
      </c>
      <c r="B3079">
        <v>0.21417215884775317</v>
      </c>
    </row>
    <row r="3080" spans="1:2" x14ac:dyDescent="0.25">
      <c r="A3080">
        <v>3051</v>
      </c>
      <c r="B3080">
        <v>0.26068656891065262</v>
      </c>
    </row>
    <row r="3081" spans="1:2" x14ac:dyDescent="0.25">
      <c r="A3081">
        <v>3052</v>
      </c>
      <c r="B3081">
        <v>0.2188168068295849</v>
      </c>
    </row>
    <row r="3082" spans="1:2" x14ac:dyDescent="0.25">
      <c r="A3082">
        <v>3053</v>
      </c>
      <c r="B3082">
        <v>0.11315049278123009</v>
      </c>
    </row>
    <row r="3083" spans="1:2" x14ac:dyDescent="0.25">
      <c r="A3083">
        <v>3054</v>
      </c>
      <c r="B3083">
        <v>0.23964789949158261</v>
      </c>
    </row>
    <row r="3084" spans="1:2" x14ac:dyDescent="0.25">
      <c r="A3084">
        <v>3055</v>
      </c>
      <c r="B3084">
        <v>0.18087850862537511</v>
      </c>
    </row>
    <row r="3085" spans="1:2" x14ac:dyDescent="0.25">
      <c r="A3085">
        <v>3056</v>
      </c>
      <c r="B3085">
        <v>0.23798542013956647</v>
      </c>
    </row>
    <row r="3086" spans="1:2" x14ac:dyDescent="0.25">
      <c r="A3086">
        <v>3057</v>
      </c>
      <c r="B3086">
        <v>0.4135495310180306</v>
      </c>
    </row>
    <row r="3087" spans="1:2" x14ac:dyDescent="0.25">
      <c r="A3087">
        <v>3058</v>
      </c>
      <c r="B3087">
        <v>0.31258114287718186</v>
      </c>
    </row>
    <row r="3088" spans="1:2" x14ac:dyDescent="0.25">
      <c r="A3088">
        <v>3059</v>
      </c>
      <c r="B3088">
        <v>0.12544520722718708</v>
      </c>
    </row>
    <row r="3089" spans="1:2" x14ac:dyDescent="0.25">
      <c r="A3089">
        <v>3060</v>
      </c>
      <c r="B3089">
        <v>0.17019923509130561</v>
      </c>
    </row>
    <row r="3090" spans="1:2" x14ac:dyDescent="0.25">
      <c r="A3090">
        <v>3061</v>
      </c>
      <c r="B3090">
        <v>0.10285966823922867</v>
      </c>
    </row>
    <row r="3091" spans="1:2" x14ac:dyDescent="0.25">
      <c r="A3091">
        <v>3062</v>
      </c>
      <c r="B3091">
        <v>0.14294964138614452</v>
      </c>
    </row>
    <row r="3092" spans="1:2" x14ac:dyDescent="0.25">
      <c r="A3092">
        <v>3063</v>
      </c>
      <c r="B3092">
        <v>0.34681184779905994</v>
      </c>
    </row>
    <row r="3093" spans="1:2" x14ac:dyDescent="0.25">
      <c r="A3093">
        <v>3064</v>
      </c>
      <c r="B3093">
        <v>3.1282089365677099E-2</v>
      </c>
    </row>
    <row r="3094" spans="1:2" x14ac:dyDescent="0.25">
      <c r="A3094">
        <v>3065</v>
      </c>
      <c r="B3094">
        <v>6.3163464816522505E-2</v>
      </c>
    </row>
    <row r="3095" spans="1:2" x14ac:dyDescent="0.25">
      <c r="A3095">
        <v>3066</v>
      </c>
      <c r="B3095">
        <v>7.6420630963291075E-2</v>
      </c>
    </row>
    <row r="3096" spans="1:2" x14ac:dyDescent="0.25">
      <c r="A3096">
        <v>3067</v>
      </c>
      <c r="B3096">
        <v>0.19165184299152507</v>
      </c>
    </row>
    <row r="3097" spans="1:2" x14ac:dyDescent="0.25">
      <c r="A3097">
        <v>3068</v>
      </c>
      <c r="B3097">
        <v>0.22589089336741675</v>
      </c>
    </row>
    <row r="3098" spans="1:2" x14ac:dyDescent="0.25">
      <c r="A3098">
        <v>3069</v>
      </c>
      <c r="B3098">
        <v>0.51357767148507638</v>
      </c>
    </row>
    <row r="3099" spans="1:2" x14ac:dyDescent="0.25">
      <c r="A3099">
        <v>3070</v>
      </c>
      <c r="B3099">
        <v>0.13578405770876908</v>
      </c>
    </row>
    <row r="3100" spans="1:2" x14ac:dyDescent="0.25">
      <c r="A3100">
        <v>3071</v>
      </c>
      <c r="B3100">
        <v>8.1269151742254825E-2</v>
      </c>
    </row>
    <row r="3101" spans="1:2" x14ac:dyDescent="0.25">
      <c r="A3101">
        <v>3072</v>
      </c>
      <c r="B3101">
        <v>0.28496986570030919</v>
      </c>
    </row>
    <row r="3102" spans="1:2" x14ac:dyDescent="0.25">
      <c r="A3102">
        <v>3073</v>
      </c>
      <c r="B3102">
        <v>0.24198139393879056</v>
      </c>
    </row>
    <row r="3103" spans="1:2" x14ac:dyDescent="0.25">
      <c r="A3103">
        <v>3074</v>
      </c>
      <c r="B3103">
        <v>0.10302329282012367</v>
      </c>
    </row>
    <row r="3104" spans="1:2" x14ac:dyDescent="0.25">
      <c r="A3104">
        <v>3075</v>
      </c>
      <c r="B3104">
        <v>0.13345896051510533</v>
      </c>
    </row>
    <row r="3105" spans="1:2" x14ac:dyDescent="0.25">
      <c r="A3105">
        <v>3076</v>
      </c>
      <c r="B3105">
        <v>0.20972587338930967</v>
      </c>
    </row>
    <row r="3106" spans="1:2" x14ac:dyDescent="0.25">
      <c r="A3106">
        <v>3077</v>
      </c>
      <c r="B3106">
        <v>0.17395338754589251</v>
      </c>
    </row>
    <row r="3107" spans="1:2" x14ac:dyDescent="0.25">
      <c r="A3107">
        <v>3078</v>
      </c>
      <c r="B3107">
        <v>1.3181890657965887</v>
      </c>
    </row>
    <row r="3108" spans="1:2" x14ac:dyDescent="0.25">
      <c r="A3108">
        <v>3079</v>
      </c>
      <c r="B3108">
        <v>0.17819173599230242</v>
      </c>
    </row>
    <row r="3109" spans="1:2" x14ac:dyDescent="0.25">
      <c r="A3109">
        <v>3080</v>
      </c>
      <c r="B3109">
        <v>0.25386884712410751</v>
      </c>
    </row>
    <row r="3110" spans="1:2" x14ac:dyDescent="0.25">
      <c r="A3110">
        <v>3081</v>
      </c>
      <c r="B3110">
        <v>0.17472247688659795</v>
      </c>
    </row>
    <row r="3111" spans="1:2" x14ac:dyDescent="0.25">
      <c r="A3111">
        <v>3082</v>
      </c>
      <c r="B3111">
        <v>0.50817508458822247</v>
      </c>
    </row>
    <row r="3112" spans="1:2" x14ac:dyDescent="0.25">
      <c r="A3112">
        <v>3083</v>
      </c>
      <c r="B3112">
        <v>0.42658924636809831</v>
      </c>
    </row>
    <row r="3113" spans="1:2" x14ac:dyDescent="0.25">
      <c r="A3113">
        <v>3084</v>
      </c>
      <c r="B3113">
        <v>9.4222732263327238E-2</v>
      </c>
    </row>
    <row r="3114" spans="1:2" x14ac:dyDescent="0.25">
      <c r="A3114">
        <v>3085</v>
      </c>
      <c r="B3114">
        <v>0.13406416337059437</v>
      </c>
    </row>
    <row r="3115" spans="1:2" x14ac:dyDescent="0.25">
      <c r="A3115">
        <v>3086</v>
      </c>
      <c r="B3115">
        <v>0.1066359651421241</v>
      </c>
    </row>
    <row r="3116" spans="1:2" x14ac:dyDescent="0.25">
      <c r="A3116">
        <v>3087</v>
      </c>
      <c r="B3116">
        <v>0.17653271737734474</v>
      </c>
    </row>
    <row r="3117" spans="1:2" x14ac:dyDescent="0.25">
      <c r="A3117">
        <v>3088</v>
      </c>
      <c r="B3117">
        <v>0.22403849091619918</v>
      </c>
    </row>
    <row r="3118" spans="1:2" x14ac:dyDescent="0.25">
      <c r="A3118">
        <v>3089</v>
      </c>
      <c r="B3118">
        <v>8.697928755844124E-2</v>
      </c>
    </row>
    <row r="3119" spans="1:2" x14ac:dyDescent="0.25">
      <c r="A3119">
        <v>3090</v>
      </c>
      <c r="B3119">
        <v>0.53631772543163569</v>
      </c>
    </row>
    <row r="3120" spans="1:2" x14ac:dyDescent="0.25">
      <c r="A3120">
        <v>3091</v>
      </c>
      <c r="B3120">
        <v>0.17745771800691326</v>
      </c>
    </row>
    <row r="3121" spans="1:2" x14ac:dyDescent="0.25">
      <c r="A3121">
        <v>3092</v>
      </c>
      <c r="B3121">
        <v>0.13767896785012504</v>
      </c>
    </row>
    <row r="3122" spans="1:2" x14ac:dyDescent="0.25">
      <c r="A3122">
        <v>3093</v>
      </c>
      <c r="B3122">
        <v>0.17208358459454254</v>
      </c>
    </row>
    <row r="3123" spans="1:2" x14ac:dyDescent="0.25">
      <c r="A3123">
        <v>3094</v>
      </c>
      <c r="B3123">
        <v>0.22653617026223868</v>
      </c>
    </row>
    <row r="3124" spans="1:2" x14ac:dyDescent="0.25">
      <c r="A3124">
        <v>3095</v>
      </c>
      <c r="B3124">
        <v>0.1300204601247863</v>
      </c>
    </row>
    <row r="3125" spans="1:2" x14ac:dyDescent="0.25">
      <c r="A3125">
        <v>3096</v>
      </c>
      <c r="B3125">
        <v>0.26334865952814174</v>
      </c>
    </row>
    <row r="3126" spans="1:2" x14ac:dyDescent="0.25">
      <c r="A3126">
        <v>3097</v>
      </c>
      <c r="B3126">
        <v>0.10485907059995717</v>
      </c>
    </row>
    <row r="3127" spans="1:2" x14ac:dyDescent="0.25">
      <c r="A3127">
        <v>3098</v>
      </c>
      <c r="B3127">
        <v>0.27740537466386833</v>
      </c>
    </row>
    <row r="3128" spans="1:2" x14ac:dyDescent="0.25">
      <c r="A3128">
        <v>3099</v>
      </c>
      <c r="B3128">
        <v>8.2193937397374586E-2</v>
      </c>
    </row>
    <row r="3129" spans="1:2" x14ac:dyDescent="0.25">
      <c r="A3129">
        <v>3100</v>
      </c>
      <c r="B3129">
        <v>0.11680935134449007</v>
      </c>
    </row>
    <row r="3130" spans="1:2" x14ac:dyDescent="0.25">
      <c r="A3130">
        <v>3101</v>
      </c>
      <c r="B3130">
        <v>0.20138795190620659</v>
      </c>
    </row>
    <row r="3131" spans="1:2" x14ac:dyDescent="0.25">
      <c r="A3131">
        <v>3102</v>
      </c>
      <c r="B3131">
        <v>0.22745814633848491</v>
      </c>
    </row>
    <row r="3132" spans="1:2" x14ac:dyDescent="0.25">
      <c r="A3132">
        <v>3103</v>
      </c>
      <c r="B3132">
        <v>8.298332604324124E-2</v>
      </c>
    </row>
    <row r="3133" spans="1:2" x14ac:dyDescent="0.25">
      <c r="A3133">
        <v>3104</v>
      </c>
      <c r="B3133">
        <v>0.10595681840880468</v>
      </c>
    </row>
    <row r="3134" spans="1:2" x14ac:dyDescent="0.25">
      <c r="A3134">
        <v>3105</v>
      </c>
      <c r="B3134">
        <v>0.12711245437882093</v>
      </c>
    </row>
    <row r="3135" spans="1:2" x14ac:dyDescent="0.25">
      <c r="A3135">
        <v>3106</v>
      </c>
      <c r="B3135">
        <v>0.32623226546171913</v>
      </c>
    </row>
    <row r="3136" spans="1:2" x14ac:dyDescent="0.25">
      <c r="A3136">
        <v>3107</v>
      </c>
      <c r="B3136">
        <v>0.26250665245102894</v>
      </c>
    </row>
    <row r="3137" spans="1:2" x14ac:dyDescent="0.25">
      <c r="A3137">
        <v>3108</v>
      </c>
      <c r="B3137">
        <v>3.9706516458167147E-2</v>
      </c>
    </row>
    <row r="3138" spans="1:2" x14ac:dyDescent="0.25">
      <c r="A3138">
        <v>3109</v>
      </c>
      <c r="B3138">
        <v>0.17687622630129091</v>
      </c>
    </row>
    <row r="3139" spans="1:2" x14ac:dyDescent="0.25">
      <c r="A3139">
        <v>3110</v>
      </c>
      <c r="B3139">
        <v>0.22971457129872108</v>
      </c>
    </row>
    <row r="3140" spans="1:2" x14ac:dyDescent="0.25">
      <c r="A3140">
        <v>3111</v>
      </c>
      <c r="B3140">
        <v>0.20534791836384919</v>
      </c>
    </row>
    <row r="3141" spans="1:2" x14ac:dyDescent="0.25">
      <c r="A3141">
        <v>3112</v>
      </c>
      <c r="B3141">
        <v>7.8466399111866494E-2</v>
      </c>
    </row>
    <row r="3142" spans="1:2" x14ac:dyDescent="0.25">
      <c r="A3142">
        <v>3113</v>
      </c>
      <c r="B3142">
        <v>7.9102368726675545E-2</v>
      </c>
    </row>
    <row r="3143" spans="1:2" x14ac:dyDescent="0.25">
      <c r="A3143">
        <v>3114</v>
      </c>
      <c r="B3143">
        <v>0.11360617623297022</v>
      </c>
    </row>
    <row r="3144" spans="1:2" x14ac:dyDescent="0.25">
      <c r="A3144">
        <v>3115</v>
      </c>
      <c r="B3144">
        <v>5.9133829291601075E-2</v>
      </c>
    </row>
    <row r="3145" spans="1:2" x14ac:dyDescent="0.25">
      <c r="A3145">
        <v>3116</v>
      </c>
      <c r="B3145">
        <v>8.9813389731544055E-2</v>
      </c>
    </row>
    <row r="3146" spans="1:2" x14ac:dyDescent="0.25">
      <c r="A3146">
        <v>3117</v>
      </c>
      <c r="B3146">
        <v>0.32513034813364905</v>
      </c>
    </row>
    <row r="3147" spans="1:2" x14ac:dyDescent="0.25">
      <c r="A3147">
        <v>3118</v>
      </c>
      <c r="B3147">
        <v>6.6188650841150623E-2</v>
      </c>
    </row>
    <row r="3148" spans="1:2" x14ac:dyDescent="0.25">
      <c r="A3148">
        <v>3119</v>
      </c>
      <c r="B3148">
        <v>0.1603110239101074</v>
      </c>
    </row>
    <row r="3149" spans="1:2" x14ac:dyDescent="0.25">
      <c r="A3149">
        <v>3120</v>
      </c>
      <c r="B3149">
        <v>0.24321396884936813</v>
      </c>
    </row>
    <row r="3150" spans="1:2" x14ac:dyDescent="0.25">
      <c r="A3150">
        <v>3121</v>
      </c>
      <c r="B3150">
        <v>0.33184483024728528</v>
      </c>
    </row>
    <row r="3151" spans="1:2" x14ac:dyDescent="0.25">
      <c r="A3151">
        <v>3122</v>
      </c>
      <c r="B3151">
        <v>7.6434498611057278E-2</v>
      </c>
    </row>
    <row r="3152" spans="1:2" x14ac:dyDescent="0.25">
      <c r="A3152">
        <v>3123</v>
      </c>
      <c r="B3152">
        <v>0.31033111212974979</v>
      </c>
    </row>
    <row r="3153" spans="1:2" x14ac:dyDescent="0.25">
      <c r="A3153">
        <v>3124</v>
      </c>
      <c r="B3153">
        <v>0.11630180232017909</v>
      </c>
    </row>
    <row r="3154" spans="1:2" x14ac:dyDescent="0.25">
      <c r="A3154">
        <v>3125</v>
      </c>
      <c r="B3154">
        <v>0.17604430299000193</v>
      </c>
    </row>
    <row r="3155" spans="1:2" x14ac:dyDescent="0.25">
      <c r="A3155">
        <v>3126</v>
      </c>
      <c r="B3155">
        <v>0.33732147547861685</v>
      </c>
    </row>
    <row r="3156" spans="1:2" x14ac:dyDescent="0.25">
      <c r="A3156">
        <v>3127</v>
      </c>
      <c r="B3156">
        <v>0.32452785848097671</v>
      </c>
    </row>
    <row r="3157" spans="1:2" x14ac:dyDescent="0.25">
      <c r="A3157">
        <v>3128</v>
      </c>
      <c r="B3157">
        <v>0.15462586823291705</v>
      </c>
    </row>
    <row r="3158" spans="1:2" x14ac:dyDescent="0.25">
      <c r="A3158">
        <v>3129</v>
      </c>
      <c r="B3158">
        <v>0.19333852033306534</v>
      </c>
    </row>
    <row r="3159" spans="1:2" x14ac:dyDescent="0.25">
      <c r="A3159">
        <v>3130</v>
      </c>
      <c r="B3159">
        <v>0.4232015003437134</v>
      </c>
    </row>
    <row r="3160" spans="1:2" x14ac:dyDescent="0.25">
      <c r="A3160">
        <v>3131</v>
      </c>
      <c r="B3160">
        <v>0.1125955019980082</v>
      </c>
    </row>
    <row r="3161" spans="1:2" x14ac:dyDescent="0.25">
      <c r="A3161">
        <v>3132</v>
      </c>
      <c r="B3161">
        <v>0.13240043613031027</v>
      </c>
    </row>
    <row r="3162" spans="1:2" x14ac:dyDescent="0.25">
      <c r="A3162">
        <v>3133</v>
      </c>
      <c r="B3162">
        <v>7.4329677120471602E-2</v>
      </c>
    </row>
    <row r="3163" spans="1:2" x14ac:dyDescent="0.25">
      <c r="A3163">
        <v>3134</v>
      </c>
      <c r="B3163">
        <v>0.8046385422546799</v>
      </c>
    </row>
    <row r="3164" spans="1:2" x14ac:dyDescent="0.25">
      <c r="A3164">
        <v>3135</v>
      </c>
      <c r="B3164">
        <v>0.22798832477318073</v>
      </c>
    </row>
    <row r="3165" spans="1:2" x14ac:dyDescent="0.25">
      <c r="A3165">
        <v>3136</v>
      </c>
      <c r="B3165">
        <v>0.2028792632381401</v>
      </c>
    </row>
    <row r="3166" spans="1:2" x14ac:dyDescent="0.25">
      <c r="A3166">
        <v>3137</v>
      </c>
      <c r="B3166">
        <v>0.12526562743291808</v>
      </c>
    </row>
    <row r="3167" spans="1:2" x14ac:dyDescent="0.25">
      <c r="A3167">
        <v>3138</v>
      </c>
      <c r="B3167">
        <v>0.32443961820452566</v>
      </c>
    </row>
    <row r="3168" spans="1:2" x14ac:dyDescent="0.25">
      <c r="A3168">
        <v>3139</v>
      </c>
      <c r="B3168">
        <v>0.28606217774878701</v>
      </c>
    </row>
    <row r="3169" spans="1:2" x14ac:dyDescent="0.25">
      <c r="A3169">
        <v>3140</v>
      </c>
      <c r="B3169">
        <v>0.20702237035266069</v>
      </c>
    </row>
    <row r="3170" spans="1:2" x14ac:dyDescent="0.25">
      <c r="A3170">
        <v>3141</v>
      </c>
      <c r="B3170">
        <v>0.14053536675657669</v>
      </c>
    </row>
    <row r="3171" spans="1:2" x14ac:dyDescent="0.25">
      <c r="A3171">
        <v>3142</v>
      </c>
      <c r="B3171">
        <v>0.33696852757090606</v>
      </c>
    </row>
    <row r="3172" spans="1:2" x14ac:dyDescent="0.25">
      <c r="A3172">
        <v>3143</v>
      </c>
      <c r="B3172">
        <v>0.43648906818931255</v>
      </c>
    </row>
    <row r="3173" spans="1:2" x14ac:dyDescent="0.25">
      <c r="A3173">
        <v>3144</v>
      </c>
      <c r="B3173">
        <v>8.7594173544494516E-2</v>
      </c>
    </row>
    <row r="3174" spans="1:2" x14ac:dyDescent="0.25">
      <c r="A3174">
        <v>3145</v>
      </c>
      <c r="B3174">
        <v>5.5976380477842515E-2</v>
      </c>
    </row>
    <row r="3175" spans="1:2" x14ac:dyDescent="0.25">
      <c r="A3175">
        <v>3146</v>
      </c>
      <c r="B3175">
        <v>0.14614285007023167</v>
      </c>
    </row>
    <row r="3176" spans="1:2" x14ac:dyDescent="0.25">
      <c r="A3176">
        <v>3147</v>
      </c>
      <c r="B3176">
        <v>9.6766641928345068E-2</v>
      </c>
    </row>
    <row r="3177" spans="1:2" x14ac:dyDescent="0.25">
      <c r="A3177">
        <v>3148</v>
      </c>
      <c r="B3177">
        <v>0.16629920676807827</v>
      </c>
    </row>
    <row r="3178" spans="1:2" x14ac:dyDescent="0.25">
      <c r="A3178">
        <v>3149</v>
      </c>
      <c r="B3178">
        <v>0.32451446700360159</v>
      </c>
    </row>
    <row r="3179" spans="1:2" x14ac:dyDescent="0.25">
      <c r="A3179">
        <v>3150</v>
      </c>
      <c r="B3179">
        <v>0.21656976137003497</v>
      </c>
    </row>
    <row r="3180" spans="1:2" x14ac:dyDescent="0.25">
      <c r="A3180">
        <v>3151</v>
      </c>
      <c r="B3180">
        <v>7.4136167293103655E-2</v>
      </c>
    </row>
    <row r="3181" spans="1:2" x14ac:dyDescent="0.25">
      <c r="A3181">
        <v>3152</v>
      </c>
      <c r="B3181">
        <v>9.3335683895231059E-2</v>
      </c>
    </row>
    <row r="3182" spans="1:2" x14ac:dyDescent="0.25">
      <c r="A3182">
        <v>3153</v>
      </c>
      <c r="B3182">
        <v>0.10132129746750733</v>
      </c>
    </row>
    <row r="3183" spans="1:2" x14ac:dyDescent="0.25">
      <c r="A3183">
        <v>3154</v>
      </c>
      <c r="B3183">
        <v>9.8736762282663329E-2</v>
      </c>
    </row>
    <row r="3184" spans="1:2" x14ac:dyDescent="0.25">
      <c r="A3184">
        <v>3155</v>
      </c>
      <c r="B3184">
        <v>0.19726904798969708</v>
      </c>
    </row>
    <row r="3185" spans="1:2" x14ac:dyDescent="0.25">
      <c r="A3185">
        <v>3156</v>
      </c>
      <c r="B3185">
        <v>0.3185240299618361</v>
      </c>
    </row>
    <row r="3186" spans="1:2" x14ac:dyDescent="0.25">
      <c r="A3186">
        <v>3157</v>
      </c>
      <c r="B3186">
        <v>0.24528185181479309</v>
      </c>
    </row>
    <row r="3187" spans="1:2" x14ac:dyDescent="0.25">
      <c r="A3187">
        <v>3158</v>
      </c>
      <c r="B3187">
        <v>7.016233932460815E-2</v>
      </c>
    </row>
    <row r="3188" spans="1:2" x14ac:dyDescent="0.25">
      <c r="A3188">
        <v>3159</v>
      </c>
      <c r="B3188">
        <v>0.16510382485267669</v>
      </c>
    </row>
    <row r="3189" spans="1:2" x14ac:dyDescent="0.25">
      <c r="A3189">
        <v>3160</v>
      </c>
      <c r="B3189">
        <v>5.3864646624734121E-2</v>
      </c>
    </row>
    <row r="3190" spans="1:2" x14ac:dyDescent="0.25">
      <c r="A3190">
        <v>3161</v>
      </c>
      <c r="B3190">
        <v>0.14937739596565114</v>
      </c>
    </row>
    <row r="3191" spans="1:2" x14ac:dyDescent="0.25">
      <c r="A3191">
        <v>3162</v>
      </c>
      <c r="B3191">
        <v>0.40225797999443352</v>
      </c>
    </row>
    <row r="3192" spans="1:2" x14ac:dyDescent="0.25">
      <c r="A3192">
        <v>3163</v>
      </c>
      <c r="B3192">
        <v>0.11882749633554385</v>
      </c>
    </row>
    <row r="3193" spans="1:2" x14ac:dyDescent="0.25">
      <c r="A3193">
        <v>3164</v>
      </c>
      <c r="B3193">
        <v>4.6980956142641216E-2</v>
      </c>
    </row>
    <row r="3194" spans="1:2" x14ac:dyDescent="0.25">
      <c r="A3194">
        <v>3165</v>
      </c>
      <c r="B3194">
        <v>0.15784060179172421</v>
      </c>
    </row>
    <row r="3195" spans="1:2" x14ac:dyDescent="0.25">
      <c r="A3195">
        <v>3166</v>
      </c>
      <c r="B3195">
        <v>0.37835250466633163</v>
      </c>
    </row>
    <row r="3196" spans="1:2" x14ac:dyDescent="0.25">
      <c r="A3196">
        <v>3167</v>
      </c>
      <c r="B3196">
        <v>0.3124002815325389</v>
      </c>
    </row>
    <row r="3197" spans="1:2" x14ac:dyDescent="0.25">
      <c r="A3197">
        <v>3168</v>
      </c>
      <c r="B3197">
        <v>0.14904123686825638</v>
      </c>
    </row>
    <row r="3198" spans="1:2" x14ac:dyDescent="0.25">
      <c r="A3198">
        <v>3169</v>
      </c>
      <c r="B3198">
        <v>3.5938032361574737E-2</v>
      </c>
    </row>
    <row r="3199" spans="1:2" x14ac:dyDescent="0.25">
      <c r="A3199">
        <v>3170</v>
      </c>
      <c r="B3199">
        <v>0.43032052574261603</v>
      </c>
    </row>
    <row r="3200" spans="1:2" x14ac:dyDescent="0.25">
      <c r="A3200">
        <v>3171</v>
      </c>
      <c r="B3200">
        <v>0.20476380814075251</v>
      </c>
    </row>
    <row r="3201" spans="1:2" x14ac:dyDescent="0.25">
      <c r="A3201">
        <v>3172</v>
      </c>
      <c r="B3201">
        <v>0.22562341709159064</v>
      </c>
    </row>
    <row r="3202" spans="1:2" x14ac:dyDescent="0.25">
      <c r="A3202">
        <v>3173</v>
      </c>
      <c r="B3202">
        <v>0.49674156817830112</v>
      </c>
    </row>
    <row r="3203" spans="1:2" x14ac:dyDescent="0.25">
      <c r="A3203">
        <v>3174</v>
      </c>
      <c r="B3203">
        <v>0.33535760410115628</v>
      </c>
    </row>
    <row r="3204" spans="1:2" x14ac:dyDescent="0.25">
      <c r="A3204">
        <v>3175</v>
      </c>
      <c r="B3204">
        <v>0.15867990106855132</v>
      </c>
    </row>
    <row r="3205" spans="1:2" x14ac:dyDescent="0.25">
      <c r="A3205">
        <v>3176</v>
      </c>
      <c r="B3205">
        <v>0.12898600413413067</v>
      </c>
    </row>
    <row r="3206" spans="1:2" x14ac:dyDescent="0.25">
      <c r="A3206">
        <v>3177</v>
      </c>
      <c r="B3206">
        <v>0.19433158769889491</v>
      </c>
    </row>
    <row r="3207" spans="1:2" x14ac:dyDescent="0.25">
      <c r="A3207">
        <v>3178</v>
      </c>
      <c r="B3207">
        <v>0.22542405408390004</v>
      </c>
    </row>
    <row r="3208" spans="1:2" x14ac:dyDescent="0.25">
      <c r="A3208">
        <v>3179</v>
      </c>
      <c r="B3208">
        <v>0.2107114302613739</v>
      </c>
    </row>
    <row r="3209" spans="1:2" x14ac:dyDescent="0.25">
      <c r="A3209">
        <v>3180</v>
      </c>
      <c r="B3209">
        <v>0.1344015288983908</v>
      </c>
    </row>
    <row r="3210" spans="1:2" x14ac:dyDescent="0.25">
      <c r="A3210">
        <v>3181</v>
      </c>
      <c r="B3210">
        <v>0.24258822621072154</v>
      </c>
    </row>
    <row r="3211" spans="1:2" x14ac:dyDescent="0.25">
      <c r="A3211">
        <v>3182</v>
      </c>
      <c r="B3211">
        <v>0.21756504015701503</v>
      </c>
    </row>
    <row r="3212" spans="1:2" x14ac:dyDescent="0.25">
      <c r="A3212">
        <v>3183</v>
      </c>
      <c r="B3212">
        <v>0.23126891080783174</v>
      </c>
    </row>
    <row r="3213" spans="1:2" x14ac:dyDescent="0.25">
      <c r="A3213">
        <v>3184</v>
      </c>
      <c r="B3213">
        <v>0.57822391456496425</v>
      </c>
    </row>
    <row r="3214" spans="1:2" x14ac:dyDescent="0.25">
      <c r="A3214">
        <v>3185</v>
      </c>
      <c r="B3214">
        <v>0.18510129334708303</v>
      </c>
    </row>
    <row r="3215" spans="1:2" x14ac:dyDescent="0.25">
      <c r="A3215">
        <v>3186</v>
      </c>
      <c r="B3215">
        <v>1.3208326971886926</v>
      </c>
    </row>
    <row r="3216" spans="1:2" x14ac:dyDescent="0.25">
      <c r="A3216">
        <v>3187</v>
      </c>
      <c r="B3216">
        <v>0.14363985898736834</v>
      </c>
    </row>
    <row r="3217" spans="1:2" x14ac:dyDescent="0.25">
      <c r="A3217">
        <v>3188</v>
      </c>
      <c r="B3217">
        <v>8.204226289977265E-2</v>
      </c>
    </row>
    <row r="3218" spans="1:2" x14ac:dyDescent="0.25">
      <c r="A3218">
        <v>3189</v>
      </c>
      <c r="B3218">
        <v>0.10819173712786098</v>
      </c>
    </row>
    <row r="3219" spans="1:2" x14ac:dyDescent="0.25">
      <c r="A3219">
        <v>3190</v>
      </c>
      <c r="B3219">
        <v>0.44400747730580697</v>
      </c>
    </row>
    <row r="3220" spans="1:2" x14ac:dyDescent="0.25">
      <c r="A3220">
        <v>3191</v>
      </c>
      <c r="B3220">
        <v>0.12709813023085384</v>
      </c>
    </row>
    <row r="3221" spans="1:2" x14ac:dyDescent="0.25">
      <c r="A3221">
        <v>3192</v>
      </c>
      <c r="B3221">
        <v>0.24677077097257194</v>
      </c>
    </row>
    <row r="3222" spans="1:2" x14ac:dyDescent="0.25">
      <c r="A3222">
        <v>3193</v>
      </c>
      <c r="B3222">
        <v>0.21883108998281331</v>
      </c>
    </row>
    <row r="3223" spans="1:2" x14ac:dyDescent="0.25">
      <c r="A3223">
        <v>3194</v>
      </c>
      <c r="B3223">
        <v>0.3131452702070483</v>
      </c>
    </row>
    <row r="3224" spans="1:2" x14ac:dyDescent="0.25">
      <c r="A3224">
        <v>3195</v>
      </c>
      <c r="B3224">
        <v>5.9556816829642714E-2</v>
      </c>
    </row>
    <row r="3225" spans="1:2" x14ac:dyDescent="0.25">
      <c r="A3225">
        <v>3196</v>
      </c>
      <c r="B3225">
        <v>8.1153498100659444E-2</v>
      </c>
    </row>
    <row r="3226" spans="1:2" x14ac:dyDescent="0.25">
      <c r="A3226">
        <v>3197</v>
      </c>
      <c r="B3226">
        <v>0.30831947070435667</v>
      </c>
    </row>
    <row r="3227" spans="1:2" x14ac:dyDescent="0.25">
      <c r="A3227">
        <v>3198</v>
      </c>
      <c r="B3227">
        <v>0.16996018618512573</v>
      </c>
    </row>
    <row r="3228" spans="1:2" x14ac:dyDescent="0.25">
      <c r="A3228">
        <v>3199</v>
      </c>
      <c r="B3228">
        <v>0.29830078866637066</v>
      </c>
    </row>
    <row r="3229" spans="1:2" x14ac:dyDescent="0.25">
      <c r="A3229">
        <v>3200</v>
      </c>
      <c r="B3229">
        <v>0.11448163066777141</v>
      </c>
    </row>
    <row r="3230" spans="1:2" x14ac:dyDescent="0.25">
      <c r="A3230">
        <v>3201</v>
      </c>
      <c r="B3230">
        <v>0.22206589553994166</v>
      </c>
    </row>
    <row r="3231" spans="1:2" x14ac:dyDescent="0.25">
      <c r="A3231">
        <v>3202</v>
      </c>
      <c r="B3231">
        <v>0.22238465683154596</v>
      </c>
    </row>
    <row r="3232" spans="1:2" x14ac:dyDescent="0.25">
      <c r="A3232">
        <v>3203</v>
      </c>
      <c r="B3232">
        <v>4.9691944169967549E-2</v>
      </c>
    </row>
    <row r="3233" spans="1:2" x14ac:dyDescent="0.25">
      <c r="A3233">
        <v>3204</v>
      </c>
      <c r="B3233">
        <v>0.45857699321145928</v>
      </c>
    </row>
    <row r="3234" spans="1:2" x14ac:dyDescent="0.25">
      <c r="A3234">
        <v>3205</v>
      </c>
      <c r="B3234">
        <v>0.27102606456770229</v>
      </c>
    </row>
    <row r="3235" spans="1:2" x14ac:dyDescent="0.25">
      <c r="A3235">
        <v>3206</v>
      </c>
      <c r="B3235">
        <v>8.903039449640314E-2</v>
      </c>
    </row>
    <row r="3236" spans="1:2" x14ac:dyDescent="0.25">
      <c r="A3236">
        <v>3207</v>
      </c>
      <c r="B3236">
        <v>0.15359515802627896</v>
      </c>
    </row>
    <row r="3237" spans="1:2" x14ac:dyDescent="0.25">
      <c r="A3237">
        <v>3208</v>
      </c>
      <c r="B3237">
        <v>9.2137507443682903E-2</v>
      </c>
    </row>
    <row r="3238" spans="1:2" x14ac:dyDescent="0.25">
      <c r="A3238">
        <v>3209</v>
      </c>
      <c r="B3238">
        <v>5.7072935011120776E-2</v>
      </c>
    </row>
    <row r="3239" spans="1:2" x14ac:dyDescent="0.25">
      <c r="A3239">
        <v>3210</v>
      </c>
      <c r="B3239">
        <v>0.24415972597684038</v>
      </c>
    </row>
    <row r="3240" spans="1:2" x14ac:dyDescent="0.25">
      <c r="A3240">
        <v>3211</v>
      </c>
      <c r="B3240">
        <v>0.25382262883255502</v>
      </c>
    </row>
    <row r="3241" spans="1:2" x14ac:dyDescent="0.25">
      <c r="A3241">
        <v>3212</v>
      </c>
      <c r="B3241">
        <v>0.17191853721655484</v>
      </c>
    </row>
    <row r="3242" spans="1:2" x14ac:dyDescent="0.25">
      <c r="A3242">
        <v>3213</v>
      </c>
      <c r="B3242">
        <v>0.22255614327033618</v>
      </c>
    </row>
    <row r="3243" spans="1:2" x14ac:dyDescent="0.25">
      <c r="A3243">
        <v>3214</v>
      </c>
      <c r="B3243">
        <v>0.12264724139084644</v>
      </c>
    </row>
    <row r="3244" spans="1:2" x14ac:dyDescent="0.25">
      <c r="A3244">
        <v>3215</v>
      </c>
      <c r="B3244">
        <v>0.14103074297831786</v>
      </c>
    </row>
    <row r="3245" spans="1:2" x14ac:dyDescent="0.25">
      <c r="A3245">
        <v>3216</v>
      </c>
      <c r="B3245">
        <v>0.21321999827037111</v>
      </c>
    </row>
    <row r="3246" spans="1:2" x14ac:dyDescent="0.25">
      <c r="A3246">
        <v>3217</v>
      </c>
      <c r="B3246">
        <v>0.1149272494346341</v>
      </c>
    </row>
    <row r="3247" spans="1:2" x14ac:dyDescent="0.25">
      <c r="A3247">
        <v>3218</v>
      </c>
      <c r="B3247">
        <v>0.16044030751736188</v>
      </c>
    </row>
    <row r="3248" spans="1:2" x14ac:dyDescent="0.25">
      <c r="A3248">
        <v>3219</v>
      </c>
      <c r="B3248">
        <v>0.14403005360354851</v>
      </c>
    </row>
    <row r="3249" spans="1:2" x14ac:dyDescent="0.25">
      <c r="A3249">
        <v>3220</v>
      </c>
      <c r="B3249">
        <v>9.6597679594925212E-2</v>
      </c>
    </row>
    <row r="3250" spans="1:2" x14ac:dyDescent="0.25">
      <c r="A3250">
        <v>3221</v>
      </c>
      <c r="B3250">
        <v>0.1692897152348071</v>
      </c>
    </row>
    <row r="3251" spans="1:2" x14ac:dyDescent="0.25">
      <c r="A3251">
        <v>3222</v>
      </c>
      <c r="B3251">
        <v>0.35779735111567273</v>
      </c>
    </row>
    <row r="3252" spans="1:2" x14ac:dyDescent="0.25">
      <c r="A3252">
        <v>3223</v>
      </c>
      <c r="B3252">
        <v>0.25037351498701216</v>
      </c>
    </row>
    <row r="3253" spans="1:2" x14ac:dyDescent="0.25">
      <c r="A3253">
        <v>3224</v>
      </c>
      <c r="B3253">
        <v>0.15106650370032165</v>
      </c>
    </row>
    <row r="3254" spans="1:2" x14ac:dyDescent="0.25">
      <c r="A3254">
        <v>3225</v>
      </c>
      <c r="B3254">
        <v>8.8220699879069678E-2</v>
      </c>
    </row>
    <row r="3255" spans="1:2" x14ac:dyDescent="0.25">
      <c r="A3255">
        <v>3226</v>
      </c>
      <c r="B3255">
        <v>4.6699258922891701E-2</v>
      </c>
    </row>
    <row r="3256" spans="1:2" x14ac:dyDescent="0.25">
      <c r="A3256">
        <v>3227</v>
      </c>
      <c r="B3256">
        <v>0.14921710993779619</v>
      </c>
    </row>
    <row r="3257" spans="1:2" x14ac:dyDescent="0.25">
      <c r="A3257">
        <v>3228</v>
      </c>
      <c r="B3257">
        <v>0.15710601967595028</v>
      </c>
    </row>
    <row r="3258" spans="1:2" x14ac:dyDescent="0.25">
      <c r="A3258">
        <v>3229</v>
      </c>
      <c r="B3258">
        <v>0.12181561113733103</v>
      </c>
    </row>
    <row r="3259" spans="1:2" x14ac:dyDescent="0.25">
      <c r="A3259">
        <v>3230</v>
      </c>
      <c r="B3259">
        <v>0.13832095303492253</v>
      </c>
    </row>
    <row r="3260" spans="1:2" x14ac:dyDescent="0.25">
      <c r="A3260">
        <v>3231</v>
      </c>
      <c r="B3260">
        <v>5.4527129664153039E-2</v>
      </c>
    </row>
    <row r="3261" spans="1:2" x14ac:dyDescent="0.25">
      <c r="A3261">
        <v>3232</v>
      </c>
      <c r="B3261">
        <v>0.55192048329122789</v>
      </c>
    </row>
    <row r="3262" spans="1:2" x14ac:dyDescent="0.25">
      <c r="A3262">
        <v>3233</v>
      </c>
      <c r="B3262">
        <v>8.2225033536591247E-2</v>
      </c>
    </row>
    <row r="3263" spans="1:2" x14ac:dyDescent="0.25">
      <c r="A3263">
        <v>3234</v>
      </c>
      <c r="B3263">
        <v>0.23483725561725108</v>
      </c>
    </row>
    <row r="3264" spans="1:2" x14ac:dyDescent="0.25">
      <c r="A3264">
        <v>3235</v>
      </c>
      <c r="B3264">
        <v>0.11104973493823554</v>
      </c>
    </row>
    <row r="3265" spans="1:2" x14ac:dyDescent="0.25">
      <c r="A3265">
        <v>3236</v>
      </c>
      <c r="B3265">
        <v>0.14368006112104831</v>
      </c>
    </row>
    <row r="3266" spans="1:2" x14ac:dyDescent="0.25">
      <c r="A3266">
        <v>3237</v>
      </c>
      <c r="B3266">
        <v>0.22039498780862141</v>
      </c>
    </row>
    <row r="3267" spans="1:2" x14ac:dyDescent="0.25">
      <c r="A3267">
        <v>3238</v>
      </c>
      <c r="B3267">
        <v>0.19257711739086131</v>
      </c>
    </row>
    <row r="3268" spans="1:2" x14ac:dyDescent="0.25">
      <c r="A3268">
        <v>3239</v>
      </c>
      <c r="B3268">
        <v>0.23396857473323332</v>
      </c>
    </row>
    <row r="3269" spans="1:2" x14ac:dyDescent="0.25">
      <c r="A3269">
        <v>3240</v>
      </c>
      <c r="B3269">
        <v>0.13929832768376257</v>
      </c>
    </row>
    <row r="3270" spans="1:2" x14ac:dyDescent="0.25">
      <c r="A3270">
        <v>3241</v>
      </c>
      <c r="B3270">
        <v>0.10377553953123789</v>
      </c>
    </row>
    <row r="3271" spans="1:2" x14ac:dyDescent="0.25">
      <c r="A3271">
        <v>3242</v>
      </c>
      <c r="B3271">
        <v>0.35076669610774291</v>
      </c>
    </row>
    <row r="3272" spans="1:2" x14ac:dyDescent="0.25">
      <c r="A3272">
        <v>3243</v>
      </c>
      <c r="B3272">
        <v>0.55233999474436335</v>
      </c>
    </row>
    <row r="3273" spans="1:2" x14ac:dyDescent="0.25">
      <c r="A3273">
        <v>3244</v>
      </c>
      <c r="B3273">
        <v>8.3642397768085477E-2</v>
      </c>
    </row>
    <row r="3274" spans="1:2" x14ac:dyDescent="0.25">
      <c r="A3274">
        <v>3245</v>
      </c>
      <c r="B3274">
        <v>0.20840559614434939</v>
      </c>
    </row>
    <row r="3275" spans="1:2" x14ac:dyDescent="0.25">
      <c r="A3275">
        <v>3246</v>
      </c>
      <c r="B3275">
        <v>0.24412018623982157</v>
      </c>
    </row>
    <row r="3276" spans="1:2" x14ac:dyDescent="0.25">
      <c r="A3276">
        <v>3247</v>
      </c>
      <c r="B3276">
        <v>3.8317841846321421E-2</v>
      </c>
    </row>
    <row r="3277" spans="1:2" x14ac:dyDescent="0.25">
      <c r="A3277">
        <v>3248</v>
      </c>
      <c r="B3277">
        <v>0.36914808391618259</v>
      </c>
    </row>
    <row r="3278" spans="1:2" x14ac:dyDescent="0.25">
      <c r="A3278">
        <v>3249</v>
      </c>
      <c r="B3278">
        <v>0.14968607226964525</v>
      </c>
    </row>
    <row r="3279" spans="1:2" x14ac:dyDescent="0.25">
      <c r="A3279">
        <v>3250</v>
      </c>
      <c r="B3279">
        <v>8.0825478399483522E-2</v>
      </c>
    </row>
    <row r="3280" spans="1:2" x14ac:dyDescent="0.25">
      <c r="A3280">
        <v>3251</v>
      </c>
      <c r="B3280">
        <v>8.7317282428462054E-2</v>
      </c>
    </row>
    <row r="3281" spans="1:2" x14ac:dyDescent="0.25">
      <c r="A3281">
        <v>3252</v>
      </c>
      <c r="B3281">
        <v>0.16100355566758751</v>
      </c>
    </row>
    <row r="3282" spans="1:2" x14ac:dyDescent="0.25">
      <c r="A3282">
        <v>3253</v>
      </c>
      <c r="B3282">
        <v>0.15802783040968038</v>
      </c>
    </row>
    <row r="3283" spans="1:2" x14ac:dyDescent="0.25">
      <c r="A3283">
        <v>3254</v>
      </c>
      <c r="B3283">
        <v>7.0674283404425539E-2</v>
      </c>
    </row>
    <row r="3284" spans="1:2" x14ac:dyDescent="0.25">
      <c r="A3284">
        <v>3255</v>
      </c>
      <c r="B3284">
        <v>0.10999758213899058</v>
      </c>
    </row>
    <row r="3285" spans="1:2" x14ac:dyDescent="0.25">
      <c r="A3285">
        <v>3256</v>
      </c>
      <c r="B3285">
        <v>9.2081413776377061E-2</v>
      </c>
    </row>
    <row r="3286" spans="1:2" x14ac:dyDescent="0.25">
      <c r="A3286">
        <v>3257</v>
      </c>
      <c r="B3286">
        <v>0.20215014657092528</v>
      </c>
    </row>
    <row r="3287" spans="1:2" x14ac:dyDescent="0.25">
      <c r="A3287">
        <v>3258</v>
      </c>
      <c r="B3287">
        <v>0.29591397006150677</v>
      </c>
    </row>
    <row r="3288" spans="1:2" x14ac:dyDescent="0.25">
      <c r="A3288">
        <v>3259</v>
      </c>
      <c r="B3288">
        <v>0.31327365779886313</v>
      </c>
    </row>
    <row r="3289" spans="1:2" x14ac:dyDescent="0.25">
      <c r="A3289">
        <v>3260</v>
      </c>
      <c r="B3289">
        <v>0.17121947468970578</v>
      </c>
    </row>
    <row r="3290" spans="1:2" x14ac:dyDescent="0.25">
      <c r="A3290">
        <v>3261</v>
      </c>
      <c r="B3290">
        <v>0.37579223445642085</v>
      </c>
    </row>
    <row r="3291" spans="1:2" x14ac:dyDescent="0.25">
      <c r="A3291">
        <v>3262</v>
      </c>
      <c r="B3291">
        <v>0.313795762930901</v>
      </c>
    </row>
    <row r="3292" spans="1:2" x14ac:dyDescent="0.25">
      <c r="A3292">
        <v>3263</v>
      </c>
      <c r="B3292">
        <v>0.12599118712832216</v>
      </c>
    </row>
    <row r="3293" spans="1:2" x14ac:dyDescent="0.25">
      <c r="A3293">
        <v>3264</v>
      </c>
      <c r="B3293">
        <v>0.14407528786713403</v>
      </c>
    </row>
    <row r="3294" spans="1:2" x14ac:dyDescent="0.25">
      <c r="A3294">
        <v>3265</v>
      </c>
      <c r="B3294">
        <v>0.17136432649506231</v>
      </c>
    </row>
    <row r="3295" spans="1:2" x14ac:dyDescent="0.25">
      <c r="A3295">
        <v>3266</v>
      </c>
      <c r="B3295">
        <v>0.22614897573171569</v>
      </c>
    </row>
    <row r="3296" spans="1:2" x14ac:dyDescent="0.25">
      <c r="A3296">
        <v>3267</v>
      </c>
      <c r="B3296">
        <v>0.29887355417582689</v>
      </c>
    </row>
    <row r="3297" spans="1:2" x14ac:dyDescent="0.25">
      <c r="A3297">
        <v>3268</v>
      </c>
      <c r="B3297">
        <v>6.4228188283898341E-2</v>
      </c>
    </row>
    <row r="3298" spans="1:2" x14ac:dyDescent="0.25">
      <c r="A3298">
        <v>3269</v>
      </c>
      <c r="B3298">
        <v>0.13963467954552114</v>
      </c>
    </row>
    <row r="3299" spans="1:2" x14ac:dyDescent="0.25">
      <c r="A3299">
        <v>3270</v>
      </c>
      <c r="B3299">
        <v>0.22722023088952503</v>
      </c>
    </row>
    <row r="3300" spans="1:2" x14ac:dyDescent="0.25">
      <c r="A3300">
        <v>3271</v>
      </c>
      <c r="B3300">
        <v>0.51448323099558468</v>
      </c>
    </row>
    <row r="3301" spans="1:2" x14ac:dyDescent="0.25">
      <c r="A3301">
        <v>3272</v>
      </c>
      <c r="B3301">
        <v>0.24583125808720491</v>
      </c>
    </row>
    <row r="3302" spans="1:2" x14ac:dyDescent="0.25">
      <c r="A3302">
        <v>3273</v>
      </c>
      <c r="B3302">
        <v>3.5352558788918347E-2</v>
      </c>
    </row>
    <row r="3303" spans="1:2" x14ac:dyDescent="0.25">
      <c r="A3303">
        <v>3274</v>
      </c>
      <c r="B3303">
        <v>0.36717456469205367</v>
      </c>
    </row>
    <row r="3304" spans="1:2" x14ac:dyDescent="0.25">
      <c r="A3304">
        <v>3275</v>
      </c>
      <c r="B3304">
        <v>0.12524513041584837</v>
      </c>
    </row>
    <row r="3305" spans="1:2" x14ac:dyDescent="0.25">
      <c r="A3305">
        <v>3276</v>
      </c>
      <c r="B3305">
        <v>0.35216240026796031</v>
      </c>
    </row>
    <row r="3306" spans="1:2" x14ac:dyDescent="0.25">
      <c r="A3306">
        <v>3277</v>
      </c>
      <c r="B3306">
        <v>8.7123808839982206E-2</v>
      </c>
    </row>
    <row r="3307" spans="1:2" x14ac:dyDescent="0.25">
      <c r="A3307">
        <v>3278</v>
      </c>
      <c r="B3307">
        <v>0.18717342660647718</v>
      </c>
    </row>
    <row r="3308" spans="1:2" x14ac:dyDescent="0.25">
      <c r="A3308">
        <v>3279</v>
      </c>
      <c r="B3308">
        <v>0.21891951820984223</v>
      </c>
    </row>
    <row r="3309" spans="1:2" x14ac:dyDescent="0.25">
      <c r="A3309">
        <v>3280</v>
      </c>
      <c r="B3309">
        <v>0.1963606168610614</v>
      </c>
    </row>
    <row r="3310" spans="1:2" x14ac:dyDescent="0.25">
      <c r="A3310">
        <v>3281</v>
      </c>
      <c r="B3310">
        <v>8.5750558672800958E-2</v>
      </c>
    </row>
    <row r="3311" spans="1:2" x14ac:dyDescent="0.25">
      <c r="A3311">
        <v>3282</v>
      </c>
      <c r="B3311">
        <v>9.768834733486402E-2</v>
      </c>
    </row>
    <row r="3312" spans="1:2" x14ac:dyDescent="0.25">
      <c r="A3312">
        <v>3283</v>
      </c>
      <c r="B3312">
        <v>0.1570986971745657</v>
      </c>
    </row>
    <row r="3313" spans="1:2" x14ac:dyDescent="0.25">
      <c r="A3313">
        <v>3284</v>
      </c>
      <c r="B3313">
        <v>0.1746425137532098</v>
      </c>
    </row>
    <row r="3314" spans="1:2" x14ac:dyDescent="0.25">
      <c r="A3314">
        <v>3285</v>
      </c>
      <c r="B3314">
        <v>0.25894197545956765</v>
      </c>
    </row>
    <row r="3315" spans="1:2" x14ac:dyDescent="0.25">
      <c r="A3315">
        <v>3286</v>
      </c>
      <c r="B3315">
        <v>0.29132896395259372</v>
      </c>
    </row>
    <row r="3316" spans="1:2" x14ac:dyDescent="0.25">
      <c r="A3316">
        <v>3287</v>
      </c>
      <c r="B3316">
        <v>0.10433288258532689</v>
      </c>
    </row>
    <row r="3317" spans="1:2" x14ac:dyDescent="0.25">
      <c r="A3317">
        <v>3288</v>
      </c>
      <c r="B3317">
        <v>7.8545324969821501E-2</v>
      </c>
    </row>
    <row r="3318" spans="1:2" x14ac:dyDescent="0.25">
      <c r="A3318">
        <v>3289</v>
      </c>
      <c r="B3318">
        <v>0.22754850678198621</v>
      </c>
    </row>
    <row r="3319" spans="1:2" x14ac:dyDescent="0.25">
      <c r="A3319">
        <v>3290</v>
      </c>
      <c r="B3319">
        <v>2.6093274068815307E-2</v>
      </c>
    </row>
    <row r="3320" spans="1:2" x14ac:dyDescent="0.25">
      <c r="A3320">
        <v>3291</v>
      </c>
      <c r="B3320">
        <v>8.913337454582751E-2</v>
      </c>
    </row>
    <row r="3321" spans="1:2" x14ac:dyDescent="0.25">
      <c r="A3321">
        <v>3292</v>
      </c>
      <c r="B3321">
        <v>0.34084586085511365</v>
      </c>
    </row>
    <row r="3322" spans="1:2" x14ac:dyDescent="0.25">
      <c r="A3322">
        <v>3293</v>
      </c>
      <c r="B3322">
        <v>0.1410573986628702</v>
      </c>
    </row>
    <row r="3323" spans="1:2" x14ac:dyDescent="0.25">
      <c r="A3323">
        <v>3294</v>
      </c>
      <c r="B3323">
        <v>0.67089618773692872</v>
      </c>
    </row>
    <row r="3324" spans="1:2" x14ac:dyDescent="0.25">
      <c r="A3324">
        <v>3295</v>
      </c>
      <c r="B3324">
        <v>8.5796246364172157E-2</v>
      </c>
    </row>
    <row r="3325" spans="1:2" x14ac:dyDescent="0.25">
      <c r="A3325">
        <v>3296</v>
      </c>
      <c r="B3325">
        <v>6.5809625849026318E-2</v>
      </c>
    </row>
    <row r="3326" spans="1:2" x14ac:dyDescent="0.25">
      <c r="A3326">
        <v>3297</v>
      </c>
      <c r="B3326">
        <v>0.13112418042357116</v>
      </c>
    </row>
    <row r="3327" spans="1:2" x14ac:dyDescent="0.25">
      <c r="A3327">
        <v>3298</v>
      </c>
      <c r="B3327">
        <v>0.24657302580810031</v>
      </c>
    </row>
    <row r="3328" spans="1:2" x14ac:dyDescent="0.25">
      <c r="A3328">
        <v>3299</v>
      </c>
      <c r="B3328">
        <v>7.9501844682316511E-2</v>
      </c>
    </row>
    <row r="3329" spans="1:2" x14ac:dyDescent="0.25">
      <c r="A3329">
        <v>3300</v>
      </c>
      <c r="B3329">
        <v>0.17859924281217393</v>
      </c>
    </row>
    <row r="3330" spans="1:2" x14ac:dyDescent="0.25">
      <c r="A3330">
        <v>3301</v>
      </c>
      <c r="B3330">
        <v>0.28702005097140709</v>
      </c>
    </row>
    <row r="3331" spans="1:2" x14ac:dyDescent="0.25">
      <c r="A3331">
        <v>3302</v>
      </c>
      <c r="B3331">
        <v>0.21066762223497776</v>
      </c>
    </row>
    <row r="3332" spans="1:2" x14ac:dyDescent="0.25">
      <c r="A3332">
        <v>3303</v>
      </c>
      <c r="B3332">
        <v>0.10350335368556379</v>
      </c>
    </row>
    <row r="3333" spans="1:2" x14ac:dyDescent="0.25">
      <c r="A3333">
        <v>3304</v>
      </c>
      <c r="B3333">
        <v>0.13664395903228391</v>
      </c>
    </row>
    <row r="3334" spans="1:2" x14ac:dyDescent="0.25">
      <c r="A3334">
        <v>3305</v>
      </c>
      <c r="B3334">
        <v>0.10587191834716451</v>
      </c>
    </row>
    <row r="3335" spans="1:2" x14ac:dyDescent="0.25">
      <c r="A3335">
        <v>3306</v>
      </c>
      <c r="B3335">
        <v>0.16021258407070571</v>
      </c>
    </row>
    <row r="3336" spans="1:2" x14ac:dyDescent="0.25">
      <c r="A3336">
        <v>3307</v>
      </c>
      <c r="B3336">
        <v>9.946226070508668E-2</v>
      </c>
    </row>
    <row r="3337" spans="1:2" x14ac:dyDescent="0.25">
      <c r="A3337">
        <v>3308</v>
      </c>
      <c r="B3337">
        <v>9.2687588128601991E-2</v>
      </c>
    </row>
    <row r="3338" spans="1:2" x14ac:dyDescent="0.25">
      <c r="A3338">
        <v>3309</v>
      </c>
      <c r="B3338">
        <v>5.6891778496438554E-2</v>
      </c>
    </row>
    <row r="3339" spans="1:2" x14ac:dyDescent="0.25">
      <c r="A3339">
        <v>3310</v>
      </c>
      <c r="B3339">
        <v>0.3052656085553685</v>
      </c>
    </row>
    <row r="3340" spans="1:2" x14ac:dyDescent="0.25">
      <c r="A3340">
        <v>3311</v>
      </c>
      <c r="B3340">
        <v>7.7231777183178044E-2</v>
      </c>
    </row>
    <row r="3341" spans="1:2" x14ac:dyDescent="0.25">
      <c r="A3341">
        <v>3312</v>
      </c>
      <c r="B3341">
        <v>0.19665978167545242</v>
      </c>
    </row>
    <row r="3342" spans="1:2" x14ac:dyDescent="0.25">
      <c r="A3342">
        <v>3313</v>
      </c>
      <c r="B3342">
        <v>0.28892473102626964</v>
      </c>
    </row>
    <row r="3343" spans="1:2" x14ac:dyDescent="0.25">
      <c r="A3343">
        <v>3314</v>
      </c>
      <c r="B3343">
        <v>0.10332657972090002</v>
      </c>
    </row>
    <row r="3344" spans="1:2" x14ac:dyDescent="0.25">
      <c r="A3344">
        <v>3315</v>
      </c>
      <c r="B3344">
        <v>0.15631130705717847</v>
      </c>
    </row>
    <row r="3345" spans="1:2" x14ac:dyDescent="0.25">
      <c r="A3345">
        <v>3316</v>
      </c>
      <c r="B3345">
        <v>6.2132745020090516E-2</v>
      </c>
    </row>
    <row r="3346" spans="1:2" x14ac:dyDescent="0.25">
      <c r="A3346">
        <v>3317</v>
      </c>
      <c r="B3346">
        <v>5.9217202937589405E-2</v>
      </c>
    </row>
    <row r="3347" spans="1:2" x14ac:dyDescent="0.25">
      <c r="A3347">
        <v>3318</v>
      </c>
      <c r="B3347">
        <v>0.16209656121423222</v>
      </c>
    </row>
    <row r="3348" spans="1:2" x14ac:dyDescent="0.25">
      <c r="A3348">
        <v>3319</v>
      </c>
      <c r="B3348">
        <v>7.0293675962025612E-2</v>
      </c>
    </row>
    <row r="3349" spans="1:2" x14ac:dyDescent="0.25">
      <c r="A3349">
        <v>3320</v>
      </c>
      <c r="B3349">
        <v>0.14818914708837008</v>
      </c>
    </row>
    <row r="3350" spans="1:2" x14ac:dyDescent="0.25">
      <c r="A3350">
        <v>3321</v>
      </c>
      <c r="B3350">
        <v>0.29630371511580245</v>
      </c>
    </row>
    <row r="3351" spans="1:2" x14ac:dyDescent="0.25">
      <c r="A3351">
        <v>3322</v>
      </c>
      <c r="B3351">
        <v>0.1317304768434171</v>
      </c>
    </row>
    <row r="3352" spans="1:2" x14ac:dyDescent="0.25">
      <c r="A3352">
        <v>3323</v>
      </c>
      <c r="B3352">
        <v>0.17983961089082662</v>
      </c>
    </row>
    <row r="3353" spans="1:2" x14ac:dyDescent="0.25">
      <c r="A3353">
        <v>3324</v>
      </c>
      <c r="B3353">
        <v>0.35545964101034727</v>
      </c>
    </row>
    <row r="3354" spans="1:2" x14ac:dyDescent="0.25">
      <c r="A3354">
        <v>3325</v>
      </c>
      <c r="B3354">
        <v>0.1919819399300636</v>
      </c>
    </row>
    <row r="3355" spans="1:2" x14ac:dyDescent="0.25">
      <c r="A3355">
        <v>3326</v>
      </c>
      <c r="B3355">
        <v>0.10813700969456636</v>
      </c>
    </row>
    <row r="3356" spans="1:2" x14ac:dyDescent="0.25">
      <c r="A3356">
        <v>3327</v>
      </c>
      <c r="B3356">
        <v>0.3537831128158706</v>
      </c>
    </row>
    <row r="3357" spans="1:2" x14ac:dyDescent="0.25">
      <c r="A3357">
        <v>3328</v>
      </c>
      <c r="B3357">
        <v>0.40324822843654662</v>
      </c>
    </row>
    <row r="3358" spans="1:2" x14ac:dyDescent="0.25">
      <c r="A3358">
        <v>3329</v>
      </c>
      <c r="B3358">
        <v>0.36753627268317296</v>
      </c>
    </row>
    <row r="3359" spans="1:2" x14ac:dyDescent="0.25">
      <c r="A3359">
        <v>3330</v>
      </c>
      <c r="B3359">
        <v>0.15610187653772817</v>
      </c>
    </row>
    <row r="3360" spans="1:2" x14ac:dyDescent="0.25">
      <c r="A3360">
        <v>3331</v>
      </c>
      <c r="B3360">
        <v>2.624181997384473E-2</v>
      </c>
    </row>
    <row r="3361" spans="1:2" x14ac:dyDescent="0.25">
      <c r="A3361">
        <v>3332</v>
      </c>
      <c r="B3361">
        <v>0.21288741552193119</v>
      </c>
    </row>
    <row r="3362" spans="1:2" x14ac:dyDescent="0.25">
      <c r="A3362">
        <v>3333</v>
      </c>
      <c r="B3362">
        <v>0.23741744011061858</v>
      </c>
    </row>
    <row r="3363" spans="1:2" x14ac:dyDescent="0.25">
      <c r="A3363">
        <v>3334</v>
      </c>
      <c r="B3363">
        <v>0.26985763569163973</v>
      </c>
    </row>
    <row r="3364" spans="1:2" x14ac:dyDescent="0.25">
      <c r="A3364">
        <v>3335</v>
      </c>
      <c r="B3364">
        <v>8.5160638734090674E-2</v>
      </c>
    </row>
    <row r="3365" spans="1:2" x14ac:dyDescent="0.25">
      <c r="A3365">
        <v>3336</v>
      </c>
      <c r="B3365">
        <v>9.7624998322605502E-2</v>
      </c>
    </row>
    <row r="3366" spans="1:2" x14ac:dyDescent="0.25">
      <c r="A3366">
        <v>3337</v>
      </c>
      <c r="B3366">
        <v>7.1630771172433563E-2</v>
      </c>
    </row>
    <row r="3367" spans="1:2" x14ac:dyDescent="0.25">
      <c r="A3367">
        <v>3338</v>
      </c>
      <c r="B3367">
        <v>0.13142873652793999</v>
      </c>
    </row>
    <row r="3368" spans="1:2" x14ac:dyDescent="0.25">
      <c r="A3368">
        <v>3339</v>
      </c>
      <c r="B3368">
        <v>0.18194719932430067</v>
      </c>
    </row>
    <row r="3369" spans="1:2" x14ac:dyDescent="0.25">
      <c r="A3369">
        <v>3340</v>
      </c>
      <c r="B3369">
        <v>7.0676858212815094E-2</v>
      </c>
    </row>
    <row r="3370" spans="1:2" x14ac:dyDescent="0.25">
      <c r="A3370">
        <v>3341</v>
      </c>
      <c r="B3370">
        <v>0.37400228355947707</v>
      </c>
    </row>
    <row r="3371" spans="1:2" x14ac:dyDescent="0.25">
      <c r="A3371">
        <v>3342</v>
      </c>
      <c r="B3371">
        <v>0.1666935075642163</v>
      </c>
    </row>
    <row r="3372" spans="1:2" x14ac:dyDescent="0.25">
      <c r="A3372">
        <v>3343</v>
      </c>
      <c r="B3372">
        <v>0.16610188575829613</v>
      </c>
    </row>
    <row r="3373" spans="1:2" x14ac:dyDescent="0.25">
      <c r="A3373">
        <v>3344</v>
      </c>
      <c r="B3373">
        <v>0.32378021134946156</v>
      </c>
    </row>
    <row r="3374" spans="1:2" x14ac:dyDescent="0.25">
      <c r="A3374">
        <v>3345</v>
      </c>
      <c r="B3374">
        <v>0.1928934683822468</v>
      </c>
    </row>
    <row r="3375" spans="1:2" x14ac:dyDescent="0.25">
      <c r="A3375">
        <v>3346</v>
      </c>
      <c r="B3375">
        <v>0.14350225229262176</v>
      </c>
    </row>
    <row r="3376" spans="1:2" x14ac:dyDescent="0.25">
      <c r="A3376">
        <v>3347</v>
      </c>
      <c r="B3376">
        <v>0.80955184321163354</v>
      </c>
    </row>
    <row r="3377" spans="1:2" x14ac:dyDescent="0.25">
      <c r="A3377">
        <v>3348</v>
      </c>
      <c r="B3377">
        <v>0.20473134426804848</v>
      </c>
    </row>
    <row r="3378" spans="1:2" x14ac:dyDescent="0.25">
      <c r="A3378">
        <v>3349</v>
      </c>
      <c r="B3378">
        <v>0.18176686259415717</v>
      </c>
    </row>
    <row r="3379" spans="1:2" x14ac:dyDescent="0.25">
      <c r="A3379">
        <v>3350</v>
      </c>
      <c r="B3379">
        <v>0.22797221680420324</v>
      </c>
    </row>
    <row r="3380" spans="1:2" x14ac:dyDescent="0.25">
      <c r="A3380">
        <v>3351</v>
      </c>
      <c r="B3380">
        <v>8.5640320075664939E-2</v>
      </c>
    </row>
    <row r="3381" spans="1:2" x14ac:dyDescent="0.25">
      <c r="A3381">
        <v>3352</v>
      </c>
      <c r="B3381">
        <v>0.25030102227840895</v>
      </c>
    </row>
    <row r="3382" spans="1:2" x14ac:dyDescent="0.25">
      <c r="A3382">
        <v>3353</v>
      </c>
      <c r="B3382">
        <v>0.2730518438760306</v>
      </c>
    </row>
    <row r="3383" spans="1:2" x14ac:dyDescent="0.25">
      <c r="A3383">
        <v>3354</v>
      </c>
      <c r="B3383">
        <v>0.24074810869055269</v>
      </c>
    </row>
    <row r="3384" spans="1:2" x14ac:dyDescent="0.25">
      <c r="A3384">
        <v>3355</v>
      </c>
      <c r="B3384">
        <v>0.12192823033468472</v>
      </c>
    </row>
    <row r="3385" spans="1:2" x14ac:dyDescent="0.25">
      <c r="A3385">
        <v>3356</v>
      </c>
      <c r="B3385">
        <v>0.31472308213482025</v>
      </c>
    </row>
    <row r="3386" spans="1:2" x14ac:dyDescent="0.25">
      <c r="A3386">
        <v>3357</v>
      </c>
      <c r="B3386">
        <v>0.2046964778517007</v>
      </c>
    </row>
    <row r="3387" spans="1:2" x14ac:dyDescent="0.25">
      <c r="A3387">
        <v>3358</v>
      </c>
      <c r="B3387">
        <v>0.22326519368735259</v>
      </c>
    </row>
    <row r="3388" spans="1:2" x14ac:dyDescent="0.25">
      <c r="A3388">
        <v>3359</v>
      </c>
      <c r="B3388">
        <v>0.48072866460202013</v>
      </c>
    </row>
    <row r="3389" spans="1:2" x14ac:dyDescent="0.25">
      <c r="A3389">
        <v>3360</v>
      </c>
      <c r="B3389">
        <v>0.11463987882933026</v>
      </c>
    </row>
    <row r="3390" spans="1:2" x14ac:dyDescent="0.25">
      <c r="A3390">
        <v>3361</v>
      </c>
      <c r="B3390">
        <v>0.30841446509701487</v>
      </c>
    </row>
    <row r="3391" spans="1:2" x14ac:dyDescent="0.25">
      <c r="A3391">
        <v>3362</v>
      </c>
      <c r="B3391">
        <v>0.22091395311921569</v>
      </c>
    </row>
    <row r="3392" spans="1:2" x14ac:dyDescent="0.25">
      <c r="A3392">
        <v>3363</v>
      </c>
      <c r="B3392">
        <v>0.30063774022032197</v>
      </c>
    </row>
    <row r="3393" spans="1:2" x14ac:dyDescent="0.25">
      <c r="A3393">
        <v>3364</v>
      </c>
      <c r="B3393">
        <v>0.26334977820304578</v>
      </c>
    </row>
    <row r="3394" spans="1:2" x14ac:dyDescent="0.25">
      <c r="A3394">
        <v>3365</v>
      </c>
      <c r="B3394">
        <v>0.34562646916497108</v>
      </c>
    </row>
    <row r="3395" spans="1:2" x14ac:dyDescent="0.25">
      <c r="A3395">
        <v>3366</v>
      </c>
      <c r="B3395">
        <v>7.1245672112762365E-2</v>
      </c>
    </row>
    <row r="3396" spans="1:2" x14ac:dyDescent="0.25">
      <c r="A3396">
        <v>3367</v>
      </c>
      <c r="B3396">
        <v>0.21207679274915678</v>
      </c>
    </row>
    <row r="3397" spans="1:2" x14ac:dyDescent="0.25">
      <c r="A3397">
        <v>3368</v>
      </c>
      <c r="B3397">
        <v>0.17621423667549491</v>
      </c>
    </row>
    <row r="3398" spans="1:2" x14ac:dyDescent="0.25">
      <c r="A3398">
        <v>3369</v>
      </c>
      <c r="B3398">
        <v>0.19339227585820415</v>
      </c>
    </row>
    <row r="3399" spans="1:2" x14ac:dyDescent="0.25">
      <c r="A3399">
        <v>3370</v>
      </c>
      <c r="B3399">
        <v>0.2772132140489465</v>
      </c>
    </row>
    <row r="3400" spans="1:2" x14ac:dyDescent="0.25">
      <c r="A3400">
        <v>3371</v>
      </c>
      <c r="B3400">
        <v>0.24679293582466849</v>
      </c>
    </row>
    <row r="3401" spans="1:2" x14ac:dyDescent="0.25">
      <c r="A3401">
        <v>3372</v>
      </c>
      <c r="B3401">
        <v>0.18230956304091786</v>
      </c>
    </row>
    <row r="3402" spans="1:2" x14ac:dyDescent="0.25">
      <c r="A3402">
        <v>3373</v>
      </c>
      <c r="B3402">
        <v>0.19364313414477141</v>
      </c>
    </row>
    <row r="3403" spans="1:2" x14ac:dyDescent="0.25">
      <c r="A3403">
        <v>3374</v>
      </c>
      <c r="B3403">
        <v>4.5899335320444837E-2</v>
      </c>
    </row>
    <row r="3404" spans="1:2" x14ac:dyDescent="0.25">
      <c r="A3404">
        <v>3375</v>
      </c>
      <c r="B3404">
        <v>0.40768294211851552</v>
      </c>
    </row>
    <row r="3405" spans="1:2" x14ac:dyDescent="0.25">
      <c r="A3405">
        <v>3376</v>
      </c>
      <c r="B3405">
        <v>0.11840882320614325</v>
      </c>
    </row>
    <row r="3406" spans="1:2" x14ac:dyDescent="0.25">
      <c r="A3406">
        <v>3377</v>
      </c>
      <c r="B3406">
        <v>0.62598417399440509</v>
      </c>
    </row>
    <row r="3407" spans="1:2" x14ac:dyDescent="0.25">
      <c r="A3407">
        <v>3378</v>
      </c>
      <c r="B3407">
        <v>0.16270600390478995</v>
      </c>
    </row>
    <row r="3408" spans="1:2" x14ac:dyDescent="0.25">
      <c r="A3408">
        <v>3379</v>
      </c>
      <c r="B3408">
        <v>0.11559988411113765</v>
      </c>
    </row>
    <row r="3409" spans="1:2" x14ac:dyDescent="0.25">
      <c r="A3409">
        <v>3380</v>
      </c>
      <c r="B3409">
        <v>9.4218580684125947E-2</v>
      </c>
    </row>
    <row r="3410" spans="1:2" x14ac:dyDescent="0.25">
      <c r="A3410">
        <v>3381</v>
      </c>
      <c r="B3410">
        <v>0.22408056952789998</v>
      </c>
    </row>
    <row r="3411" spans="1:2" x14ac:dyDescent="0.25">
      <c r="A3411">
        <v>3382</v>
      </c>
      <c r="B3411">
        <v>0.16052790623380375</v>
      </c>
    </row>
    <row r="3412" spans="1:2" x14ac:dyDescent="0.25">
      <c r="A3412">
        <v>3383</v>
      </c>
      <c r="B3412">
        <v>0.1379833067857332</v>
      </c>
    </row>
    <row r="3413" spans="1:2" x14ac:dyDescent="0.25">
      <c r="A3413">
        <v>3384</v>
      </c>
      <c r="B3413">
        <v>8.0010276151106369E-2</v>
      </c>
    </row>
    <row r="3414" spans="1:2" x14ac:dyDescent="0.25">
      <c r="A3414">
        <v>3385</v>
      </c>
      <c r="B3414">
        <v>0.30590138962383617</v>
      </c>
    </row>
    <row r="3415" spans="1:2" x14ac:dyDescent="0.25">
      <c r="A3415">
        <v>3386</v>
      </c>
      <c r="B3415">
        <v>0.11833526108855195</v>
      </c>
    </row>
    <row r="3416" spans="1:2" x14ac:dyDescent="0.25">
      <c r="A3416">
        <v>3387</v>
      </c>
      <c r="B3416">
        <v>2.849830915779817E-2</v>
      </c>
    </row>
    <row r="3417" spans="1:2" x14ac:dyDescent="0.25">
      <c r="A3417">
        <v>3388</v>
      </c>
      <c r="B3417">
        <v>0.29587210536556796</v>
      </c>
    </row>
    <row r="3418" spans="1:2" x14ac:dyDescent="0.25">
      <c r="A3418">
        <v>3389</v>
      </c>
      <c r="B3418">
        <v>0.27947257649972107</v>
      </c>
    </row>
    <row r="3419" spans="1:2" x14ac:dyDescent="0.25">
      <c r="A3419">
        <v>3390</v>
      </c>
      <c r="B3419">
        <v>0.34328532776870785</v>
      </c>
    </row>
    <row r="3420" spans="1:2" x14ac:dyDescent="0.25">
      <c r="A3420">
        <v>3391</v>
      </c>
      <c r="B3420">
        <v>0.26357635798325707</v>
      </c>
    </row>
    <row r="3421" spans="1:2" x14ac:dyDescent="0.25">
      <c r="A3421">
        <v>3392</v>
      </c>
      <c r="B3421">
        <v>0.37292379976258599</v>
      </c>
    </row>
    <row r="3422" spans="1:2" x14ac:dyDescent="0.25">
      <c r="A3422">
        <v>3393</v>
      </c>
      <c r="B3422">
        <v>0.1039046271153302</v>
      </c>
    </row>
    <row r="3423" spans="1:2" x14ac:dyDescent="0.25">
      <c r="A3423">
        <v>3394</v>
      </c>
      <c r="B3423">
        <v>0.12426733215965564</v>
      </c>
    </row>
    <row r="3424" spans="1:2" x14ac:dyDescent="0.25">
      <c r="A3424">
        <v>3395</v>
      </c>
      <c r="B3424">
        <v>0.10021793077648677</v>
      </c>
    </row>
    <row r="3425" spans="1:2" x14ac:dyDescent="0.25">
      <c r="A3425">
        <v>3396</v>
      </c>
      <c r="B3425">
        <v>0.13746600123385216</v>
      </c>
    </row>
    <row r="3426" spans="1:2" x14ac:dyDescent="0.25">
      <c r="A3426">
        <v>3397</v>
      </c>
      <c r="B3426">
        <v>0.23724195388784691</v>
      </c>
    </row>
    <row r="3427" spans="1:2" x14ac:dyDescent="0.25">
      <c r="A3427">
        <v>3398</v>
      </c>
      <c r="B3427">
        <v>0.1287206354783294</v>
      </c>
    </row>
    <row r="3428" spans="1:2" x14ac:dyDescent="0.25">
      <c r="A3428">
        <v>3399</v>
      </c>
      <c r="B3428">
        <v>0.33842924577582162</v>
      </c>
    </row>
    <row r="3429" spans="1:2" x14ac:dyDescent="0.25">
      <c r="A3429">
        <v>3400</v>
      </c>
      <c r="B3429">
        <v>1.8289107693023485E-2</v>
      </c>
    </row>
    <row r="3430" spans="1:2" x14ac:dyDescent="0.25">
      <c r="A3430">
        <v>3401</v>
      </c>
      <c r="B3430">
        <v>0.26573919092097209</v>
      </c>
    </row>
    <row r="3431" spans="1:2" x14ac:dyDescent="0.25">
      <c r="A3431">
        <v>3402</v>
      </c>
      <c r="B3431">
        <v>0.21341169952152833</v>
      </c>
    </row>
    <row r="3432" spans="1:2" x14ac:dyDescent="0.25">
      <c r="A3432">
        <v>3403</v>
      </c>
      <c r="B3432">
        <v>0.12894995712585269</v>
      </c>
    </row>
    <row r="3433" spans="1:2" x14ac:dyDescent="0.25">
      <c r="A3433">
        <v>3404</v>
      </c>
      <c r="B3433">
        <v>7.1113858248046211E-2</v>
      </c>
    </row>
    <row r="3434" spans="1:2" x14ac:dyDescent="0.25">
      <c r="A3434">
        <v>3405</v>
      </c>
      <c r="B3434">
        <v>0.1748458495711416</v>
      </c>
    </row>
    <row r="3435" spans="1:2" x14ac:dyDescent="0.25">
      <c r="A3435">
        <v>3406</v>
      </c>
      <c r="B3435">
        <v>0.16144901369742809</v>
      </c>
    </row>
    <row r="3436" spans="1:2" x14ac:dyDescent="0.25">
      <c r="A3436">
        <v>3407</v>
      </c>
      <c r="B3436">
        <v>0.13908373381466083</v>
      </c>
    </row>
    <row r="3437" spans="1:2" x14ac:dyDescent="0.25">
      <c r="A3437">
        <v>3408</v>
      </c>
      <c r="B3437">
        <v>0.17796295148577848</v>
      </c>
    </row>
    <row r="3438" spans="1:2" x14ac:dyDescent="0.25">
      <c r="A3438">
        <v>3409</v>
      </c>
      <c r="B3438">
        <v>0.24558170203607954</v>
      </c>
    </row>
    <row r="3439" spans="1:2" x14ac:dyDescent="0.25">
      <c r="A3439">
        <v>3410</v>
      </c>
      <c r="B3439">
        <v>0.5855503821864827</v>
      </c>
    </row>
    <row r="3440" spans="1:2" x14ac:dyDescent="0.25">
      <c r="A3440">
        <v>3411</v>
      </c>
      <c r="B3440">
        <v>0.22822129693781684</v>
      </c>
    </row>
    <row r="3441" spans="1:2" x14ac:dyDescent="0.25">
      <c r="A3441">
        <v>3412</v>
      </c>
      <c r="B3441">
        <v>0.10874581805391914</v>
      </c>
    </row>
    <row r="3442" spans="1:2" x14ac:dyDescent="0.25">
      <c r="A3442">
        <v>3413</v>
      </c>
      <c r="B3442">
        <v>0.44321982677195731</v>
      </c>
    </row>
    <row r="3443" spans="1:2" x14ac:dyDescent="0.25">
      <c r="A3443">
        <v>3414</v>
      </c>
      <c r="B3443">
        <v>0.12618735455797397</v>
      </c>
    </row>
    <row r="3444" spans="1:2" x14ac:dyDescent="0.25">
      <c r="A3444">
        <v>3415</v>
      </c>
      <c r="B3444">
        <v>0.12251871437509354</v>
      </c>
    </row>
    <row r="3445" spans="1:2" x14ac:dyDescent="0.25">
      <c r="A3445">
        <v>3416</v>
      </c>
      <c r="B3445">
        <v>0.41839731237584321</v>
      </c>
    </row>
    <row r="3446" spans="1:2" x14ac:dyDescent="0.25">
      <c r="A3446">
        <v>3417</v>
      </c>
      <c r="B3446">
        <v>6.9116479585850807E-2</v>
      </c>
    </row>
    <row r="3447" spans="1:2" x14ac:dyDescent="0.25">
      <c r="A3447">
        <v>3418</v>
      </c>
      <c r="B3447">
        <v>0.1554945462321119</v>
      </c>
    </row>
    <row r="3448" spans="1:2" x14ac:dyDescent="0.25">
      <c r="A3448">
        <v>3419</v>
      </c>
      <c r="B3448">
        <v>0.18409203397334897</v>
      </c>
    </row>
    <row r="3449" spans="1:2" x14ac:dyDescent="0.25">
      <c r="A3449">
        <v>3420</v>
      </c>
      <c r="B3449">
        <v>0.13006214177348158</v>
      </c>
    </row>
    <row r="3450" spans="1:2" x14ac:dyDescent="0.25">
      <c r="A3450">
        <v>3421</v>
      </c>
      <c r="B3450">
        <v>0.52474884672283573</v>
      </c>
    </row>
    <row r="3451" spans="1:2" x14ac:dyDescent="0.25">
      <c r="A3451">
        <v>3422</v>
      </c>
      <c r="B3451">
        <v>0.15564629144164729</v>
      </c>
    </row>
    <row r="3452" spans="1:2" x14ac:dyDescent="0.25">
      <c r="A3452">
        <v>3423</v>
      </c>
      <c r="B3452">
        <v>9.1754191619974487E-2</v>
      </c>
    </row>
    <row r="3453" spans="1:2" x14ac:dyDescent="0.25">
      <c r="A3453">
        <v>3424</v>
      </c>
      <c r="B3453">
        <v>7.4462022918535098E-2</v>
      </c>
    </row>
    <row r="3454" spans="1:2" x14ac:dyDescent="0.25">
      <c r="A3454">
        <v>3425</v>
      </c>
      <c r="B3454">
        <v>0.22440676981345745</v>
      </c>
    </row>
    <row r="3455" spans="1:2" x14ac:dyDescent="0.25">
      <c r="A3455">
        <v>3426</v>
      </c>
      <c r="B3455">
        <v>0.10226294218794389</v>
      </c>
    </row>
    <row r="3456" spans="1:2" x14ac:dyDescent="0.25">
      <c r="A3456">
        <v>3427</v>
      </c>
      <c r="B3456">
        <v>0.15923017416303756</v>
      </c>
    </row>
    <row r="3457" spans="1:2" x14ac:dyDescent="0.25">
      <c r="A3457">
        <v>3428</v>
      </c>
      <c r="B3457">
        <v>0.45331912671830638</v>
      </c>
    </row>
    <row r="3458" spans="1:2" x14ac:dyDescent="0.25">
      <c r="A3458">
        <v>3429</v>
      </c>
      <c r="B3458">
        <v>0.15738553748625311</v>
      </c>
    </row>
    <row r="3459" spans="1:2" x14ac:dyDescent="0.25">
      <c r="A3459">
        <v>3430</v>
      </c>
      <c r="B3459">
        <v>0.37021265917656404</v>
      </c>
    </row>
    <row r="3460" spans="1:2" x14ac:dyDescent="0.25">
      <c r="A3460">
        <v>3431</v>
      </c>
      <c r="B3460">
        <v>8.1021649309554217E-2</v>
      </c>
    </row>
    <row r="3461" spans="1:2" x14ac:dyDescent="0.25">
      <c r="A3461">
        <v>3432</v>
      </c>
      <c r="B3461">
        <v>0.4069556323455702</v>
      </c>
    </row>
    <row r="3462" spans="1:2" x14ac:dyDescent="0.25">
      <c r="A3462">
        <v>3433</v>
      </c>
      <c r="B3462">
        <v>0.2531026333675756</v>
      </c>
    </row>
    <row r="3463" spans="1:2" x14ac:dyDescent="0.25">
      <c r="A3463">
        <v>3434</v>
      </c>
      <c r="B3463">
        <v>0.30640504535106478</v>
      </c>
    </row>
    <row r="3464" spans="1:2" x14ac:dyDescent="0.25">
      <c r="A3464">
        <v>3435</v>
      </c>
      <c r="B3464">
        <v>8.1770847179211445E-2</v>
      </c>
    </row>
    <row r="3465" spans="1:2" x14ac:dyDescent="0.25">
      <c r="A3465">
        <v>3436</v>
      </c>
      <c r="B3465">
        <v>0.21802938398229094</v>
      </c>
    </row>
    <row r="3466" spans="1:2" x14ac:dyDescent="0.25">
      <c r="A3466">
        <v>3437</v>
      </c>
      <c r="B3466">
        <v>0.22083183879325172</v>
      </c>
    </row>
    <row r="3467" spans="1:2" x14ac:dyDescent="0.25">
      <c r="A3467">
        <v>3438</v>
      </c>
      <c r="B3467">
        <v>0.43879279244628699</v>
      </c>
    </row>
    <row r="3468" spans="1:2" x14ac:dyDescent="0.25">
      <c r="A3468">
        <v>3439</v>
      </c>
      <c r="B3468">
        <v>0.30082769747567556</v>
      </c>
    </row>
    <row r="3469" spans="1:2" x14ac:dyDescent="0.25">
      <c r="A3469">
        <v>3440</v>
      </c>
      <c r="B3469">
        <v>0.16498171426996266</v>
      </c>
    </row>
    <row r="3470" spans="1:2" x14ac:dyDescent="0.25">
      <c r="A3470">
        <v>3441</v>
      </c>
      <c r="B3470">
        <v>0.15046548191244977</v>
      </c>
    </row>
    <row r="3471" spans="1:2" x14ac:dyDescent="0.25">
      <c r="A3471">
        <v>3442</v>
      </c>
      <c r="B3471">
        <v>0.30704380941571235</v>
      </c>
    </row>
    <row r="3472" spans="1:2" x14ac:dyDescent="0.25">
      <c r="A3472">
        <v>3443</v>
      </c>
      <c r="B3472">
        <v>0.25265523071451829</v>
      </c>
    </row>
    <row r="3473" spans="1:2" x14ac:dyDescent="0.25">
      <c r="A3473">
        <v>3444</v>
      </c>
      <c r="B3473">
        <v>0.29766136306450502</v>
      </c>
    </row>
    <row r="3474" spans="1:2" x14ac:dyDescent="0.25">
      <c r="A3474">
        <v>3445</v>
      </c>
      <c r="B3474">
        <v>0.1209306972032511</v>
      </c>
    </row>
    <row r="3475" spans="1:2" x14ac:dyDescent="0.25">
      <c r="A3475">
        <v>3446</v>
      </c>
      <c r="B3475">
        <v>8.6665026320997193E-2</v>
      </c>
    </row>
    <row r="3476" spans="1:2" x14ac:dyDescent="0.25">
      <c r="A3476">
        <v>3447</v>
      </c>
      <c r="B3476">
        <v>0.32714645061549202</v>
      </c>
    </row>
    <row r="3477" spans="1:2" x14ac:dyDescent="0.25">
      <c r="A3477">
        <v>3448</v>
      </c>
      <c r="B3477">
        <v>2.7123645372609972E-2</v>
      </c>
    </row>
    <row r="3478" spans="1:2" x14ac:dyDescent="0.25">
      <c r="A3478">
        <v>3449</v>
      </c>
      <c r="B3478">
        <v>0.12528562592833958</v>
      </c>
    </row>
    <row r="3479" spans="1:2" x14ac:dyDescent="0.25">
      <c r="A3479">
        <v>3450</v>
      </c>
      <c r="B3479">
        <v>0.15272894040235144</v>
      </c>
    </row>
    <row r="3480" spans="1:2" x14ac:dyDescent="0.25">
      <c r="A3480">
        <v>3451</v>
      </c>
      <c r="B3480">
        <v>0.13654091851897152</v>
      </c>
    </row>
    <row r="3481" spans="1:2" x14ac:dyDescent="0.25">
      <c r="A3481">
        <v>3452</v>
      </c>
      <c r="B3481">
        <v>0.13103788122057269</v>
      </c>
    </row>
    <row r="3482" spans="1:2" x14ac:dyDescent="0.25">
      <c r="A3482">
        <v>3453</v>
      </c>
      <c r="B3482">
        <v>0.29117321608642482</v>
      </c>
    </row>
    <row r="3483" spans="1:2" x14ac:dyDescent="0.25">
      <c r="A3483">
        <v>3454</v>
      </c>
      <c r="B3483">
        <v>7.1560758319907783E-2</v>
      </c>
    </row>
    <row r="3484" spans="1:2" x14ac:dyDescent="0.25">
      <c r="A3484">
        <v>3455</v>
      </c>
      <c r="B3484">
        <v>6.5366845402764523E-2</v>
      </c>
    </row>
    <row r="3485" spans="1:2" x14ac:dyDescent="0.25">
      <c r="A3485">
        <v>3456</v>
      </c>
      <c r="B3485">
        <v>0.1717889545555914</v>
      </c>
    </row>
    <row r="3486" spans="1:2" x14ac:dyDescent="0.25">
      <c r="A3486">
        <v>3457</v>
      </c>
      <c r="B3486">
        <v>9.5121078451829932E-2</v>
      </c>
    </row>
    <row r="3487" spans="1:2" x14ac:dyDescent="0.25">
      <c r="A3487">
        <v>3458</v>
      </c>
      <c r="B3487">
        <v>0.32406263576404348</v>
      </c>
    </row>
    <row r="3488" spans="1:2" x14ac:dyDescent="0.25">
      <c r="A3488">
        <v>3459</v>
      </c>
      <c r="B3488">
        <v>0.21885957337464695</v>
      </c>
    </row>
    <row r="3489" spans="1:2" x14ac:dyDescent="0.25">
      <c r="A3489">
        <v>3460</v>
      </c>
      <c r="B3489">
        <v>0.7402663720675855</v>
      </c>
    </row>
    <row r="3490" spans="1:2" x14ac:dyDescent="0.25">
      <c r="A3490">
        <v>3461</v>
      </c>
      <c r="B3490">
        <v>0.21546278549751352</v>
      </c>
    </row>
    <row r="3491" spans="1:2" x14ac:dyDescent="0.25">
      <c r="A3491">
        <v>3462</v>
      </c>
      <c r="B3491">
        <v>0.2332593523975664</v>
      </c>
    </row>
    <row r="3492" spans="1:2" x14ac:dyDescent="0.25">
      <c r="A3492">
        <v>3463</v>
      </c>
      <c r="B3492">
        <v>0.20654192339034147</v>
      </c>
    </row>
    <row r="3493" spans="1:2" x14ac:dyDescent="0.25">
      <c r="A3493">
        <v>3464</v>
      </c>
      <c r="B3493">
        <v>0.25706289004207861</v>
      </c>
    </row>
    <row r="3494" spans="1:2" x14ac:dyDescent="0.25">
      <c r="A3494">
        <v>3465</v>
      </c>
      <c r="B3494">
        <v>0.12232466361720895</v>
      </c>
    </row>
    <row r="3495" spans="1:2" x14ac:dyDescent="0.25">
      <c r="A3495">
        <v>3466</v>
      </c>
      <c r="B3495">
        <v>0.11977192474970333</v>
      </c>
    </row>
    <row r="3496" spans="1:2" x14ac:dyDescent="0.25">
      <c r="A3496">
        <v>3467</v>
      </c>
      <c r="B3496">
        <v>5.8526205164992899E-2</v>
      </c>
    </row>
    <row r="3497" spans="1:2" x14ac:dyDescent="0.25">
      <c r="A3497">
        <v>3468</v>
      </c>
      <c r="B3497">
        <v>9.9632885958021597E-2</v>
      </c>
    </row>
    <row r="3498" spans="1:2" x14ac:dyDescent="0.25">
      <c r="A3498">
        <v>3469</v>
      </c>
      <c r="B3498">
        <v>0.18499089324484078</v>
      </c>
    </row>
    <row r="3499" spans="1:2" x14ac:dyDescent="0.25">
      <c r="A3499">
        <v>3470</v>
      </c>
      <c r="B3499">
        <v>0.31670326506909302</v>
      </c>
    </row>
    <row r="3500" spans="1:2" x14ac:dyDescent="0.25">
      <c r="A3500">
        <v>3471</v>
      </c>
      <c r="B3500">
        <v>0.19046263462948182</v>
      </c>
    </row>
    <row r="3501" spans="1:2" x14ac:dyDescent="0.25">
      <c r="A3501">
        <v>3472</v>
      </c>
      <c r="B3501">
        <v>0.16938397319949663</v>
      </c>
    </row>
    <row r="3502" spans="1:2" x14ac:dyDescent="0.25">
      <c r="A3502">
        <v>3473</v>
      </c>
      <c r="B3502">
        <v>0.16297126326232936</v>
      </c>
    </row>
    <row r="3503" spans="1:2" x14ac:dyDescent="0.25">
      <c r="A3503">
        <v>3474</v>
      </c>
      <c r="B3503">
        <v>7.6939210172311187E-2</v>
      </c>
    </row>
    <row r="3504" spans="1:2" x14ac:dyDescent="0.25">
      <c r="A3504">
        <v>3475</v>
      </c>
      <c r="B3504">
        <v>0.17773124417367012</v>
      </c>
    </row>
    <row r="3505" spans="1:2" x14ac:dyDescent="0.25">
      <c r="A3505">
        <v>3476</v>
      </c>
      <c r="B3505">
        <v>0.2330875441658494</v>
      </c>
    </row>
    <row r="3506" spans="1:2" x14ac:dyDescent="0.25">
      <c r="A3506">
        <v>3477</v>
      </c>
      <c r="B3506">
        <v>0.14695219673336812</v>
      </c>
    </row>
    <row r="3507" spans="1:2" x14ac:dyDescent="0.25">
      <c r="A3507">
        <v>3478</v>
      </c>
      <c r="B3507">
        <v>0.14267658912308276</v>
      </c>
    </row>
    <row r="3508" spans="1:2" x14ac:dyDescent="0.25">
      <c r="A3508">
        <v>3479</v>
      </c>
      <c r="B3508">
        <v>0.38981739927166992</v>
      </c>
    </row>
    <row r="3509" spans="1:2" x14ac:dyDescent="0.25">
      <c r="A3509">
        <v>3480</v>
      </c>
      <c r="B3509">
        <v>0.15081892549956916</v>
      </c>
    </row>
    <row r="3510" spans="1:2" x14ac:dyDescent="0.25">
      <c r="A3510">
        <v>3481</v>
      </c>
      <c r="B3510">
        <v>0.10587180636509516</v>
      </c>
    </row>
    <row r="3511" spans="1:2" x14ac:dyDescent="0.25">
      <c r="A3511">
        <v>3482</v>
      </c>
      <c r="B3511">
        <v>0.10726529667315973</v>
      </c>
    </row>
    <row r="3512" spans="1:2" x14ac:dyDescent="0.25">
      <c r="A3512">
        <v>3483</v>
      </c>
      <c r="B3512">
        <v>0.26246388037791368</v>
      </c>
    </row>
    <row r="3513" spans="1:2" x14ac:dyDescent="0.25">
      <c r="A3513">
        <v>3484</v>
      </c>
      <c r="B3513">
        <v>9.5086857822597959E-2</v>
      </c>
    </row>
    <row r="3514" spans="1:2" x14ac:dyDescent="0.25">
      <c r="A3514">
        <v>3485</v>
      </c>
      <c r="B3514">
        <v>0.19280390406070386</v>
      </c>
    </row>
    <row r="3515" spans="1:2" x14ac:dyDescent="0.25">
      <c r="A3515">
        <v>3486</v>
      </c>
      <c r="B3515">
        <v>0.2652760382229673</v>
      </c>
    </row>
    <row r="3516" spans="1:2" x14ac:dyDescent="0.25">
      <c r="A3516">
        <v>3487</v>
      </c>
      <c r="B3516">
        <v>0.57474059354071483</v>
      </c>
    </row>
    <row r="3517" spans="1:2" x14ac:dyDescent="0.25">
      <c r="A3517">
        <v>3488</v>
      </c>
      <c r="B3517">
        <v>0.41198298453837601</v>
      </c>
    </row>
    <row r="3518" spans="1:2" x14ac:dyDescent="0.25">
      <c r="A3518">
        <v>3489</v>
      </c>
      <c r="B3518">
        <v>9.31568533079037E-2</v>
      </c>
    </row>
    <row r="3519" spans="1:2" x14ac:dyDescent="0.25">
      <c r="A3519">
        <v>3490</v>
      </c>
      <c r="B3519">
        <v>0.11464992223819255</v>
      </c>
    </row>
    <row r="3520" spans="1:2" x14ac:dyDescent="0.25">
      <c r="A3520">
        <v>3491</v>
      </c>
      <c r="B3520">
        <v>8.1130003375973272E-2</v>
      </c>
    </row>
    <row r="3521" spans="1:2" x14ac:dyDescent="0.25">
      <c r="A3521">
        <v>3492</v>
      </c>
      <c r="B3521">
        <v>0.11989985893860275</v>
      </c>
    </row>
    <row r="3522" spans="1:2" x14ac:dyDescent="0.25">
      <c r="A3522">
        <v>3493</v>
      </c>
      <c r="B3522">
        <v>0.33304576898692057</v>
      </c>
    </row>
    <row r="3523" spans="1:2" x14ac:dyDescent="0.25">
      <c r="A3523">
        <v>3494</v>
      </c>
      <c r="B3523">
        <v>0.12735657595300806</v>
      </c>
    </row>
    <row r="3524" spans="1:2" x14ac:dyDescent="0.25">
      <c r="A3524">
        <v>3495</v>
      </c>
      <c r="B3524">
        <v>6.7509363731872954E-2</v>
      </c>
    </row>
    <row r="3525" spans="1:2" x14ac:dyDescent="0.25">
      <c r="A3525">
        <v>3496</v>
      </c>
      <c r="B3525">
        <v>8.4388072654391993E-2</v>
      </c>
    </row>
    <row r="3526" spans="1:2" x14ac:dyDescent="0.25">
      <c r="A3526">
        <v>3497</v>
      </c>
      <c r="B3526">
        <v>0.21140506904226997</v>
      </c>
    </row>
    <row r="3527" spans="1:2" x14ac:dyDescent="0.25">
      <c r="A3527">
        <v>3498</v>
      </c>
      <c r="B3527">
        <v>0.17084967394428602</v>
      </c>
    </row>
    <row r="3528" spans="1:2" x14ac:dyDescent="0.25">
      <c r="A3528">
        <v>3499</v>
      </c>
      <c r="B3528">
        <v>8.6153446863181438E-2</v>
      </c>
    </row>
    <row r="3529" spans="1:2" x14ac:dyDescent="0.25">
      <c r="A3529">
        <v>3500</v>
      </c>
      <c r="B3529">
        <v>9.9615056147079953E-2</v>
      </c>
    </row>
    <row r="3530" spans="1:2" x14ac:dyDescent="0.25">
      <c r="A3530">
        <v>3501</v>
      </c>
      <c r="B3530">
        <v>7.40030804749819E-2</v>
      </c>
    </row>
    <row r="3531" spans="1:2" x14ac:dyDescent="0.25">
      <c r="A3531">
        <v>3502</v>
      </c>
      <c r="B3531">
        <v>0.20212318134361087</v>
      </c>
    </row>
    <row r="3532" spans="1:2" x14ac:dyDescent="0.25">
      <c r="A3532">
        <v>3503</v>
      </c>
      <c r="B3532">
        <v>0.20130134308371289</v>
      </c>
    </row>
    <row r="3533" spans="1:2" x14ac:dyDescent="0.25">
      <c r="A3533">
        <v>3504</v>
      </c>
      <c r="B3533">
        <v>0.28960755094582635</v>
      </c>
    </row>
    <row r="3534" spans="1:2" x14ac:dyDescent="0.25">
      <c r="A3534">
        <v>3505</v>
      </c>
      <c r="B3534">
        <v>0.1202667948016415</v>
      </c>
    </row>
    <row r="3535" spans="1:2" x14ac:dyDescent="0.25">
      <c r="A3535">
        <v>3506</v>
      </c>
      <c r="B3535">
        <v>0.18039303313309385</v>
      </c>
    </row>
    <row r="3536" spans="1:2" x14ac:dyDescent="0.25">
      <c r="A3536">
        <v>3507</v>
      </c>
      <c r="B3536">
        <v>0.39591783222091631</v>
      </c>
    </row>
    <row r="3537" spans="1:2" x14ac:dyDescent="0.25">
      <c r="A3537">
        <v>3508</v>
      </c>
      <c r="B3537">
        <v>0.27278408964638601</v>
      </c>
    </row>
    <row r="3538" spans="1:2" x14ac:dyDescent="0.25">
      <c r="A3538">
        <v>3509</v>
      </c>
      <c r="B3538">
        <v>9.9900197396629892E-2</v>
      </c>
    </row>
    <row r="3539" spans="1:2" x14ac:dyDescent="0.25">
      <c r="A3539">
        <v>3510</v>
      </c>
      <c r="B3539">
        <v>2.8396364402399156E-2</v>
      </c>
    </row>
    <row r="3540" spans="1:2" x14ac:dyDescent="0.25">
      <c r="A3540">
        <v>3511</v>
      </c>
      <c r="B3540">
        <v>0.18647592217506592</v>
      </c>
    </row>
    <row r="3541" spans="1:2" x14ac:dyDescent="0.25">
      <c r="A3541">
        <v>3512</v>
      </c>
      <c r="B3541">
        <v>0.14865178616929861</v>
      </c>
    </row>
    <row r="3542" spans="1:2" x14ac:dyDescent="0.25">
      <c r="A3542">
        <v>3513</v>
      </c>
      <c r="B3542">
        <v>9.4434367158287444E-2</v>
      </c>
    </row>
    <row r="3543" spans="1:2" x14ac:dyDescent="0.25">
      <c r="A3543">
        <v>3514</v>
      </c>
      <c r="B3543">
        <v>0.18547105452072526</v>
      </c>
    </row>
    <row r="3544" spans="1:2" x14ac:dyDescent="0.25">
      <c r="A3544">
        <v>3515</v>
      </c>
      <c r="B3544">
        <v>0.11300018159895049</v>
      </c>
    </row>
    <row r="3545" spans="1:2" x14ac:dyDescent="0.25">
      <c r="A3545">
        <v>3516</v>
      </c>
      <c r="B3545">
        <v>0.82238307801477895</v>
      </c>
    </row>
    <row r="3546" spans="1:2" x14ac:dyDescent="0.25">
      <c r="A3546">
        <v>3517</v>
      </c>
      <c r="B3546">
        <v>6.0235977098751281E-2</v>
      </c>
    </row>
    <row r="3547" spans="1:2" x14ac:dyDescent="0.25">
      <c r="A3547">
        <v>3518</v>
      </c>
      <c r="B3547">
        <v>8.7915708125612724E-2</v>
      </c>
    </row>
    <row r="3548" spans="1:2" x14ac:dyDescent="0.25">
      <c r="A3548">
        <v>3519</v>
      </c>
      <c r="B3548">
        <v>0.22264501948359436</v>
      </c>
    </row>
    <row r="3549" spans="1:2" x14ac:dyDescent="0.25">
      <c r="A3549">
        <v>3520</v>
      </c>
      <c r="B3549">
        <v>0.25612501863671566</v>
      </c>
    </row>
    <row r="3550" spans="1:2" x14ac:dyDescent="0.25">
      <c r="A3550">
        <v>3521</v>
      </c>
      <c r="B3550">
        <v>0.1104123388398708</v>
      </c>
    </row>
    <row r="3551" spans="1:2" x14ac:dyDescent="0.25">
      <c r="A3551">
        <v>3522</v>
      </c>
      <c r="B3551">
        <v>0.18898150559267357</v>
      </c>
    </row>
    <row r="3552" spans="1:2" x14ac:dyDescent="0.25">
      <c r="A3552">
        <v>3523</v>
      </c>
      <c r="B3552">
        <v>0.13930158678495275</v>
      </c>
    </row>
    <row r="3553" spans="1:2" x14ac:dyDescent="0.25">
      <c r="A3553">
        <v>3524</v>
      </c>
      <c r="B3553">
        <v>7.7341359075982039E-2</v>
      </c>
    </row>
    <row r="3554" spans="1:2" x14ac:dyDescent="0.25">
      <c r="A3554">
        <v>3525</v>
      </c>
      <c r="B3554">
        <v>8.0749513295529138E-2</v>
      </c>
    </row>
    <row r="3555" spans="1:2" x14ac:dyDescent="0.25">
      <c r="A3555">
        <v>3526</v>
      </c>
      <c r="B3555">
        <v>4.285028314298002E-2</v>
      </c>
    </row>
    <row r="3556" spans="1:2" x14ac:dyDescent="0.25">
      <c r="A3556">
        <v>3527</v>
      </c>
      <c r="B3556">
        <v>0.23894732425778195</v>
      </c>
    </row>
    <row r="3557" spans="1:2" x14ac:dyDescent="0.25">
      <c r="A3557">
        <v>3528</v>
      </c>
      <c r="B3557">
        <v>0.27792597511808553</v>
      </c>
    </row>
    <row r="3558" spans="1:2" x14ac:dyDescent="0.25">
      <c r="A3558">
        <v>3529</v>
      </c>
      <c r="B3558">
        <v>0.33952266768164863</v>
      </c>
    </row>
    <row r="3559" spans="1:2" x14ac:dyDescent="0.25">
      <c r="A3559">
        <v>3530</v>
      </c>
      <c r="B3559">
        <v>0.25908137166822376</v>
      </c>
    </row>
    <row r="3560" spans="1:2" x14ac:dyDescent="0.25">
      <c r="A3560">
        <v>3531</v>
      </c>
      <c r="B3560">
        <v>0.20356801663210253</v>
      </c>
    </row>
    <row r="3561" spans="1:2" x14ac:dyDescent="0.25">
      <c r="A3561">
        <v>3532</v>
      </c>
      <c r="B3561">
        <v>0.16697201585509433</v>
      </c>
    </row>
    <row r="3562" spans="1:2" x14ac:dyDescent="0.25">
      <c r="A3562">
        <v>3533</v>
      </c>
      <c r="B3562">
        <v>7.8390496797545561E-2</v>
      </c>
    </row>
    <row r="3563" spans="1:2" x14ac:dyDescent="0.25">
      <c r="A3563">
        <v>3534</v>
      </c>
      <c r="B3563">
        <v>6.0556906314155473E-2</v>
      </c>
    </row>
    <row r="3564" spans="1:2" x14ac:dyDescent="0.25">
      <c r="A3564">
        <v>3535</v>
      </c>
      <c r="B3564">
        <v>0.27711934984861814</v>
      </c>
    </row>
    <row r="3565" spans="1:2" x14ac:dyDescent="0.25">
      <c r="A3565">
        <v>3536</v>
      </c>
      <c r="B3565">
        <v>0.15304918085329355</v>
      </c>
    </row>
    <row r="3566" spans="1:2" x14ac:dyDescent="0.25">
      <c r="A3566">
        <v>3537</v>
      </c>
      <c r="B3566">
        <v>0.39626352735239673</v>
      </c>
    </row>
    <row r="3567" spans="1:2" x14ac:dyDescent="0.25">
      <c r="A3567">
        <v>3538</v>
      </c>
      <c r="B3567">
        <v>0.16363809399018936</v>
      </c>
    </row>
    <row r="3568" spans="1:2" x14ac:dyDescent="0.25">
      <c r="A3568">
        <v>3539</v>
      </c>
      <c r="B3568">
        <v>0.22540835698937631</v>
      </c>
    </row>
    <row r="3569" spans="1:2" x14ac:dyDescent="0.25">
      <c r="A3569">
        <v>3540</v>
      </c>
      <c r="B3569">
        <v>0.24812036066160639</v>
      </c>
    </row>
    <row r="3570" spans="1:2" x14ac:dyDescent="0.25">
      <c r="A3570">
        <v>3541</v>
      </c>
      <c r="B3570">
        <v>0.2356733727144352</v>
      </c>
    </row>
    <row r="3571" spans="1:2" x14ac:dyDescent="0.25">
      <c r="A3571">
        <v>3542</v>
      </c>
      <c r="B3571">
        <v>7.1902928657862214E-2</v>
      </c>
    </row>
    <row r="3572" spans="1:2" x14ac:dyDescent="0.25">
      <c r="A3572">
        <v>3543</v>
      </c>
      <c r="B3572">
        <v>0.23260718104561753</v>
      </c>
    </row>
    <row r="3573" spans="1:2" x14ac:dyDescent="0.25">
      <c r="A3573">
        <v>3544</v>
      </c>
      <c r="B3573">
        <v>8.1273199657158846E-2</v>
      </c>
    </row>
    <row r="3574" spans="1:2" x14ac:dyDescent="0.25">
      <c r="A3574">
        <v>3545</v>
      </c>
      <c r="B3574">
        <v>4.3706740622929105E-2</v>
      </c>
    </row>
    <row r="3575" spans="1:2" x14ac:dyDescent="0.25">
      <c r="A3575">
        <v>3546</v>
      </c>
      <c r="B3575">
        <v>0.26605162189354831</v>
      </c>
    </row>
    <row r="3576" spans="1:2" x14ac:dyDescent="0.25">
      <c r="A3576">
        <v>3547</v>
      </c>
      <c r="B3576">
        <v>0.1246772611843746</v>
      </c>
    </row>
    <row r="3577" spans="1:2" x14ac:dyDescent="0.25">
      <c r="A3577">
        <v>3548</v>
      </c>
      <c r="B3577">
        <v>9.983125915854503E-2</v>
      </c>
    </row>
    <row r="3578" spans="1:2" x14ac:dyDescent="0.25">
      <c r="A3578">
        <v>3549</v>
      </c>
      <c r="B3578">
        <v>0.21111466837474555</v>
      </c>
    </row>
    <row r="3579" spans="1:2" x14ac:dyDescent="0.25">
      <c r="A3579">
        <v>3550</v>
      </c>
      <c r="B3579">
        <v>0.11301438881309769</v>
      </c>
    </row>
    <row r="3580" spans="1:2" x14ac:dyDescent="0.25">
      <c r="A3580">
        <v>3551</v>
      </c>
      <c r="B3580">
        <v>0.42941882013308663</v>
      </c>
    </row>
    <row r="3581" spans="1:2" x14ac:dyDescent="0.25">
      <c r="A3581">
        <v>3552</v>
      </c>
      <c r="B3581">
        <v>0.17063641132834367</v>
      </c>
    </row>
    <row r="3582" spans="1:2" x14ac:dyDescent="0.25">
      <c r="A3582">
        <v>3553</v>
      </c>
      <c r="B3582">
        <v>0.35043214959638114</v>
      </c>
    </row>
    <row r="3583" spans="1:2" x14ac:dyDescent="0.25">
      <c r="A3583">
        <v>3554</v>
      </c>
      <c r="B3583">
        <v>0.13948464981480316</v>
      </c>
    </row>
    <row r="3584" spans="1:2" x14ac:dyDescent="0.25">
      <c r="A3584">
        <v>3555</v>
      </c>
      <c r="B3584">
        <v>0.10994151609096989</v>
      </c>
    </row>
    <row r="3585" spans="1:2" x14ac:dyDescent="0.25">
      <c r="A3585">
        <v>3556</v>
      </c>
      <c r="B3585">
        <v>0.6674974068485191</v>
      </c>
    </row>
    <row r="3586" spans="1:2" x14ac:dyDescent="0.25">
      <c r="A3586">
        <v>3557</v>
      </c>
      <c r="B3586">
        <v>0.12608151361143927</v>
      </c>
    </row>
    <row r="3587" spans="1:2" x14ac:dyDescent="0.25">
      <c r="A3587">
        <v>3558</v>
      </c>
      <c r="B3587">
        <v>7.415895187340632E-2</v>
      </c>
    </row>
    <row r="3588" spans="1:2" x14ac:dyDescent="0.25">
      <c r="A3588">
        <v>3559</v>
      </c>
      <c r="B3588">
        <v>0.21835038760473824</v>
      </c>
    </row>
    <row r="3589" spans="1:2" x14ac:dyDescent="0.25">
      <c r="A3589">
        <v>3560</v>
      </c>
      <c r="B3589">
        <v>0.45437504716133648</v>
      </c>
    </row>
    <row r="3590" spans="1:2" x14ac:dyDescent="0.25">
      <c r="A3590">
        <v>3561</v>
      </c>
      <c r="B3590">
        <v>0.15375640659560133</v>
      </c>
    </row>
    <row r="3591" spans="1:2" x14ac:dyDescent="0.25">
      <c r="A3591">
        <v>3562</v>
      </c>
      <c r="B3591">
        <v>0.25857767004884302</v>
      </c>
    </row>
    <row r="3592" spans="1:2" x14ac:dyDescent="0.25">
      <c r="A3592">
        <v>3563</v>
      </c>
      <c r="B3592">
        <v>9.9828735460870482E-2</v>
      </c>
    </row>
    <row r="3593" spans="1:2" x14ac:dyDescent="0.25">
      <c r="A3593">
        <v>3564</v>
      </c>
      <c r="B3593">
        <v>8.612006142104732E-2</v>
      </c>
    </row>
    <row r="3594" spans="1:2" x14ac:dyDescent="0.25">
      <c r="A3594">
        <v>3565</v>
      </c>
      <c r="B3594">
        <v>0.28597060185083767</v>
      </c>
    </row>
    <row r="3595" spans="1:2" x14ac:dyDescent="0.25">
      <c r="A3595">
        <v>3566</v>
      </c>
      <c r="B3595">
        <v>0.16812288768917211</v>
      </c>
    </row>
    <row r="3596" spans="1:2" x14ac:dyDescent="0.25">
      <c r="A3596">
        <v>3567</v>
      </c>
      <c r="B3596">
        <v>0.12899831292200148</v>
      </c>
    </row>
    <row r="3597" spans="1:2" x14ac:dyDescent="0.25">
      <c r="A3597">
        <v>3568</v>
      </c>
      <c r="B3597">
        <v>0.29040888286506383</v>
      </c>
    </row>
    <row r="3598" spans="1:2" x14ac:dyDescent="0.25">
      <c r="A3598">
        <v>3569</v>
      </c>
      <c r="B3598">
        <v>0.15369221307486194</v>
      </c>
    </row>
    <row r="3599" spans="1:2" x14ac:dyDescent="0.25">
      <c r="A3599">
        <v>3570</v>
      </c>
      <c r="B3599">
        <v>0.15397802042478673</v>
      </c>
    </row>
    <row r="3600" spans="1:2" x14ac:dyDescent="0.25">
      <c r="A3600">
        <v>3571</v>
      </c>
      <c r="B3600">
        <v>0.29351657917464952</v>
      </c>
    </row>
    <row r="3601" spans="1:2" x14ac:dyDescent="0.25">
      <c r="A3601">
        <v>3572</v>
      </c>
      <c r="B3601">
        <v>0.15844917405880107</v>
      </c>
    </row>
    <row r="3602" spans="1:2" x14ac:dyDescent="0.25">
      <c r="A3602">
        <v>3573</v>
      </c>
      <c r="B3602">
        <v>0.20613913906163966</v>
      </c>
    </row>
    <row r="3603" spans="1:2" x14ac:dyDescent="0.25">
      <c r="A3603">
        <v>3574</v>
      </c>
      <c r="B3603">
        <v>0.23209311983325462</v>
      </c>
    </row>
    <row r="3604" spans="1:2" x14ac:dyDescent="0.25">
      <c r="A3604">
        <v>3575</v>
      </c>
      <c r="B3604">
        <v>0.31917161779878456</v>
      </c>
    </row>
    <row r="3605" spans="1:2" x14ac:dyDescent="0.25">
      <c r="A3605">
        <v>3576</v>
      </c>
      <c r="B3605">
        <v>3.5435704474317806E-2</v>
      </c>
    </row>
    <row r="3606" spans="1:2" x14ac:dyDescent="0.25">
      <c r="A3606">
        <v>3577</v>
      </c>
      <c r="B3606">
        <v>0.15197830952022578</v>
      </c>
    </row>
    <row r="3607" spans="1:2" x14ac:dyDescent="0.25">
      <c r="A3607">
        <v>3578</v>
      </c>
      <c r="B3607">
        <v>0.15499549356681377</v>
      </c>
    </row>
    <row r="3608" spans="1:2" x14ac:dyDescent="0.25">
      <c r="A3608">
        <v>3579</v>
      </c>
      <c r="B3608">
        <v>0.23327173576243812</v>
      </c>
    </row>
    <row r="3609" spans="1:2" x14ac:dyDescent="0.25">
      <c r="A3609">
        <v>3580</v>
      </c>
      <c r="B3609">
        <v>1.2990165710255441</v>
      </c>
    </row>
    <row r="3610" spans="1:2" x14ac:dyDescent="0.25">
      <c r="A3610">
        <v>3581</v>
      </c>
      <c r="B3610">
        <v>0.24535734512653046</v>
      </c>
    </row>
    <row r="3611" spans="1:2" x14ac:dyDescent="0.25">
      <c r="A3611">
        <v>3582</v>
      </c>
      <c r="B3611">
        <v>0.12956737144498856</v>
      </c>
    </row>
    <row r="3612" spans="1:2" x14ac:dyDescent="0.25">
      <c r="A3612">
        <v>3583</v>
      </c>
      <c r="B3612">
        <v>0.43806174760502226</v>
      </c>
    </row>
    <row r="3613" spans="1:2" x14ac:dyDescent="0.25">
      <c r="A3613">
        <v>3584</v>
      </c>
      <c r="B3613">
        <v>0.16553398527325805</v>
      </c>
    </row>
    <row r="3614" spans="1:2" x14ac:dyDescent="0.25">
      <c r="A3614">
        <v>3585</v>
      </c>
      <c r="B3614">
        <v>0.14861436375679468</v>
      </c>
    </row>
    <row r="3615" spans="1:2" x14ac:dyDescent="0.25">
      <c r="A3615">
        <v>3586</v>
      </c>
      <c r="B3615">
        <v>0.68600124092650927</v>
      </c>
    </row>
    <row r="3616" spans="1:2" x14ac:dyDescent="0.25">
      <c r="A3616">
        <v>3587</v>
      </c>
      <c r="B3616">
        <v>0.20176392337125312</v>
      </c>
    </row>
    <row r="3617" spans="1:2" x14ac:dyDescent="0.25">
      <c r="A3617">
        <v>3588</v>
      </c>
      <c r="B3617">
        <v>0.25865116693512064</v>
      </c>
    </row>
    <row r="3618" spans="1:2" x14ac:dyDescent="0.25">
      <c r="A3618">
        <v>3589</v>
      </c>
      <c r="B3618">
        <v>0.38145252516314215</v>
      </c>
    </row>
    <row r="3619" spans="1:2" x14ac:dyDescent="0.25">
      <c r="A3619">
        <v>3590</v>
      </c>
      <c r="B3619">
        <v>8.8703150699792094E-2</v>
      </c>
    </row>
    <row r="3620" spans="1:2" x14ac:dyDescent="0.25">
      <c r="A3620">
        <v>3591</v>
      </c>
      <c r="B3620">
        <v>0.20353063992256326</v>
      </c>
    </row>
    <row r="3621" spans="1:2" x14ac:dyDescent="0.25">
      <c r="A3621">
        <v>3592</v>
      </c>
      <c r="B3621">
        <v>0.15684915627932342</v>
      </c>
    </row>
    <row r="3622" spans="1:2" x14ac:dyDescent="0.25">
      <c r="A3622">
        <v>3593</v>
      </c>
      <c r="B3622">
        <v>0.10740256105810909</v>
      </c>
    </row>
    <row r="3623" spans="1:2" x14ac:dyDescent="0.25">
      <c r="A3623">
        <v>3594</v>
      </c>
      <c r="B3623">
        <v>0.15222271176504254</v>
      </c>
    </row>
    <row r="3624" spans="1:2" x14ac:dyDescent="0.25">
      <c r="A3624">
        <v>3595</v>
      </c>
      <c r="B3624">
        <v>0.12778100289554653</v>
      </c>
    </row>
    <row r="3625" spans="1:2" x14ac:dyDescent="0.25">
      <c r="A3625">
        <v>3596</v>
      </c>
      <c r="B3625">
        <v>7.8928004377762387E-2</v>
      </c>
    </row>
    <row r="3626" spans="1:2" x14ac:dyDescent="0.25">
      <c r="A3626">
        <v>3597</v>
      </c>
      <c r="B3626">
        <v>5.2592411721787274E-2</v>
      </c>
    </row>
    <row r="3627" spans="1:2" x14ac:dyDescent="0.25">
      <c r="A3627">
        <v>3598</v>
      </c>
      <c r="B3627">
        <v>0.30851453211273733</v>
      </c>
    </row>
    <row r="3628" spans="1:2" x14ac:dyDescent="0.25">
      <c r="A3628">
        <v>3599</v>
      </c>
      <c r="B3628">
        <v>0.26453299646248646</v>
      </c>
    </row>
    <row r="3629" spans="1:2" x14ac:dyDescent="0.25">
      <c r="A3629">
        <v>3600</v>
      </c>
      <c r="B3629">
        <v>0.35607614668381493</v>
      </c>
    </row>
    <row r="3630" spans="1:2" x14ac:dyDescent="0.25">
      <c r="A3630">
        <v>3601</v>
      </c>
      <c r="B3630">
        <v>0.53207330988211987</v>
      </c>
    </row>
    <row r="3631" spans="1:2" x14ac:dyDescent="0.25">
      <c r="A3631">
        <v>3602</v>
      </c>
      <c r="B3631">
        <v>0.17106520934921585</v>
      </c>
    </row>
    <row r="3632" spans="1:2" x14ac:dyDescent="0.25">
      <c r="A3632">
        <v>3603</v>
      </c>
      <c r="B3632">
        <v>0.26507706293195293</v>
      </c>
    </row>
    <row r="3633" spans="1:2" x14ac:dyDescent="0.25">
      <c r="A3633">
        <v>3604</v>
      </c>
      <c r="B3633">
        <v>0.18116427120996273</v>
      </c>
    </row>
    <row r="3634" spans="1:2" x14ac:dyDescent="0.25">
      <c r="A3634">
        <v>3605</v>
      </c>
      <c r="B3634">
        <v>0.2087288533612803</v>
      </c>
    </row>
    <row r="3635" spans="1:2" x14ac:dyDescent="0.25">
      <c r="A3635">
        <v>3606</v>
      </c>
      <c r="B3635">
        <v>6.2864280242523066E-2</v>
      </c>
    </row>
    <row r="3636" spans="1:2" x14ac:dyDescent="0.25">
      <c r="A3636">
        <v>3607</v>
      </c>
      <c r="B3636">
        <v>0.30574966774902235</v>
      </c>
    </row>
    <row r="3637" spans="1:2" x14ac:dyDescent="0.25">
      <c r="A3637">
        <v>3608</v>
      </c>
      <c r="B3637">
        <v>0.10503060575600741</v>
      </c>
    </row>
    <row r="3638" spans="1:2" x14ac:dyDescent="0.25">
      <c r="A3638">
        <v>3609</v>
      </c>
      <c r="B3638">
        <v>0.23277305300022913</v>
      </c>
    </row>
    <row r="3639" spans="1:2" x14ac:dyDescent="0.25">
      <c r="A3639">
        <v>3610</v>
      </c>
      <c r="B3639">
        <v>0.18353066403937485</v>
      </c>
    </row>
    <row r="3640" spans="1:2" x14ac:dyDescent="0.25">
      <c r="A3640">
        <v>3611</v>
      </c>
      <c r="B3640">
        <v>0.35774473196206896</v>
      </c>
    </row>
    <row r="3641" spans="1:2" x14ac:dyDescent="0.25">
      <c r="A3641">
        <v>3612</v>
      </c>
      <c r="B3641">
        <v>0.56379034053077171</v>
      </c>
    </row>
    <row r="3642" spans="1:2" x14ac:dyDescent="0.25">
      <c r="A3642">
        <v>3613</v>
      </c>
      <c r="B3642">
        <v>0.25330412426664733</v>
      </c>
    </row>
    <row r="3643" spans="1:2" x14ac:dyDescent="0.25">
      <c r="A3643">
        <v>3614</v>
      </c>
      <c r="B3643">
        <v>0.17954887832131342</v>
      </c>
    </row>
    <row r="3644" spans="1:2" x14ac:dyDescent="0.25">
      <c r="A3644">
        <v>3615</v>
      </c>
      <c r="B3644">
        <v>6.5623772582448697E-2</v>
      </c>
    </row>
    <row r="3645" spans="1:2" x14ac:dyDescent="0.25">
      <c r="A3645">
        <v>3616</v>
      </c>
      <c r="B3645">
        <v>0.45815380312858478</v>
      </c>
    </row>
    <row r="3646" spans="1:2" x14ac:dyDescent="0.25">
      <c r="A3646">
        <v>3617</v>
      </c>
      <c r="B3646">
        <v>0.15878135631333268</v>
      </c>
    </row>
    <row r="3647" spans="1:2" x14ac:dyDescent="0.25">
      <c r="A3647">
        <v>3618</v>
      </c>
      <c r="B3647">
        <v>0.13572081212120088</v>
      </c>
    </row>
    <row r="3648" spans="1:2" x14ac:dyDescent="0.25">
      <c r="A3648">
        <v>3619</v>
      </c>
      <c r="B3648">
        <v>0.23951364530374372</v>
      </c>
    </row>
    <row r="3649" spans="1:2" x14ac:dyDescent="0.25">
      <c r="A3649">
        <v>3620</v>
      </c>
      <c r="B3649">
        <v>0.21504328445075954</v>
      </c>
    </row>
    <row r="3650" spans="1:2" x14ac:dyDescent="0.25">
      <c r="A3650">
        <v>3621</v>
      </c>
      <c r="B3650">
        <v>5.5747976506181261E-2</v>
      </c>
    </row>
    <row r="3651" spans="1:2" x14ac:dyDescent="0.25">
      <c r="A3651">
        <v>3622</v>
      </c>
      <c r="B3651">
        <v>0.79662196407642338</v>
      </c>
    </row>
    <row r="3652" spans="1:2" x14ac:dyDescent="0.25">
      <c r="A3652">
        <v>3623</v>
      </c>
      <c r="B3652">
        <v>0.11302297207888608</v>
      </c>
    </row>
    <row r="3653" spans="1:2" x14ac:dyDescent="0.25">
      <c r="A3653">
        <v>3624</v>
      </c>
      <c r="B3653">
        <v>0.14208335350574003</v>
      </c>
    </row>
    <row r="3654" spans="1:2" x14ac:dyDescent="0.25">
      <c r="A3654">
        <v>3625</v>
      </c>
      <c r="B3654">
        <v>0.2446748282152337</v>
      </c>
    </row>
    <row r="3655" spans="1:2" x14ac:dyDescent="0.25">
      <c r="A3655">
        <v>3626</v>
      </c>
      <c r="B3655">
        <v>0.17268233882291181</v>
      </c>
    </row>
    <row r="3656" spans="1:2" x14ac:dyDescent="0.25">
      <c r="A3656">
        <v>3627</v>
      </c>
      <c r="B3656">
        <v>9.4347557205590904E-2</v>
      </c>
    </row>
    <row r="3657" spans="1:2" x14ac:dyDescent="0.25">
      <c r="A3657">
        <v>3628</v>
      </c>
      <c r="B3657">
        <v>3.7661624186641394E-2</v>
      </c>
    </row>
    <row r="3658" spans="1:2" x14ac:dyDescent="0.25">
      <c r="A3658">
        <v>3629</v>
      </c>
      <c r="B3658">
        <v>0.1700751944171181</v>
      </c>
    </row>
    <row r="3659" spans="1:2" x14ac:dyDescent="0.25">
      <c r="A3659">
        <v>3630</v>
      </c>
      <c r="B3659">
        <v>0.43627094163826535</v>
      </c>
    </row>
    <row r="3660" spans="1:2" x14ac:dyDescent="0.25">
      <c r="A3660">
        <v>3631</v>
      </c>
      <c r="B3660">
        <v>0.15711682361653737</v>
      </c>
    </row>
    <row r="3661" spans="1:2" x14ac:dyDescent="0.25">
      <c r="A3661">
        <v>3632</v>
      </c>
      <c r="B3661">
        <v>0.15667747894890546</v>
      </c>
    </row>
    <row r="3662" spans="1:2" x14ac:dyDescent="0.25">
      <c r="A3662">
        <v>3633</v>
      </c>
      <c r="B3662">
        <v>0.17821565678598955</v>
      </c>
    </row>
    <row r="3663" spans="1:2" x14ac:dyDescent="0.25">
      <c r="A3663">
        <v>3634</v>
      </c>
      <c r="B3663">
        <v>0.64918162281446901</v>
      </c>
    </row>
    <row r="3664" spans="1:2" x14ac:dyDescent="0.25">
      <c r="A3664">
        <v>3635</v>
      </c>
      <c r="B3664">
        <v>7.6898121110851661E-2</v>
      </c>
    </row>
    <row r="3665" spans="1:2" x14ac:dyDescent="0.25">
      <c r="A3665">
        <v>3636</v>
      </c>
      <c r="B3665">
        <v>6.8457519921253429E-2</v>
      </c>
    </row>
    <row r="3666" spans="1:2" x14ac:dyDescent="0.25">
      <c r="A3666">
        <v>3637</v>
      </c>
      <c r="B3666">
        <v>0.14227207717254456</v>
      </c>
    </row>
    <row r="3667" spans="1:2" x14ac:dyDescent="0.25">
      <c r="A3667">
        <v>3638</v>
      </c>
      <c r="B3667">
        <v>6.2323725651388488E-2</v>
      </c>
    </row>
    <row r="3668" spans="1:2" x14ac:dyDescent="0.25">
      <c r="A3668">
        <v>3639</v>
      </c>
      <c r="B3668">
        <v>0.15072621678342896</v>
      </c>
    </row>
    <row r="3669" spans="1:2" x14ac:dyDescent="0.25">
      <c r="A3669">
        <v>3640</v>
      </c>
      <c r="B3669">
        <v>0.20071049163990948</v>
      </c>
    </row>
    <row r="3670" spans="1:2" x14ac:dyDescent="0.25">
      <c r="A3670">
        <v>3641</v>
      </c>
      <c r="B3670">
        <v>0.42394562496668148</v>
      </c>
    </row>
    <row r="3671" spans="1:2" x14ac:dyDescent="0.25">
      <c r="A3671">
        <v>3642</v>
      </c>
      <c r="B3671">
        <v>6.9353217685413013E-2</v>
      </c>
    </row>
    <row r="3672" spans="1:2" x14ac:dyDescent="0.25">
      <c r="A3672">
        <v>3643</v>
      </c>
      <c r="B3672">
        <v>5.4306871530198364E-2</v>
      </c>
    </row>
    <row r="3673" spans="1:2" x14ac:dyDescent="0.25">
      <c r="A3673">
        <v>3644</v>
      </c>
      <c r="B3673">
        <v>6.2623954511702579E-2</v>
      </c>
    </row>
    <row r="3674" spans="1:2" x14ac:dyDescent="0.25">
      <c r="A3674">
        <v>3645</v>
      </c>
      <c r="B3674">
        <v>0.15280260154725669</v>
      </c>
    </row>
    <row r="3675" spans="1:2" x14ac:dyDescent="0.25">
      <c r="A3675">
        <v>3646</v>
      </c>
      <c r="B3675">
        <v>0.31094988575543803</v>
      </c>
    </row>
    <row r="3676" spans="1:2" x14ac:dyDescent="0.25">
      <c r="A3676">
        <v>3647</v>
      </c>
      <c r="B3676">
        <v>2.3817339761017849E-2</v>
      </c>
    </row>
    <row r="3677" spans="1:2" x14ac:dyDescent="0.25">
      <c r="A3677">
        <v>3648</v>
      </c>
      <c r="B3677">
        <v>0.29991652595011498</v>
      </c>
    </row>
    <row r="3678" spans="1:2" x14ac:dyDescent="0.25">
      <c r="A3678">
        <v>3649</v>
      </c>
      <c r="B3678">
        <v>0.1297955100709754</v>
      </c>
    </row>
    <row r="3679" spans="1:2" x14ac:dyDescent="0.25">
      <c r="A3679">
        <v>3650</v>
      </c>
      <c r="B3679">
        <v>0.16588135060542006</v>
      </c>
    </row>
    <row r="3680" spans="1:2" x14ac:dyDescent="0.25">
      <c r="A3680">
        <v>3651</v>
      </c>
      <c r="B3680">
        <v>8.5795844670936497E-2</v>
      </c>
    </row>
    <row r="3681" spans="1:2" x14ac:dyDescent="0.25">
      <c r="A3681">
        <v>3652</v>
      </c>
      <c r="B3681">
        <v>9.0666003365436065E-2</v>
      </c>
    </row>
    <row r="3682" spans="1:2" x14ac:dyDescent="0.25">
      <c r="A3682">
        <v>3653</v>
      </c>
      <c r="B3682">
        <v>0.13825073209464836</v>
      </c>
    </row>
    <row r="3683" spans="1:2" x14ac:dyDescent="0.25">
      <c r="A3683">
        <v>3654</v>
      </c>
      <c r="B3683">
        <v>0.21307878304116071</v>
      </c>
    </row>
    <row r="3684" spans="1:2" x14ac:dyDescent="0.25">
      <c r="A3684">
        <v>3655</v>
      </c>
      <c r="B3684">
        <v>0.23560438478812726</v>
      </c>
    </row>
    <row r="3685" spans="1:2" x14ac:dyDescent="0.25">
      <c r="A3685">
        <v>3656</v>
      </c>
      <c r="B3685">
        <v>0.19428957960463647</v>
      </c>
    </row>
    <row r="3686" spans="1:2" x14ac:dyDescent="0.25">
      <c r="A3686">
        <v>3657</v>
      </c>
      <c r="B3686">
        <v>0.38020565969514591</v>
      </c>
    </row>
    <row r="3687" spans="1:2" x14ac:dyDescent="0.25">
      <c r="A3687">
        <v>3658</v>
      </c>
      <c r="B3687">
        <v>0.26910457646869801</v>
      </c>
    </row>
    <row r="3688" spans="1:2" x14ac:dyDescent="0.25">
      <c r="A3688">
        <v>3659</v>
      </c>
      <c r="B3688">
        <v>0.2109337227859793</v>
      </c>
    </row>
    <row r="3689" spans="1:2" x14ac:dyDescent="0.25">
      <c r="A3689">
        <v>3660</v>
      </c>
      <c r="B3689">
        <v>0.11987401907001249</v>
      </c>
    </row>
    <row r="3690" spans="1:2" x14ac:dyDescent="0.25">
      <c r="A3690">
        <v>3661</v>
      </c>
      <c r="B3690">
        <v>0.38384108029861508</v>
      </c>
    </row>
    <row r="3691" spans="1:2" x14ac:dyDescent="0.25">
      <c r="A3691">
        <v>3662</v>
      </c>
      <c r="B3691">
        <v>0.11403125306610835</v>
      </c>
    </row>
    <row r="3692" spans="1:2" x14ac:dyDescent="0.25">
      <c r="A3692">
        <v>3663</v>
      </c>
      <c r="B3692">
        <v>0.23997540995187736</v>
      </c>
    </row>
    <row r="3693" spans="1:2" x14ac:dyDescent="0.25">
      <c r="A3693">
        <v>3664</v>
      </c>
      <c r="B3693">
        <v>0.10508781792746617</v>
      </c>
    </row>
    <row r="3694" spans="1:2" x14ac:dyDescent="0.25">
      <c r="A3694">
        <v>3665</v>
      </c>
      <c r="B3694">
        <v>0.19653149507855827</v>
      </c>
    </row>
    <row r="3695" spans="1:2" x14ac:dyDescent="0.25">
      <c r="A3695">
        <v>3666</v>
      </c>
      <c r="B3695">
        <v>0.18194530868617378</v>
      </c>
    </row>
    <row r="3696" spans="1:2" x14ac:dyDescent="0.25">
      <c r="A3696">
        <v>3667</v>
      </c>
      <c r="B3696">
        <v>0.19015260732415432</v>
      </c>
    </row>
    <row r="3697" spans="1:2" x14ac:dyDescent="0.25">
      <c r="A3697">
        <v>3668</v>
      </c>
      <c r="B3697">
        <v>0.37029916785347866</v>
      </c>
    </row>
    <row r="3698" spans="1:2" x14ac:dyDescent="0.25">
      <c r="A3698">
        <v>3669</v>
      </c>
      <c r="B3698">
        <v>0.20634858829179759</v>
      </c>
    </row>
    <row r="3699" spans="1:2" x14ac:dyDescent="0.25">
      <c r="A3699">
        <v>3670</v>
      </c>
      <c r="B3699">
        <v>6.06072968293693E-2</v>
      </c>
    </row>
    <row r="3700" spans="1:2" x14ac:dyDescent="0.25">
      <c r="A3700">
        <v>3671</v>
      </c>
      <c r="B3700">
        <v>7.7048770802450761E-2</v>
      </c>
    </row>
    <row r="3701" spans="1:2" x14ac:dyDescent="0.25">
      <c r="A3701">
        <v>3672</v>
      </c>
      <c r="B3701">
        <v>0.39819242257690779</v>
      </c>
    </row>
    <row r="3702" spans="1:2" x14ac:dyDescent="0.25">
      <c r="A3702">
        <v>3673</v>
      </c>
      <c r="B3702">
        <v>0.23777259322515695</v>
      </c>
    </row>
    <row r="3703" spans="1:2" x14ac:dyDescent="0.25">
      <c r="A3703">
        <v>3674</v>
      </c>
      <c r="B3703">
        <v>0.23180986257279271</v>
      </c>
    </row>
    <row r="3704" spans="1:2" x14ac:dyDescent="0.25">
      <c r="A3704">
        <v>3675</v>
      </c>
      <c r="B3704">
        <v>9.3116619121333122E-2</v>
      </c>
    </row>
    <row r="3705" spans="1:2" x14ac:dyDescent="0.25">
      <c r="A3705">
        <v>3676</v>
      </c>
      <c r="B3705">
        <v>0.17657778792045903</v>
      </c>
    </row>
    <row r="3706" spans="1:2" x14ac:dyDescent="0.25">
      <c r="A3706">
        <v>3677</v>
      </c>
      <c r="B3706">
        <v>0.21440622143497057</v>
      </c>
    </row>
    <row r="3707" spans="1:2" x14ac:dyDescent="0.25">
      <c r="A3707">
        <v>3678</v>
      </c>
      <c r="B3707">
        <v>0.17418869885596355</v>
      </c>
    </row>
    <row r="3708" spans="1:2" x14ac:dyDescent="0.25">
      <c r="A3708">
        <v>3679</v>
      </c>
      <c r="B3708">
        <v>0.64611117619830871</v>
      </c>
    </row>
    <row r="3709" spans="1:2" x14ac:dyDescent="0.25">
      <c r="A3709">
        <v>3680</v>
      </c>
      <c r="B3709">
        <v>0.15716062576105641</v>
      </c>
    </row>
    <row r="3710" spans="1:2" x14ac:dyDescent="0.25">
      <c r="A3710">
        <v>3681</v>
      </c>
      <c r="B3710">
        <v>2.3358470764549343E-2</v>
      </c>
    </row>
    <row r="3711" spans="1:2" x14ac:dyDescent="0.25">
      <c r="A3711">
        <v>3682</v>
      </c>
      <c r="B3711">
        <v>0.15995072010096448</v>
      </c>
    </row>
    <row r="3712" spans="1:2" x14ac:dyDescent="0.25">
      <c r="A3712">
        <v>3683</v>
      </c>
      <c r="B3712">
        <v>0.14634656964373816</v>
      </c>
    </row>
    <row r="3713" spans="1:2" x14ac:dyDescent="0.25">
      <c r="A3713">
        <v>3684</v>
      </c>
      <c r="B3713">
        <v>6.4275727860267098E-2</v>
      </c>
    </row>
    <row r="3714" spans="1:2" x14ac:dyDescent="0.25">
      <c r="A3714">
        <v>3685</v>
      </c>
      <c r="B3714">
        <v>0.1292762704920801</v>
      </c>
    </row>
    <row r="3715" spans="1:2" x14ac:dyDescent="0.25">
      <c r="A3715">
        <v>3686</v>
      </c>
      <c r="B3715">
        <v>0.23471623877488154</v>
      </c>
    </row>
    <row r="3716" spans="1:2" x14ac:dyDescent="0.25">
      <c r="A3716">
        <v>3687</v>
      </c>
      <c r="B3716">
        <v>0.36617037716835293</v>
      </c>
    </row>
    <row r="3717" spans="1:2" x14ac:dyDescent="0.25">
      <c r="A3717">
        <v>3688</v>
      </c>
      <c r="B3717">
        <v>0.25227590477980788</v>
      </c>
    </row>
    <row r="3718" spans="1:2" x14ac:dyDescent="0.25">
      <c r="A3718">
        <v>3689</v>
      </c>
      <c r="B3718">
        <v>9.8921492792884119E-2</v>
      </c>
    </row>
    <row r="3719" spans="1:2" x14ac:dyDescent="0.25">
      <c r="A3719">
        <v>3690</v>
      </c>
      <c r="B3719">
        <v>0.15294149099725868</v>
      </c>
    </row>
    <row r="3720" spans="1:2" x14ac:dyDescent="0.25">
      <c r="A3720">
        <v>3691</v>
      </c>
      <c r="B3720">
        <v>0.29963112281944998</v>
      </c>
    </row>
    <row r="3721" spans="1:2" x14ac:dyDescent="0.25">
      <c r="A3721">
        <v>3692</v>
      </c>
      <c r="B3721">
        <v>0.1221667526822587</v>
      </c>
    </row>
    <row r="3722" spans="1:2" x14ac:dyDescent="0.25">
      <c r="A3722">
        <v>3693</v>
      </c>
      <c r="B3722">
        <v>0.11183194766955647</v>
      </c>
    </row>
    <row r="3723" spans="1:2" x14ac:dyDescent="0.25">
      <c r="A3723">
        <v>3694</v>
      </c>
      <c r="B3723">
        <v>0.46148028735187613</v>
      </c>
    </row>
    <row r="3724" spans="1:2" x14ac:dyDescent="0.25">
      <c r="A3724">
        <v>3695</v>
      </c>
      <c r="B3724">
        <v>7.4556894066001383E-2</v>
      </c>
    </row>
    <row r="3725" spans="1:2" x14ac:dyDescent="0.25">
      <c r="A3725">
        <v>3696</v>
      </c>
      <c r="B3725">
        <v>0.42543950774992711</v>
      </c>
    </row>
    <row r="3726" spans="1:2" x14ac:dyDescent="0.25">
      <c r="A3726">
        <v>3697</v>
      </c>
      <c r="B3726">
        <v>8.7933142367588021E-2</v>
      </c>
    </row>
    <row r="3727" spans="1:2" x14ac:dyDescent="0.25">
      <c r="A3727">
        <v>3698</v>
      </c>
      <c r="B3727">
        <v>0.20497078652430473</v>
      </c>
    </row>
    <row r="3728" spans="1:2" x14ac:dyDescent="0.25">
      <c r="A3728">
        <v>3699</v>
      </c>
      <c r="B3728">
        <v>6.9586381770636641E-2</v>
      </c>
    </row>
    <row r="3729" spans="1:2" x14ac:dyDescent="0.25">
      <c r="A3729">
        <v>3700</v>
      </c>
      <c r="B3729">
        <v>0.31061668024020384</v>
      </c>
    </row>
    <row r="3730" spans="1:2" x14ac:dyDescent="0.25">
      <c r="A3730">
        <v>3701</v>
      </c>
      <c r="B3730">
        <v>0.33175700890016085</v>
      </c>
    </row>
    <row r="3731" spans="1:2" x14ac:dyDescent="0.25">
      <c r="A3731">
        <v>3702</v>
      </c>
      <c r="B3731">
        <v>0.15255216789936984</v>
      </c>
    </row>
    <row r="3732" spans="1:2" x14ac:dyDescent="0.25">
      <c r="A3732">
        <v>3703</v>
      </c>
      <c r="B3732">
        <v>0.39232411521782595</v>
      </c>
    </row>
    <row r="3733" spans="1:2" x14ac:dyDescent="0.25">
      <c r="A3733">
        <v>3704</v>
      </c>
      <c r="B3733">
        <v>0.11895659045237268</v>
      </c>
    </row>
    <row r="3734" spans="1:2" x14ac:dyDescent="0.25">
      <c r="A3734">
        <v>3705</v>
      </c>
      <c r="B3734">
        <v>0.74156658251837759</v>
      </c>
    </row>
    <row r="3735" spans="1:2" x14ac:dyDescent="0.25">
      <c r="A3735">
        <v>3706</v>
      </c>
      <c r="B3735">
        <v>0.12035598853383866</v>
      </c>
    </row>
    <row r="3736" spans="1:2" x14ac:dyDescent="0.25">
      <c r="A3736">
        <v>3707</v>
      </c>
      <c r="B3736">
        <v>6.4282333170470704E-2</v>
      </c>
    </row>
    <row r="3737" spans="1:2" x14ac:dyDescent="0.25">
      <c r="A3737">
        <v>3708</v>
      </c>
      <c r="B3737">
        <v>0.33308305336587091</v>
      </c>
    </row>
    <row r="3738" spans="1:2" x14ac:dyDescent="0.25">
      <c r="A3738">
        <v>3709</v>
      </c>
      <c r="B3738">
        <v>5.8356758606670375E-2</v>
      </c>
    </row>
    <row r="3739" spans="1:2" x14ac:dyDescent="0.25">
      <c r="A3739">
        <v>3710</v>
      </c>
      <c r="B3739">
        <v>0.45915157709733229</v>
      </c>
    </row>
    <row r="3740" spans="1:2" x14ac:dyDescent="0.25">
      <c r="A3740">
        <v>3711</v>
      </c>
      <c r="B3740">
        <v>0.20663685374793953</v>
      </c>
    </row>
    <row r="3741" spans="1:2" x14ac:dyDescent="0.25">
      <c r="A3741">
        <v>3712</v>
      </c>
      <c r="B3741">
        <v>0.19857826353350588</v>
      </c>
    </row>
    <row r="3742" spans="1:2" x14ac:dyDescent="0.25">
      <c r="A3742">
        <v>3713</v>
      </c>
      <c r="B3742">
        <v>6.5648360528320363E-2</v>
      </c>
    </row>
    <row r="3743" spans="1:2" x14ac:dyDescent="0.25">
      <c r="A3743">
        <v>3714</v>
      </c>
      <c r="B3743">
        <v>0.17753128433324752</v>
      </c>
    </row>
    <row r="3744" spans="1:2" x14ac:dyDescent="0.25">
      <c r="A3744">
        <v>3715</v>
      </c>
      <c r="B3744">
        <v>9.0039122693741869E-2</v>
      </c>
    </row>
    <row r="3745" spans="1:2" x14ac:dyDescent="0.25">
      <c r="A3745">
        <v>3716</v>
      </c>
      <c r="B3745">
        <v>0.21265371563408975</v>
      </c>
    </row>
    <row r="3746" spans="1:2" x14ac:dyDescent="0.25">
      <c r="A3746">
        <v>3717</v>
      </c>
      <c r="B3746">
        <v>9.7138767658009481E-2</v>
      </c>
    </row>
    <row r="3747" spans="1:2" x14ac:dyDescent="0.25">
      <c r="A3747">
        <v>3718</v>
      </c>
      <c r="B3747">
        <v>8.4432980861544257E-2</v>
      </c>
    </row>
    <row r="3748" spans="1:2" x14ac:dyDescent="0.25">
      <c r="A3748">
        <v>3719</v>
      </c>
      <c r="B3748">
        <v>0.38205171237150476</v>
      </c>
    </row>
    <row r="3749" spans="1:2" x14ac:dyDescent="0.25">
      <c r="A3749">
        <v>3720</v>
      </c>
      <c r="B3749">
        <v>0.12637287207316109</v>
      </c>
    </row>
    <row r="3750" spans="1:2" x14ac:dyDescent="0.25">
      <c r="A3750">
        <v>3721</v>
      </c>
      <c r="B3750">
        <v>0.28059870727016878</v>
      </c>
    </row>
    <row r="3751" spans="1:2" x14ac:dyDescent="0.25">
      <c r="A3751">
        <v>3722</v>
      </c>
      <c r="B3751">
        <v>0.19367041511311203</v>
      </c>
    </row>
    <row r="3752" spans="1:2" x14ac:dyDescent="0.25">
      <c r="A3752">
        <v>3723</v>
      </c>
      <c r="B3752">
        <v>0.21732214000284136</v>
      </c>
    </row>
    <row r="3753" spans="1:2" x14ac:dyDescent="0.25">
      <c r="A3753">
        <v>3724</v>
      </c>
      <c r="B3753">
        <v>0.26309322731762258</v>
      </c>
    </row>
    <row r="3754" spans="1:2" x14ac:dyDescent="0.25">
      <c r="A3754">
        <v>3725</v>
      </c>
      <c r="B3754">
        <v>0.18995517103065759</v>
      </c>
    </row>
    <row r="3755" spans="1:2" x14ac:dyDescent="0.25">
      <c r="A3755">
        <v>3726</v>
      </c>
      <c r="B3755">
        <v>0.33045097524372002</v>
      </c>
    </row>
    <row r="3756" spans="1:2" x14ac:dyDescent="0.25">
      <c r="A3756">
        <v>3727</v>
      </c>
      <c r="B3756">
        <v>0.13484426457526072</v>
      </c>
    </row>
    <row r="3757" spans="1:2" x14ac:dyDescent="0.25">
      <c r="A3757">
        <v>3728</v>
      </c>
      <c r="B3757">
        <v>0.22138556976603307</v>
      </c>
    </row>
    <row r="3758" spans="1:2" x14ac:dyDescent="0.25">
      <c r="A3758">
        <v>3729</v>
      </c>
      <c r="B3758">
        <v>0.12935684261397057</v>
      </c>
    </row>
    <row r="3759" spans="1:2" x14ac:dyDescent="0.25">
      <c r="A3759">
        <v>3730</v>
      </c>
      <c r="B3759">
        <v>0.31163073240019223</v>
      </c>
    </row>
    <row r="3760" spans="1:2" x14ac:dyDescent="0.25">
      <c r="A3760">
        <v>3731</v>
      </c>
      <c r="B3760">
        <v>0.13179826476972745</v>
      </c>
    </row>
    <row r="3761" spans="1:2" x14ac:dyDescent="0.25">
      <c r="A3761">
        <v>3732</v>
      </c>
      <c r="B3761">
        <v>0.10199898764101452</v>
      </c>
    </row>
    <row r="3762" spans="1:2" x14ac:dyDescent="0.25">
      <c r="A3762">
        <v>3733</v>
      </c>
      <c r="B3762">
        <v>0.12320017547030016</v>
      </c>
    </row>
    <row r="3763" spans="1:2" x14ac:dyDescent="0.25">
      <c r="A3763">
        <v>3734</v>
      </c>
      <c r="B3763">
        <v>0.3169287060046036</v>
      </c>
    </row>
    <row r="3764" spans="1:2" x14ac:dyDescent="0.25">
      <c r="A3764">
        <v>3735</v>
      </c>
      <c r="B3764">
        <v>0.32140373557141183</v>
      </c>
    </row>
    <row r="3765" spans="1:2" x14ac:dyDescent="0.25">
      <c r="A3765">
        <v>3736</v>
      </c>
      <c r="B3765">
        <v>0.17888637927637224</v>
      </c>
    </row>
    <row r="3766" spans="1:2" x14ac:dyDescent="0.25">
      <c r="A3766">
        <v>3737</v>
      </c>
      <c r="B3766">
        <v>0.30136710089883045</v>
      </c>
    </row>
    <row r="3767" spans="1:2" x14ac:dyDescent="0.25">
      <c r="A3767">
        <v>3738</v>
      </c>
      <c r="B3767">
        <v>0.29065770526908613</v>
      </c>
    </row>
    <row r="3768" spans="1:2" x14ac:dyDescent="0.25">
      <c r="A3768">
        <v>3739</v>
      </c>
      <c r="B3768">
        <v>0.20350005575255792</v>
      </c>
    </row>
    <row r="3769" spans="1:2" x14ac:dyDescent="0.25">
      <c r="A3769">
        <v>3740</v>
      </c>
      <c r="B3769">
        <v>0.10811734919317074</v>
      </c>
    </row>
    <row r="3770" spans="1:2" x14ac:dyDescent="0.25">
      <c r="A3770">
        <v>3741</v>
      </c>
      <c r="B3770">
        <v>0.12983962209126823</v>
      </c>
    </row>
    <row r="3771" spans="1:2" x14ac:dyDescent="0.25">
      <c r="A3771">
        <v>3742</v>
      </c>
      <c r="B3771">
        <v>0.27824680302537969</v>
      </c>
    </row>
    <row r="3772" spans="1:2" x14ac:dyDescent="0.25">
      <c r="A3772">
        <v>3743</v>
      </c>
      <c r="B3772">
        <v>0.15763324026433029</v>
      </c>
    </row>
    <row r="3773" spans="1:2" x14ac:dyDescent="0.25">
      <c r="A3773">
        <v>3744</v>
      </c>
      <c r="B3773">
        <v>9.4269060474162475E-2</v>
      </c>
    </row>
    <row r="3774" spans="1:2" x14ac:dyDescent="0.25">
      <c r="A3774">
        <v>3745</v>
      </c>
      <c r="B3774">
        <v>0.29683843266873411</v>
      </c>
    </row>
    <row r="3775" spans="1:2" x14ac:dyDescent="0.25">
      <c r="A3775">
        <v>3746</v>
      </c>
      <c r="B3775">
        <v>0.14323446962579639</v>
      </c>
    </row>
    <row r="3776" spans="1:2" x14ac:dyDescent="0.25">
      <c r="A3776">
        <v>3747</v>
      </c>
      <c r="B3776">
        <v>0.17681427392957585</v>
      </c>
    </row>
    <row r="3777" spans="1:2" x14ac:dyDescent="0.25">
      <c r="A3777">
        <v>3748</v>
      </c>
      <c r="B3777">
        <v>0.1573726632144683</v>
      </c>
    </row>
    <row r="3778" spans="1:2" x14ac:dyDescent="0.25">
      <c r="A3778">
        <v>3749</v>
      </c>
      <c r="B3778">
        <v>0.26893412971744551</v>
      </c>
    </row>
    <row r="3779" spans="1:2" x14ac:dyDescent="0.25">
      <c r="A3779">
        <v>3750</v>
      </c>
      <c r="B3779">
        <v>0.1814663773488539</v>
      </c>
    </row>
    <row r="3780" spans="1:2" x14ac:dyDescent="0.25">
      <c r="A3780">
        <v>3751</v>
      </c>
      <c r="B3780">
        <v>8.8119132023452534E-2</v>
      </c>
    </row>
    <row r="3781" spans="1:2" x14ac:dyDescent="0.25">
      <c r="A3781">
        <v>3752</v>
      </c>
      <c r="B3781">
        <v>7.0488204815309041E-2</v>
      </c>
    </row>
    <row r="3782" spans="1:2" x14ac:dyDescent="0.25">
      <c r="A3782">
        <v>3753</v>
      </c>
      <c r="B3782">
        <v>0.30218010694368275</v>
      </c>
    </row>
    <row r="3783" spans="1:2" x14ac:dyDescent="0.25">
      <c r="A3783">
        <v>3754</v>
      </c>
      <c r="B3783">
        <v>9.5427967509137415E-2</v>
      </c>
    </row>
    <row r="3784" spans="1:2" x14ac:dyDescent="0.25">
      <c r="A3784">
        <v>3755</v>
      </c>
      <c r="B3784">
        <v>4.5671198669126549E-2</v>
      </c>
    </row>
    <row r="3785" spans="1:2" x14ac:dyDescent="0.25">
      <c r="A3785">
        <v>3756</v>
      </c>
      <c r="B3785">
        <v>0.11101239128803456</v>
      </c>
    </row>
    <row r="3786" spans="1:2" x14ac:dyDescent="0.25">
      <c r="A3786">
        <v>3757</v>
      </c>
      <c r="B3786">
        <v>0.12814088846254215</v>
      </c>
    </row>
    <row r="3787" spans="1:2" x14ac:dyDescent="0.25">
      <c r="A3787">
        <v>3758</v>
      </c>
      <c r="B3787">
        <v>0.11210195736636337</v>
      </c>
    </row>
    <row r="3788" spans="1:2" x14ac:dyDescent="0.25">
      <c r="A3788">
        <v>3759</v>
      </c>
      <c r="B3788">
        <v>0.18535284081623229</v>
      </c>
    </row>
    <row r="3789" spans="1:2" x14ac:dyDescent="0.25">
      <c r="A3789">
        <v>3760</v>
      </c>
      <c r="B3789">
        <v>0.20610873037273858</v>
      </c>
    </row>
    <row r="3790" spans="1:2" x14ac:dyDescent="0.25">
      <c r="A3790">
        <v>3761</v>
      </c>
      <c r="B3790">
        <v>0.77233633535255763</v>
      </c>
    </row>
    <row r="3791" spans="1:2" x14ac:dyDescent="0.25">
      <c r="A3791">
        <v>3762</v>
      </c>
      <c r="B3791">
        <v>0.15048405852158628</v>
      </c>
    </row>
    <row r="3792" spans="1:2" x14ac:dyDescent="0.25">
      <c r="A3792">
        <v>3763</v>
      </c>
      <c r="B3792">
        <v>0.16668463858989993</v>
      </c>
    </row>
    <row r="3793" spans="1:2" x14ac:dyDescent="0.25">
      <c r="A3793">
        <v>3764</v>
      </c>
      <c r="B3793">
        <v>0.54193702907608654</v>
      </c>
    </row>
    <row r="3794" spans="1:2" x14ac:dyDescent="0.25">
      <c r="A3794">
        <v>3765</v>
      </c>
      <c r="B3794">
        <v>0.12796011523685949</v>
      </c>
    </row>
    <row r="3795" spans="1:2" x14ac:dyDescent="0.25">
      <c r="A3795">
        <v>3766</v>
      </c>
      <c r="B3795">
        <v>0.12204085990640255</v>
      </c>
    </row>
    <row r="3796" spans="1:2" x14ac:dyDescent="0.25">
      <c r="A3796">
        <v>3767</v>
      </c>
      <c r="B3796">
        <v>0.20607755947246845</v>
      </c>
    </row>
    <row r="3797" spans="1:2" x14ac:dyDescent="0.25">
      <c r="A3797">
        <v>3768</v>
      </c>
      <c r="B3797">
        <v>0.18801706666727874</v>
      </c>
    </row>
    <row r="3798" spans="1:2" x14ac:dyDescent="0.25">
      <c r="A3798">
        <v>3769</v>
      </c>
      <c r="B3798">
        <v>0.21819084024627883</v>
      </c>
    </row>
    <row r="3799" spans="1:2" x14ac:dyDescent="0.25">
      <c r="A3799">
        <v>3770</v>
      </c>
      <c r="B3799">
        <v>0.21053972637162588</v>
      </c>
    </row>
    <row r="3800" spans="1:2" x14ac:dyDescent="0.25">
      <c r="A3800">
        <v>3771</v>
      </c>
      <c r="B3800">
        <v>0.29642247952412026</v>
      </c>
    </row>
    <row r="3801" spans="1:2" x14ac:dyDescent="0.25">
      <c r="A3801">
        <v>3772</v>
      </c>
      <c r="B3801">
        <v>0.32067497846874954</v>
      </c>
    </row>
    <row r="3802" spans="1:2" x14ac:dyDescent="0.25">
      <c r="A3802">
        <v>3773</v>
      </c>
      <c r="B3802">
        <v>0.54218237873150144</v>
      </c>
    </row>
    <row r="3803" spans="1:2" x14ac:dyDescent="0.25">
      <c r="A3803">
        <v>3774</v>
      </c>
      <c r="B3803">
        <v>0.31927346069150569</v>
      </c>
    </row>
    <row r="3804" spans="1:2" x14ac:dyDescent="0.25">
      <c r="A3804">
        <v>3775</v>
      </c>
      <c r="B3804">
        <v>0.19889284826569145</v>
      </c>
    </row>
    <row r="3805" spans="1:2" x14ac:dyDescent="0.25">
      <c r="A3805">
        <v>3776</v>
      </c>
      <c r="B3805">
        <v>0.29786978653515361</v>
      </c>
    </row>
    <row r="3806" spans="1:2" x14ac:dyDescent="0.25">
      <c r="A3806">
        <v>3777</v>
      </c>
      <c r="B3806">
        <v>0.15466954065915356</v>
      </c>
    </row>
    <row r="3807" spans="1:2" x14ac:dyDescent="0.25">
      <c r="A3807">
        <v>3778</v>
      </c>
      <c r="B3807">
        <v>0.19660376885720501</v>
      </c>
    </row>
    <row r="3808" spans="1:2" x14ac:dyDescent="0.25">
      <c r="A3808">
        <v>3779</v>
      </c>
      <c r="B3808">
        <v>0.1088367119183551</v>
      </c>
    </row>
    <row r="3809" spans="1:2" x14ac:dyDescent="0.25">
      <c r="A3809">
        <v>3780</v>
      </c>
      <c r="B3809">
        <v>0.5934809290296984</v>
      </c>
    </row>
    <row r="3810" spans="1:2" x14ac:dyDescent="0.25">
      <c r="A3810">
        <v>3781</v>
      </c>
      <c r="B3810">
        <v>0.36364810068845016</v>
      </c>
    </row>
    <row r="3811" spans="1:2" x14ac:dyDescent="0.25">
      <c r="A3811">
        <v>3782</v>
      </c>
      <c r="B3811">
        <v>0.36001281554881226</v>
      </c>
    </row>
    <row r="3812" spans="1:2" x14ac:dyDescent="0.25">
      <c r="A3812">
        <v>3783</v>
      </c>
      <c r="B3812">
        <v>0.28643922167792091</v>
      </c>
    </row>
    <row r="3813" spans="1:2" x14ac:dyDescent="0.25">
      <c r="A3813">
        <v>3784</v>
      </c>
      <c r="B3813">
        <v>6.2412375405374365E-2</v>
      </c>
    </row>
    <row r="3814" spans="1:2" x14ac:dyDescent="0.25">
      <c r="A3814">
        <v>3785</v>
      </c>
      <c r="B3814">
        <v>0.15998293356513671</v>
      </c>
    </row>
    <row r="3815" spans="1:2" x14ac:dyDescent="0.25">
      <c r="A3815">
        <v>3786</v>
      </c>
      <c r="B3815">
        <v>0.13303067812325373</v>
      </c>
    </row>
    <row r="3816" spans="1:2" x14ac:dyDescent="0.25">
      <c r="A3816">
        <v>3787</v>
      </c>
      <c r="B3816">
        <v>0.19327373592260344</v>
      </c>
    </row>
    <row r="3817" spans="1:2" x14ac:dyDescent="0.25">
      <c r="A3817">
        <v>3788</v>
      </c>
      <c r="B3817">
        <v>9.8971039061689484E-2</v>
      </c>
    </row>
    <row r="3818" spans="1:2" x14ac:dyDescent="0.25">
      <c r="A3818">
        <v>3789</v>
      </c>
      <c r="B3818">
        <v>5.1455268467295312E-2</v>
      </c>
    </row>
    <row r="3819" spans="1:2" x14ac:dyDescent="0.25">
      <c r="A3819">
        <v>3790</v>
      </c>
      <c r="B3819">
        <v>4.5072692408380528E-2</v>
      </c>
    </row>
    <row r="3820" spans="1:2" x14ac:dyDescent="0.25">
      <c r="A3820">
        <v>3791</v>
      </c>
      <c r="B3820">
        <v>0.20877282585737761</v>
      </c>
    </row>
    <row r="3821" spans="1:2" x14ac:dyDescent="0.25">
      <c r="A3821">
        <v>3792</v>
      </c>
      <c r="B3821">
        <v>0.18087884772597468</v>
      </c>
    </row>
    <row r="3822" spans="1:2" x14ac:dyDescent="0.25">
      <c r="A3822">
        <v>3793</v>
      </c>
      <c r="B3822">
        <v>0.12779986617288924</v>
      </c>
    </row>
    <row r="3823" spans="1:2" x14ac:dyDescent="0.25">
      <c r="A3823">
        <v>3794</v>
      </c>
      <c r="B3823">
        <v>4.0605849838398905E-2</v>
      </c>
    </row>
    <row r="3824" spans="1:2" x14ac:dyDescent="0.25">
      <c r="A3824">
        <v>3795</v>
      </c>
      <c r="B3824">
        <v>0.29981642075031772</v>
      </c>
    </row>
    <row r="3825" spans="1:2" x14ac:dyDescent="0.25">
      <c r="A3825">
        <v>3796</v>
      </c>
      <c r="B3825">
        <v>9.9013563951000846E-2</v>
      </c>
    </row>
    <row r="3826" spans="1:2" x14ac:dyDescent="0.25">
      <c r="A3826">
        <v>3797</v>
      </c>
      <c r="B3826">
        <v>0.13990480820931275</v>
      </c>
    </row>
    <row r="3827" spans="1:2" x14ac:dyDescent="0.25">
      <c r="A3827">
        <v>3798</v>
      </c>
      <c r="B3827">
        <v>0.43960571989843639</v>
      </c>
    </row>
    <row r="3828" spans="1:2" x14ac:dyDescent="0.25">
      <c r="A3828">
        <v>3799</v>
      </c>
      <c r="B3828">
        <v>9.9501017699385616E-2</v>
      </c>
    </row>
    <row r="3829" spans="1:2" x14ac:dyDescent="0.25">
      <c r="A3829">
        <v>3800</v>
      </c>
      <c r="B3829">
        <v>0.25668295821803122</v>
      </c>
    </row>
    <row r="3830" spans="1:2" x14ac:dyDescent="0.25">
      <c r="A3830">
        <v>3801</v>
      </c>
      <c r="B3830">
        <v>0.13062517204998136</v>
      </c>
    </row>
    <row r="3831" spans="1:2" x14ac:dyDescent="0.25">
      <c r="A3831">
        <v>3802</v>
      </c>
      <c r="B3831">
        <v>0.49521251626058543</v>
      </c>
    </row>
    <row r="3832" spans="1:2" x14ac:dyDescent="0.25">
      <c r="A3832">
        <v>3803</v>
      </c>
      <c r="B3832">
        <v>0.10284483065791622</v>
      </c>
    </row>
    <row r="3833" spans="1:2" x14ac:dyDescent="0.25">
      <c r="A3833">
        <v>3804</v>
      </c>
      <c r="B3833">
        <v>0.19782264269364208</v>
      </c>
    </row>
    <row r="3834" spans="1:2" x14ac:dyDescent="0.25">
      <c r="A3834">
        <v>3805</v>
      </c>
      <c r="B3834">
        <v>0.24352778603645919</v>
      </c>
    </row>
    <row r="3835" spans="1:2" x14ac:dyDescent="0.25">
      <c r="A3835">
        <v>3806</v>
      </c>
      <c r="B3835">
        <v>0.61516565847255267</v>
      </c>
    </row>
    <row r="3836" spans="1:2" x14ac:dyDescent="0.25">
      <c r="A3836">
        <v>3807</v>
      </c>
      <c r="B3836">
        <v>0.10696201458898004</v>
      </c>
    </row>
    <row r="3837" spans="1:2" x14ac:dyDescent="0.25">
      <c r="A3837">
        <v>3808</v>
      </c>
      <c r="B3837">
        <v>5.8544151013189896E-2</v>
      </c>
    </row>
    <row r="3838" spans="1:2" x14ac:dyDescent="0.25">
      <c r="A3838">
        <v>3809</v>
      </c>
      <c r="B3838">
        <v>6.3756954125916185E-2</v>
      </c>
    </row>
    <row r="3839" spans="1:2" x14ac:dyDescent="0.25">
      <c r="A3839">
        <v>3810</v>
      </c>
      <c r="B3839">
        <v>9.268983705280387E-2</v>
      </c>
    </row>
    <row r="3840" spans="1:2" x14ac:dyDescent="0.25">
      <c r="A3840">
        <v>3811</v>
      </c>
      <c r="B3840">
        <v>0.11599040171053229</v>
      </c>
    </row>
    <row r="3841" spans="1:2" x14ac:dyDescent="0.25">
      <c r="A3841">
        <v>3812</v>
      </c>
      <c r="B3841">
        <v>0.17361876834142712</v>
      </c>
    </row>
    <row r="3842" spans="1:2" x14ac:dyDescent="0.25">
      <c r="A3842">
        <v>3813</v>
      </c>
      <c r="B3842">
        <v>0.68843864543458766</v>
      </c>
    </row>
    <row r="3843" spans="1:2" x14ac:dyDescent="0.25">
      <c r="A3843">
        <v>3814</v>
      </c>
      <c r="B3843">
        <v>6.6062981358120026E-2</v>
      </c>
    </row>
    <row r="3844" spans="1:2" x14ac:dyDescent="0.25">
      <c r="A3844">
        <v>3815</v>
      </c>
      <c r="B3844">
        <v>0.20208740579614748</v>
      </c>
    </row>
    <row r="3845" spans="1:2" x14ac:dyDescent="0.25">
      <c r="A3845">
        <v>3816</v>
      </c>
      <c r="B3845">
        <v>0.14038087472561325</v>
      </c>
    </row>
    <row r="3846" spans="1:2" x14ac:dyDescent="0.25">
      <c r="A3846">
        <v>3817</v>
      </c>
      <c r="B3846">
        <v>0.18151717329797848</v>
      </c>
    </row>
    <row r="3847" spans="1:2" x14ac:dyDescent="0.25">
      <c r="A3847">
        <v>3818</v>
      </c>
      <c r="B3847">
        <v>7.0085748037770471E-2</v>
      </c>
    </row>
    <row r="3848" spans="1:2" x14ac:dyDescent="0.25">
      <c r="A3848">
        <v>3819</v>
      </c>
      <c r="B3848">
        <v>0.15402231786267787</v>
      </c>
    </row>
    <row r="3849" spans="1:2" x14ac:dyDescent="0.25">
      <c r="A3849">
        <v>3820</v>
      </c>
      <c r="B3849">
        <v>0.3648011429906815</v>
      </c>
    </row>
    <row r="3850" spans="1:2" x14ac:dyDescent="0.25">
      <c r="A3850">
        <v>3821</v>
      </c>
      <c r="B3850">
        <v>0.10264207611094144</v>
      </c>
    </row>
    <row r="3851" spans="1:2" x14ac:dyDescent="0.25">
      <c r="A3851">
        <v>3822</v>
      </c>
      <c r="B3851">
        <v>0.15276581547153884</v>
      </c>
    </row>
    <row r="3852" spans="1:2" x14ac:dyDescent="0.25">
      <c r="A3852">
        <v>3823</v>
      </c>
      <c r="B3852">
        <v>9.3843327302493271E-2</v>
      </c>
    </row>
    <row r="3853" spans="1:2" x14ac:dyDescent="0.25">
      <c r="A3853">
        <v>3824</v>
      </c>
      <c r="B3853">
        <v>0.20001289532035124</v>
      </c>
    </row>
    <row r="3854" spans="1:2" x14ac:dyDescent="0.25">
      <c r="A3854">
        <v>3825</v>
      </c>
      <c r="B3854">
        <v>0.18118288083038184</v>
      </c>
    </row>
    <row r="3855" spans="1:2" x14ac:dyDescent="0.25">
      <c r="A3855">
        <v>3826</v>
      </c>
      <c r="B3855">
        <v>0.16012310243331851</v>
      </c>
    </row>
    <row r="3856" spans="1:2" x14ac:dyDescent="0.25">
      <c r="A3856">
        <v>3827</v>
      </c>
      <c r="B3856">
        <v>7.9680423997770866E-2</v>
      </c>
    </row>
    <row r="3857" spans="1:2" x14ac:dyDescent="0.25">
      <c r="A3857">
        <v>3828</v>
      </c>
      <c r="B3857">
        <v>0.72894601544429127</v>
      </c>
    </row>
    <row r="3858" spans="1:2" x14ac:dyDescent="0.25">
      <c r="A3858">
        <v>3829</v>
      </c>
      <c r="B3858">
        <v>6.5532995179950232E-2</v>
      </c>
    </row>
    <row r="3859" spans="1:2" x14ac:dyDescent="0.25">
      <c r="A3859">
        <v>3830</v>
      </c>
      <c r="B3859">
        <v>0.12265656617359155</v>
      </c>
    </row>
    <row r="3860" spans="1:2" x14ac:dyDescent="0.25">
      <c r="A3860">
        <v>3831</v>
      </c>
      <c r="B3860">
        <v>3.3121408849091927E-2</v>
      </c>
    </row>
    <row r="3861" spans="1:2" x14ac:dyDescent="0.25">
      <c r="A3861">
        <v>3832</v>
      </c>
      <c r="B3861">
        <v>0.23069082123479717</v>
      </c>
    </row>
    <row r="3862" spans="1:2" x14ac:dyDescent="0.25">
      <c r="A3862">
        <v>3833</v>
      </c>
      <c r="B3862">
        <v>0.20076662757467162</v>
      </c>
    </row>
    <row r="3863" spans="1:2" x14ac:dyDescent="0.25">
      <c r="A3863">
        <v>3834</v>
      </c>
      <c r="B3863">
        <v>0.21268197176748782</v>
      </c>
    </row>
    <row r="3864" spans="1:2" x14ac:dyDescent="0.25">
      <c r="A3864">
        <v>3835</v>
      </c>
      <c r="B3864">
        <v>0.54440709530236053</v>
      </c>
    </row>
    <row r="3865" spans="1:2" x14ac:dyDescent="0.25">
      <c r="A3865">
        <v>3836</v>
      </c>
      <c r="B3865">
        <v>0.32526628958762865</v>
      </c>
    </row>
    <row r="3866" spans="1:2" x14ac:dyDescent="0.25">
      <c r="A3866">
        <v>3837</v>
      </c>
      <c r="B3866">
        <v>0.19357275625339693</v>
      </c>
    </row>
    <row r="3867" spans="1:2" x14ac:dyDescent="0.25">
      <c r="A3867">
        <v>3838</v>
      </c>
      <c r="B3867">
        <v>0.17476297936491583</v>
      </c>
    </row>
    <row r="3868" spans="1:2" x14ac:dyDescent="0.25">
      <c r="A3868">
        <v>3839</v>
      </c>
      <c r="B3868">
        <v>0.10319923042482322</v>
      </c>
    </row>
    <row r="3869" spans="1:2" x14ac:dyDescent="0.25">
      <c r="A3869">
        <v>3840</v>
      </c>
      <c r="B3869">
        <v>0.11274455985676977</v>
      </c>
    </row>
    <row r="3870" spans="1:2" x14ac:dyDescent="0.25">
      <c r="A3870">
        <v>3841</v>
      </c>
      <c r="B3870">
        <v>0.11960883761180653</v>
      </c>
    </row>
    <row r="3871" spans="1:2" x14ac:dyDescent="0.25">
      <c r="A3871">
        <v>3842</v>
      </c>
      <c r="B3871">
        <v>6.2615893168982098E-2</v>
      </c>
    </row>
    <row r="3872" spans="1:2" x14ac:dyDescent="0.25">
      <c r="A3872">
        <v>3843</v>
      </c>
      <c r="B3872">
        <v>0.18660301147209124</v>
      </c>
    </row>
    <row r="3873" spans="1:2" x14ac:dyDescent="0.25">
      <c r="A3873">
        <v>3844</v>
      </c>
      <c r="B3873">
        <v>0.27846204883310799</v>
      </c>
    </row>
    <row r="3874" spans="1:2" x14ac:dyDescent="0.25">
      <c r="A3874">
        <v>3845</v>
      </c>
      <c r="B3874">
        <v>0.3372424965393393</v>
      </c>
    </row>
    <row r="3875" spans="1:2" x14ac:dyDescent="0.25">
      <c r="A3875">
        <v>3846</v>
      </c>
      <c r="B3875">
        <v>8.2362536759919336E-2</v>
      </c>
    </row>
    <row r="3876" spans="1:2" x14ac:dyDescent="0.25">
      <c r="A3876">
        <v>3847</v>
      </c>
      <c r="B3876">
        <v>0.20294217903957201</v>
      </c>
    </row>
    <row r="3877" spans="1:2" x14ac:dyDescent="0.25">
      <c r="A3877">
        <v>3848</v>
      </c>
      <c r="B3877">
        <v>0.15526771797035058</v>
      </c>
    </row>
    <row r="3878" spans="1:2" x14ac:dyDescent="0.25">
      <c r="A3878">
        <v>3849</v>
      </c>
      <c r="B3878">
        <v>5.0336082364297027E-2</v>
      </c>
    </row>
    <row r="3879" spans="1:2" x14ac:dyDescent="0.25">
      <c r="A3879">
        <v>3850</v>
      </c>
      <c r="B3879">
        <v>0.13271378229143352</v>
      </c>
    </row>
    <row r="3880" spans="1:2" x14ac:dyDescent="0.25">
      <c r="A3880">
        <v>3851</v>
      </c>
      <c r="B3880">
        <v>3.3442295900672846E-2</v>
      </c>
    </row>
    <row r="3881" spans="1:2" x14ac:dyDescent="0.25">
      <c r="A3881">
        <v>3852</v>
      </c>
      <c r="B3881">
        <v>5.6324975109986811E-2</v>
      </c>
    </row>
    <row r="3882" spans="1:2" x14ac:dyDescent="0.25">
      <c r="A3882">
        <v>3853</v>
      </c>
      <c r="B3882">
        <v>8.4687488949455145E-2</v>
      </c>
    </row>
    <row r="3883" spans="1:2" x14ac:dyDescent="0.25">
      <c r="A3883">
        <v>3854</v>
      </c>
      <c r="B3883">
        <v>4.0541723450614638E-2</v>
      </c>
    </row>
    <row r="3884" spans="1:2" x14ac:dyDescent="0.25">
      <c r="A3884">
        <v>3855</v>
      </c>
      <c r="B3884">
        <v>0.30703482548556049</v>
      </c>
    </row>
    <row r="3885" spans="1:2" x14ac:dyDescent="0.25">
      <c r="A3885">
        <v>3856</v>
      </c>
      <c r="B3885">
        <v>9.8483550659004465E-2</v>
      </c>
    </row>
    <row r="3886" spans="1:2" x14ac:dyDescent="0.25">
      <c r="A3886">
        <v>3857</v>
      </c>
      <c r="B3886">
        <v>0.25861654804584411</v>
      </c>
    </row>
    <row r="3887" spans="1:2" x14ac:dyDescent="0.25">
      <c r="A3887">
        <v>3858</v>
      </c>
      <c r="B3887">
        <v>0.32077467082323585</v>
      </c>
    </row>
    <row r="3888" spans="1:2" x14ac:dyDescent="0.25">
      <c r="A3888">
        <v>3859</v>
      </c>
      <c r="B3888">
        <v>6.4000332120982176E-2</v>
      </c>
    </row>
    <row r="3889" spans="1:2" x14ac:dyDescent="0.25">
      <c r="A3889">
        <v>3860</v>
      </c>
      <c r="B3889">
        <v>0.13025315305161339</v>
      </c>
    </row>
    <row r="3890" spans="1:2" x14ac:dyDescent="0.25">
      <c r="A3890">
        <v>3861</v>
      </c>
      <c r="B3890">
        <v>0.18982655603307816</v>
      </c>
    </row>
    <row r="3891" spans="1:2" x14ac:dyDescent="0.25">
      <c r="A3891">
        <v>3862</v>
      </c>
      <c r="B3891">
        <v>0.11716603164170403</v>
      </c>
    </row>
    <row r="3892" spans="1:2" x14ac:dyDescent="0.25">
      <c r="A3892">
        <v>3863</v>
      </c>
      <c r="B3892">
        <v>9.6872575509706751E-2</v>
      </c>
    </row>
    <row r="3893" spans="1:2" x14ac:dyDescent="0.25">
      <c r="A3893">
        <v>3864</v>
      </c>
      <c r="B3893">
        <v>0.45873435091243114</v>
      </c>
    </row>
    <row r="3894" spans="1:2" x14ac:dyDescent="0.25">
      <c r="A3894">
        <v>3865</v>
      </c>
      <c r="B3894">
        <v>0.24502426964081855</v>
      </c>
    </row>
    <row r="3895" spans="1:2" x14ac:dyDescent="0.25">
      <c r="A3895">
        <v>3866</v>
      </c>
      <c r="B3895">
        <v>0.12688534738394502</v>
      </c>
    </row>
    <row r="3896" spans="1:2" x14ac:dyDescent="0.25">
      <c r="A3896">
        <v>3867</v>
      </c>
      <c r="B3896">
        <v>0.22308508755931661</v>
      </c>
    </row>
    <row r="3897" spans="1:2" x14ac:dyDescent="0.25">
      <c r="A3897">
        <v>3868</v>
      </c>
      <c r="B3897">
        <v>0.1119461345097334</v>
      </c>
    </row>
    <row r="3898" spans="1:2" x14ac:dyDescent="0.25">
      <c r="A3898">
        <v>3869</v>
      </c>
      <c r="B3898">
        <v>0.34733495016774973</v>
      </c>
    </row>
    <row r="3899" spans="1:2" x14ac:dyDescent="0.25">
      <c r="A3899">
        <v>3870</v>
      </c>
      <c r="B3899">
        <v>9.3266390286729672E-2</v>
      </c>
    </row>
    <row r="3900" spans="1:2" x14ac:dyDescent="0.25">
      <c r="A3900">
        <v>3871</v>
      </c>
      <c r="B3900">
        <v>0.42617255170309737</v>
      </c>
    </row>
    <row r="3901" spans="1:2" x14ac:dyDescent="0.25">
      <c r="A3901">
        <v>3872</v>
      </c>
      <c r="B3901">
        <v>5.25403167690114E-2</v>
      </c>
    </row>
    <row r="3902" spans="1:2" x14ac:dyDescent="0.25">
      <c r="A3902">
        <v>3873</v>
      </c>
      <c r="B3902">
        <v>0.35624571717859865</v>
      </c>
    </row>
    <row r="3903" spans="1:2" x14ac:dyDescent="0.25">
      <c r="A3903">
        <v>3874</v>
      </c>
      <c r="B3903">
        <v>0.35413969720135463</v>
      </c>
    </row>
    <row r="3904" spans="1:2" x14ac:dyDescent="0.25">
      <c r="A3904">
        <v>3875</v>
      </c>
      <c r="B3904">
        <v>5.9824903355669909E-2</v>
      </c>
    </row>
    <row r="3905" spans="1:2" x14ac:dyDescent="0.25">
      <c r="A3905">
        <v>3876</v>
      </c>
      <c r="B3905">
        <v>0.14626953831603526</v>
      </c>
    </row>
    <row r="3906" spans="1:2" x14ac:dyDescent="0.25">
      <c r="A3906">
        <v>3877</v>
      </c>
      <c r="B3906">
        <v>0.16918855275482853</v>
      </c>
    </row>
    <row r="3907" spans="1:2" x14ac:dyDescent="0.25">
      <c r="A3907">
        <v>3878</v>
      </c>
      <c r="B3907">
        <v>0.15238906302578056</v>
      </c>
    </row>
    <row r="3908" spans="1:2" x14ac:dyDescent="0.25">
      <c r="A3908">
        <v>3879</v>
      </c>
      <c r="B3908">
        <v>0.18259071515203931</v>
      </c>
    </row>
    <row r="3909" spans="1:2" x14ac:dyDescent="0.25">
      <c r="A3909">
        <v>3880</v>
      </c>
      <c r="B3909">
        <v>0.32241573879523466</v>
      </c>
    </row>
    <row r="3910" spans="1:2" x14ac:dyDescent="0.25">
      <c r="A3910">
        <v>3881</v>
      </c>
      <c r="B3910">
        <v>0.10173642676585297</v>
      </c>
    </row>
    <row r="3911" spans="1:2" x14ac:dyDescent="0.25">
      <c r="A3911">
        <v>3882</v>
      </c>
      <c r="B3911">
        <v>0.44713062372346629</v>
      </c>
    </row>
    <row r="3912" spans="1:2" x14ac:dyDescent="0.25">
      <c r="A3912">
        <v>3883</v>
      </c>
      <c r="B3912">
        <v>0.19393106154890966</v>
      </c>
    </row>
    <row r="3913" spans="1:2" x14ac:dyDescent="0.25">
      <c r="A3913">
        <v>3884</v>
      </c>
      <c r="B3913">
        <v>0.14159369928347695</v>
      </c>
    </row>
    <row r="3914" spans="1:2" x14ac:dyDescent="0.25">
      <c r="A3914">
        <v>3885</v>
      </c>
      <c r="B3914">
        <v>0.12358617249140309</v>
      </c>
    </row>
    <row r="3915" spans="1:2" x14ac:dyDescent="0.25">
      <c r="A3915">
        <v>3886</v>
      </c>
      <c r="B3915">
        <v>0.2038287871312302</v>
      </c>
    </row>
    <row r="3916" spans="1:2" x14ac:dyDescent="0.25">
      <c r="A3916">
        <v>3887</v>
      </c>
      <c r="B3916">
        <v>8.7376655256354283E-2</v>
      </c>
    </row>
    <row r="3917" spans="1:2" x14ac:dyDescent="0.25">
      <c r="A3917">
        <v>3888</v>
      </c>
      <c r="B3917">
        <v>0.19543054917790076</v>
      </c>
    </row>
    <row r="3918" spans="1:2" x14ac:dyDescent="0.25">
      <c r="A3918">
        <v>3889</v>
      </c>
      <c r="B3918">
        <v>1.3208326971886926</v>
      </c>
    </row>
    <row r="3919" spans="1:2" x14ac:dyDescent="0.25">
      <c r="A3919">
        <v>3890</v>
      </c>
      <c r="B3919">
        <v>0.57012374316863068</v>
      </c>
    </row>
    <row r="3920" spans="1:2" x14ac:dyDescent="0.25">
      <c r="A3920">
        <v>3891</v>
      </c>
      <c r="B3920">
        <v>9.6194028534932169E-2</v>
      </c>
    </row>
    <row r="3921" spans="1:2" x14ac:dyDescent="0.25">
      <c r="A3921">
        <v>3892</v>
      </c>
      <c r="B3921">
        <v>0.13028820101175623</v>
      </c>
    </row>
    <row r="3922" spans="1:2" x14ac:dyDescent="0.25">
      <c r="A3922">
        <v>3893</v>
      </c>
      <c r="B3922">
        <v>0.33459010615774065</v>
      </c>
    </row>
    <row r="3923" spans="1:2" x14ac:dyDescent="0.25">
      <c r="A3923">
        <v>3894</v>
      </c>
      <c r="B3923">
        <v>7.8011918741407879E-2</v>
      </c>
    </row>
    <row r="3924" spans="1:2" x14ac:dyDescent="0.25">
      <c r="A3924">
        <v>3895</v>
      </c>
      <c r="B3924">
        <v>0.27676980443424476</v>
      </c>
    </row>
    <row r="3925" spans="1:2" x14ac:dyDescent="0.25">
      <c r="A3925">
        <v>3896</v>
      </c>
      <c r="B3925">
        <v>0.23951810627776146</v>
      </c>
    </row>
    <row r="3926" spans="1:2" x14ac:dyDescent="0.25">
      <c r="A3926">
        <v>3897</v>
      </c>
      <c r="B3926">
        <v>0.39643327369084697</v>
      </c>
    </row>
    <row r="3927" spans="1:2" x14ac:dyDescent="0.25">
      <c r="A3927">
        <v>3898</v>
      </c>
      <c r="B3927">
        <v>0.17636031424427545</v>
      </c>
    </row>
    <row r="3928" spans="1:2" x14ac:dyDescent="0.25">
      <c r="A3928">
        <v>3899</v>
      </c>
      <c r="B3928">
        <v>0.11749057198082573</v>
      </c>
    </row>
    <row r="3929" spans="1:2" x14ac:dyDescent="0.25">
      <c r="A3929">
        <v>3900</v>
      </c>
      <c r="B3929">
        <v>0.15729882323223221</v>
      </c>
    </row>
    <row r="3930" spans="1:2" x14ac:dyDescent="0.25">
      <c r="A3930">
        <v>3901</v>
      </c>
      <c r="B3930">
        <v>0.11968413278827675</v>
      </c>
    </row>
    <row r="3931" spans="1:2" x14ac:dyDescent="0.25">
      <c r="A3931">
        <v>3902</v>
      </c>
      <c r="B3931">
        <v>0.21787432791829864</v>
      </c>
    </row>
    <row r="3932" spans="1:2" x14ac:dyDescent="0.25">
      <c r="A3932">
        <v>3903</v>
      </c>
      <c r="B3932">
        <v>0.69004817203539259</v>
      </c>
    </row>
    <row r="3933" spans="1:2" x14ac:dyDescent="0.25">
      <c r="A3933">
        <v>3904</v>
      </c>
      <c r="B3933">
        <v>5.4427474780490141E-2</v>
      </c>
    </row>
    <row r="3934" spans="1:2" x14ac:dyDescent="0.25">
      <c r="A3934">
        <v>3905</v>
      </c>
      <c r="B3934">
        <v>0.52730526539312039</v>
      </c>
    </row>
    <row r="3935" spans="1:2" x14ac:dyDescent="0.25">
      <c r="A3935">
        <v>3906</v>
      </c>
      <c r="B3935">
        <v>9.8412958277049864E-2</v>
      </c>
    </row>
    <row r="3936" spans="1:2" x14ac:dyDescent="0.25">
      <c r="A3936">
        <v>3907</v>
      </c>
      <c r="B3936">
        <v>0.13758228829286218</v>
      </c>
    </row>
    <row r="3937" spans="1:2" x14ac:dyDescent="0.25">
      <c r="A3937">
        <v>3908</v>
      </c>
      <c r="B3937">
        <v>0.29184743146307901</v>
      </c>
    </row>
    <row r="3938" spans="1:2" x14ac:dyDescent="0.25">
      <c r="A3938">
        <v>3909</v>
      </c>
      <c r="B3938">
        <v>0.10743684008313265</v>
      </c>
    </row>
    <row r="3939" spans="1:2" x14ac:dyDescent="0.25">
      <c r="A3939">
        <v>3910</v>
      </c>
      <c r="B3939">
        <v>8.7571179812292427E-2</v>
      </c>
    </row>
    <row r="3940" spans="1:2" x14ac:dyDescent="0.25">
      <c r="A3940">
        <v>3911</v>
      </c>
      <c r="B3940">
        <v>0.1264666572417337</v>
      </c>
    </row>
    <row r="3941" spans="1:2" x14ac:dyDescent="0.25">
      <c r="A3941">
        <v>3912</v>
      </c>
      <c r="B3941">
        <v>0.10005025742080263</v>
      </c>
    </row>
    <row r="3942" spans="1:2" x14ac:dyDescent="0.25">
      <c r="A3942">
        <v>3913</v>
      </c>
      <c r="B3942">
        <v>8.7741396504396746E-2</v>
      </c>
    </row>
    <row r="3943" spans="1:2" x14ac:dyDescent="0.25">
      <c r="A3943">
        <v>3914</v>
      </c>
      <c r="B3943">
        <v>0.12492086301414368</v>
      </c>
    </row>
    <row r="3944" spans="1:2" x14ac:dyDescent="0.25">
      <c r="A3944">
        <v>3915</v>
      </c>
      <c r="B3944">
        <v>0.25895614172611264</v>
      </c>
    </row>
    <row r="3945" spans="1:2" x14ac:dyDescent="0.25">
      <c r="A3945">
        <v>3916</v>
      </c>
      <c r="B3945">
        <v>0.21407485146536506</v>
      </c>
    </row>
    <row r="3946" spans="1:2" x14ac:dyDescent="0.25">
      <c r="A3946">
        <v>3917</v>
      </c>
      <c r="B3946">
        <v>5.7195405811586157E-2</v>
      </c>
    </row>
    <row r="3947" spans="1:2" x14ac:dyDescent="0.25">
      <c r="A3947">
        <v>3918</v>
      </c>
      <c r="B3947">
        <v>0.16214725566302723</v>
      </c>
    </row>
    <row r="3948" spans="1:2" x14ac:dyDescent="0.25">
      <c r="A3948">
        <v>3919</v>
      </c>
      <c r="B3948">
        <v>8.685567853782461E-2</v>
      </c>
    </row>
    <row r="3949" spans="1:2" x14ac:dyDescent="0.25">
      <c r="A3949">
        <v>3920</v>
      </c>
      <c r="B3949">
        <v>0.15020500602027004</v>
      </c>
    </row>
    <row r="3950" spans="1:2" x14ac:dyDescent="0.25">
      <c r="A3950">
        <v>3921</v>
      </c>
      <c r="B3950">
        <v>0.27816700656885501</v>
      </c>
    </row>
    <row r="3951" spans="1:2" x14ac:dyDescent="0.25">
      <c r="A3951">
        <v>3922</v>
      </c>
      <c r="B3951">
        <v>0.52215946833480686</v>
      </c>
    </row>
    <row r="3952" spans="1:2" x14ac:dyDescent="0.25">
      <c r="A3952">
        <v>3923</v>
      </c>
      <c r="B3952">
        <v>0.17996127559824904</v>
      </c>
    </row>
    <row r="3953" spans="1:2" x14ac:dyDescent="0.25">
      <c r="A3953">
        <v>3924</v>
      </c>
      <c r="B3953">
        <v>8.722221799308251E-2</v>
      </c>
    </row>
    <row r="3954" spans="1:2" x14ac:dyDescent="0.25">
      <c r="A3954">
        <v>3925</v>
      </c>
      <c r="B3954">
        <v>0.25619424256314516</v>
      </c>
    </row>
    <row r="3955" spans="1:2" x14ac:dyDescent="0.25">
      <c r="A3955">
        <v>3926</v>
      </c>
      <c r="B3955">
        <v>0.1920396929234833</v>
      </c>
    </row>
    <row r="3956" spans="1:2" x14ac:dyDescent="0.25">
      <c r="A3956">
        <v>3927</v>
      </c>
      <c r="B3956">
        <v>9.756614131203932E-2</v>
      </c>
    </row>
    <row r="3957" spans="1:2" x14ac:dyDescent="0.25">
      <c r="A3957">
        <v>3928</v>
      </c>
      <c r="B3957">
        <v>0.17506820275490415</v>
      </c>
    </row>
    <row r="3958" spans="1:2" x14ac:dyDescent="0.25">
      <c r="A3958">
        <v>3929</v>
      </c>
      <c r="B3958">
        <v>9.5239216752593947E-2</v>
      </c>
    </row>
    <row r="3959" spans="1:2" x14ac:dyDescent="0.25">
      <c r="A3959">
        <v>3930</v>
      </c>
      <c r="B3959">
        <v>0.23031877940743647</v>
      </c>
    </row>
    <row r="3960" spans="1:2" x14ac:dyDescent="0.25">
      <c r="A3960">
        <v>3931</v>
      </c>
      <c r="B3960">
        <v>0.41643348608801678</v>
      </c>
    </row>
    <row r="3961" spans="1:2" x14ac:dyDescent="0.25">
      <c r="A3961">
        <v>3932</v>
      </c>
      <c r="B3961">
        <v>0.17403380800074911</v>
      </c>
    </row>
    <row r="3962" spans="1:2" x14ac:dyDescent="0.25">
      <c r="A3962">
        <v>3933</v>
      </c>
      <c r="B3962">
        <v>0.30146221980191068</v>
      </c>
    </row>
    <row r="3963" spans="1:2" x14ac:dyDescent="0.25">
      <c r="A3963">
        <v>3934</v>
      </c>
      <c r="B3963">
        <v>0.33064354799199913</v>
      </c>
    </row>
    <row r="3964" spans="1:2" x14ac:dyDescent="0.25">
      <c r="A3964">
        <v>3935</v>
      </c>
      <c r="B3964">
        <v>0.15619869271288608</v>
      </c>
    </row>
    <row r="3965" spans="1:2" x14ac:dyDescent="0.25">
      <c r="A3965">
        <v>3936</v>
      </c>
      <c r="B3965">
        <v>0.21685209099275501</v>
      </c>
    </row>
    <row r="3966" spans="1:2" x14ac:dyDescent="0.25">
      <c r="A3966">
        <v>3937</v>
      </c>
      <c r="B3966">
        <v>6.4499360237872602E-2</v>
      </c>
    </row>
    <row r="3967" spans="1:2" x14ac:dyDescent="0.25">
      <c r="A3967">
        <v>3938</v>
      </c>
      <c r="B3967">
        <v>0.24833040858406805</v>
      </c>
    </row>
    <row r="3968" spans="1:2" x14ac:dyDescent="0.25">
      <c r="A3968">
        <v>3939</v>
      </c>
      <c r="B3968">
        <v>7.0316252385192665E-2</v>
      </c>
    </row>
    <row r="3969" spans="1:2" x14ac:dyDescent="0.25">
      <c r="A3969">
        <v>3940</v>
      </c>
      <c r="B3969">
        <v>0.16517799904933597</v>
      </c>
    </row>
    <row r="3970" spans="1:2" x14ac:dyDescent="0.25">
      <c r="A3970">
        <v>3941</v>
      </c>
      <c r="B3970">
        <v>0.17522803053610916</v>
      </c>
    </row>
    <row r="3971" spans="1:2" x14ac:dyDescent="0.25">
      <c r="A3971">
        <v>3942</v>
      </c>
      <c r="B3971">
        <v>5.343494116641942E-2</v>
      </c>
    </row>
    <row r="3972" spans="1:2" x14ac:dyDescent="0.25">
      <c r="A3972">
        <v>3943</v>
      </c>
      <c r="B3972">
        <v>0.24628826638641027</v>
      </c>
    </row>
    <row r="3973" spans="1:2" x14ac:dyDescent="0.25">
      <c r="A3973">
        <v>3944</v>
      </c>
      <c r="B3973">
        <v>0.34044206009115846</v>
      </c>
    </row>
    <row r="3974" spans="1:2" x14ac:dyDescent="0.25">
      <c r="A3974">
        <v>3945</v>
      </c>
      <c r="B3974">
        <v>0.13240175202577972</v>
      </c>
    </row>
    <row r="3975" spans="1:2" x14ac:dyDescent="0.25">
      <c r="A3975">
        <v>3946</v>
      </c>
      <c r="B3975">
        <v>3.0950585521354265E-2</v>
      </c>
    </row>
    <row r="3976" spans="1:2" x14ac:dyDescent="0.25">
      <c r="A3976">
        <v>3947</v>
      </c>
      <c r="B3976">
        <v>6.9394384384170046E-2</v>
      </c>
    </row>
    <row r="3977" spans="1:2" x14ac:dyDescent="0.25">
      <c r="A3977">
        <v>3948</v>
      </c>
      <c r="B3977">
        <v>0.16809243846595237</v>
      </c>
    </row>
    <row r="3978" spans="1:2" x14ac:dyDescent="0.25">
      <c r="A3978">
        <v>3949</v>
      </c>
      <c r="B3978">
        <v>0.16033364038898862</v>
      </c>
    </row>
    <row r="3979" spans="1:2" x14ac:dyDescent="0.25">
      <c r="A3979">
        <v>3950</v>
      </c>
      <c r="B3979">
        <v>0.37259217988164611</v>
      </c>
    </row>
    <row r="3980" spans="1:2" x14ac:dyDescent="0.25">
      <c r="A3980">
        <v>3951</v>
      </c>
      <c r="B3980">
        <v>0.19831736770383301</v>
      </c>
    </row>
    <row r="3981" spans="1:2" x14ac:dyDescent="0.25">
      <c r="A3981">
        <v>3952</v>
      </c>
      <c r="B3981">
        <v>0.26746816276210633</v>
      </c>
    </row>
    <row r="3982" spans="1:2" x14ac:dyDescent="0.25">
      <c r="A3982">
        <v>3953</v>
      </c>
      <c r="B3982">
        <v>0.13561583231044788</v>
      </c>
    </row>
    <row r="3983" spans="1:2" x14ac:dyDescent="0.25">
      <c r="A3983">
        <v>3954</v>
      </c>
      <c r="B3983">
        <v>9.9160078317143324E-2</v>
      </c>
    </row>
    <row r="3984" spans="1:2" x14ac:dyDescent="0.25">
      <c r="A3984">
        <v>3955</v>
      </c>
      <c r="B3984">
        <v>0.17754202042810374</v>
      </c>
    </row>
    <row r="3985" spans="1:2" x14ac:dyDescent="0.25">
      <c r="A3985">
        <v>3956</v>
      </c>
      <c r="B3985">
        <v>8.5914926522860355E-2</v>
      </c>
    </row>
    <row r="3986" spans="1:2" x14ac:dyDescent="0.25">
      <c r="A3986">
        <v>3957</v>
      </c>
      <c r="B3986">
        <v>0.1715610397237198</v>
      </c>
    </row>
    <row r="3987" spans="1:2" x14ac:dyDescent="0.25">
      <c r="A3987">
        <v>3958</v>
      </c>
      <c r="B3987">
        <v>0.18661117988302714</v>
      </c>
    </row>
    <row r="3988" spans="1:2" x14ac:dyDescent="0.25">
      <c r="A3988">
        <v>3959</v>
      </c>
      <c r="B3988">
        <v>0.1581667204401131</v>
      </c>
    </row>
    <row r="3989" spans="1:2" x14ac:dyDescent="0.25">
      <c r="A3989">
        <v>3960</v>
      </c>
      <c r="B3989">
        <v>0.24670409292129269</v>
      </c>
    </row>
    <row r="3990" spans="1:2" x14ac:dyDescent="0.25">
      <c r="A3990">
        <v>3961</v>
      </c>
      <c r="B3990">
        <v>0.42082104569938161</v>
      </c>
    </row>
    <row r="3991" spans="1:2" x14ac:dyDescent="0.25">
      <c r="A3991">
        <v>3962</v>
      </c>
      <c r="B3991">
        <v>0.1886853417436091</v>
      </c>
    </row>
    <row r="3992" spans="1:2" x14ac:dyDescent="0.25">
      <c r="A3992">
        <v>3963</v>
      </c>
      <c r="B3992">
        <v>0.19851112820889982</v>
      </c>
    </row>
    <row r="3993" spans="1:2" x14ac:dyDescent="0.25">
      <c r="A3993">
        <v>3964</v>
      </c>
      <c r="B3993">
        <v>0.37021693689584151</v>
      </c>
    </row>
    <row r="3994" spans="1:2" x14ac:dyDescent="0.25">
      <c r="A3994">
        <v>3965</v>
      </c>
      <c r="B3994">
        <v>0.28175872831122895</v>
      </c>
    </row>
    <row r="3995" spans="1:2" x14ac:dyDescent="0.25">
      <c r="A3995">
        <v>3966</v>
      </c>
      <c r="B3995">
        <v>0.43899009932687283</v>
      </c>
    </row>
    <row r="3996" spans="1:2" x14ac:dyDescent="0.25">
      <c r="A3996">
        <v>3967</v>
      </c>
      <c r="B3996">
        <v>0.30057657555019496</v>
      </c>
    </row>
    <row r="3997" spans="1:2" x14ac:dyDescent="0.25">
      <c r="A3997">
        <v>3968</v>
      </c>
      <c r="B3997">
        <v>0.12830215468205969</v>
      </c>
    </row>
    <row r="3998" spans="1:2" x14ac:dyDescent="0.25">
      <c r="A3998">
        <v>3969</v>
      </c>
      <c r="B3998">
        <v>0.17926099295235146</v>
      </c>
    </row>
    <row r="3999" spans="1:2" x14ac:dyDescent="0.25">
      <c r="A3999">
        <v>3970</v>
      </c>
      <c r="B3999">
        <v>0.85448018965062578</v>
      </c>
    </row>
    <row r="4000" spans="1:2" x14ac:dyDescent="0.25">
      <c r="A4000">
        <v>3971</v>
      </c>
      <c r="B4000">
        <v>5.473809051241952E-2</v>
      </c>
    </row>
    <row r="4001" spans="1:2" x14ac:dyDescent="0.25">
      <c r="A4001">
        <v>3972</v>
      </c>
      <c r="B4001">
        <v>0.29168083970423048</v>
      </c>
    </row>
    <row r="4002" spans="1:2" x14ac:dyDescent="0.25">
      <c r="A4002">
        <v>3973</v>
      </c>
      <c r="B4002">
        <v>0.40279725518663884</v>
      </c>
    </row>
    <row r="4003" spans="1:2" x14ac:dyDescent="0.25">
      <c r="A4003">
        <v>3974</v>
      </c>
      <c r="B4003">
        <v>0.16745050102360179</v>
      </c>
    </row>
    <row r="4004" spans="1:2" x14ac:dyDescent="0.25">
      <c r="A4004">
        <v>3975</v>
      </c>
      <c r="B4004">
        <v>0.17536060538135972</v>
      </c>
    </row>
    <row r="4005" spans="1:2" x14ac:dyDescent="0.25">
      <c r="A4005">
        <v>3976</v>
      </c>
      <c r="B4005">
        <v>0.11292035362997066</v>
      </c>
    </row>
    <row r="4006" spans="1:2" x14ac:dyDescent="0.25">
      <c r="A4006">
        <v>3977</v>
      </c>
      <c r="B4006">
        <v>0.10149764861952522</v>
      </c>
    </row>
    <row r="4007" spans="1:2" x14ac:dyDescent="0.25">
      <c r="A4007">
        <v>3978</v>
      </c>
      <c r="B4007">
        <v>0.39156679805336109</v>
      </c>
    </row>
    <row r="4008" spans="1:2" x14ac:dyDescent="0.25">
      <c r="A4008">
        <v>3979</v>
      </c>
      <c r="B4008">
        <v>4.6797759689179853E-2</v>
      </c>
    </row>
    <row r="4009" spans="1:2" x14ac:dyDescent="0.25">
      <c r="A4009">
        <v>3980</v>
      </c>
      <c r="B4009">
        <v>0.61939102370007837</v>
      </c>
    </row>
    <row r="4010" spans="1:2" x14ac:dyDescent="0.25">
      <c r="A4010">
        <v>3981</v>
      </c>
      <c r="B4010">
        <v>0.14244788161193914</v>
      </c>
    </row>
    <row r="4011" spans="1:2" x14ac:dyDescent="0.25">
      <c r="A4011">
        <v>3982</v>
      </c>
      <c r="B4011">
        <v>0.13534243884190161</v>
      </c>
    </row>
    <row r="4012" spans="1:2" x14ac:dyDescent="0.25">
      <c r="A4012">
        <v>3983</v>
      </c>
      <c r="B4012">
        <v>0.26765273445171006</v>
      </c>
    </row>
    <row r="4013" spans="1:2" x14ac:dyDescent="0.25">
      <c r="A4013">
        <v>3984</v>
      </c>
      <c r="B4013">
        <v>0.11686535506995953</v>
      </c>
    </row>
    <row r="4014" spans="1:2" x14ac:dyDescent="0.25">
      <c r="A4014">
        <v>3985</v>
      </c>
      <c r="B4014">
        <v>0.14668903767403338</v>
      </c>
    </row>
    <row r="4015" spans="1:2" x14ac:dyDescent="0.25">
      <c r="A4015">
        <v>3986</v>
      </c>
      <c r="B4015">
        <v>0.39464782503679635</v>
      </c>
    </row>
    <row r="4016" spans="1:2" x14ac:dyDescent="0.25">
      <c r="A4016">
        <v>3987</v>
      </c>
      <c r="B4016">
        <v>0.11986338230730482</v>
      </c>
    </row>
    <row r="4017" spans="1:2" x14ac:dyDescent="0.25">
      <c r="A4017">
        <v>3988</v>
      </c>
      <c r="B4017">
        <v>0.24318302010066442</v>
      </c>
    </row>
    <row r="4018" spans="1:2" x14ac:dyDescent="0.25">
      <c r="A4018">
        <v>3989</v>
      </c>
      <c r="B4018">
        <v>0.23928577019395486</v>
      </c>
    </row>
    <row r="4019" spans="1:2" x14ac:dyDescent="0.25">
      <c r="A4019">
        <v>3990</v>
      </c>
      <c r="B4019">
        <v>1.2990165710255441</v>
      </c>
    </row>
    <row r="4020" spans="1:2" x14ac:dyDescent="0.25">
      <c r="A4020">
        <v>3991</v>
      </c>
      <c r="B4020">
        <v>0.14663459773267429</v>
      </c>
    </row>
    <row r="4021" spans="1:2" x14ac:dyDescent="0.25">
      <c r="A4021">
        <v>3992</v>
      </c>
      <c r="B4021">
        <v>6.5680308574378107E-2</v>
      </c>
    </row>
    <row r="4022" spans="1:2" x14ac:dyDescent="0.25">
      <c r="A4022">
        <v>3993</v>
      </c>
      <c r="B4022">
        <v>0.18590144463151509</v>
      </c>
    </row>
    <row r="4023" spans="1:2" x14ac:dyDescent="0.25">
      <c r="A4023">
        <v>3994</v>
      </c>
      <c r="B4023">
        <v>0.52580783934412378</v>
      </c>
    </row>
    <row r="4024" spans="1:2" x14ac:dyDescent="0.25">
      <c r="A4024">
        <v>3995</v>
      </c>
      <c r="B4024">
        <v>0.44167261215682002</v>
      </c>
    </row>
    <row r="4025" spans="1:2" x14ac:dyDescent="0.25">
      <c r="A4025">
        <v>3996</v>
      </c>
      <c r="B4025">
        <v>0.18630661275711979</v>
      </c>
    </row>
    <row r="4026" spans="1:2" x14ac:dyDescent="0.25">
      <c r="A4026">
        <v>3997</v>
      </c>
      <c r="B4026">
        <v>0.28032444123192302</v>
      </c>
    </row>
    <row r="4027" spans="1:2" x14ac:dyDescent="0.25">
      <c r="A4027">
        <v>3998</v>
      </c>
      <c r="B4027">
        <v>0.26293257479329984</v>
      </c>
    </row>
    <row r="4028" spans="1:2" x14ac:dyDescent="0.25">
      <c r="A4028">
        <v>3999</v>
      </c>
      <c r="B4028">
        <v>0.38700116076228031</v>
      </c>
    </row>
    <row r="4029" spans="1:2" x14ac:dyDescent="0.25">
      <c r="A4029">
        <v>4000</v>
      </c>
      <c r="B4029">
        <v>0.22171473101259576</v>
      </c>
    </row>
    <row r="4030" spans="1:2" x14ac:dyDescent="0.25">
      <c r="A4030">
        <v>4001</v>
      </c>
      <c r="B4030">
        <v>0.16953387154320748</v>
      </c>
    </row>
    <row r="4031" spans="1:2" x14ac:dyDescent="0.25">
      <c r="A4031">
        <v>4002</v>
      </c>
      <c r="B4031">
        <v>0.14483356446495985</v>
      </c>
    </row>
    <row r="4032" spans="1:2" x14ac:dyDescent="0.25">
      <c r="A4032">
        <v>4003</v>
      </c>
      <c r="B4032">
        <v>5.7680216872224167E-2</v>
      </c>
    </row>
    <row r="4033" spans="1:2" x14ac:dyDescent="0.25">
      <c r="A4033">
        <v>4004</v>
      </c>
      <c r="B4033">
        <v>0.14439176017524874</v>
      </c>
    </row>
    <row r="4034" spans="1:2" x14ac:dyDescent="0.25">
      <c r="A4034">
        <v>4005</v>
      </c>
      <c r="B4034">
        <v>0.15519239197403728</v>
      </c>
    </row>
    <row r="4035" spans="1:2" x14ac:dyDescent="0.25">
      <c r="A4035">
        <v>4006</v>
      </c>
      <c r="B4035">
        <v>0.3067589624584004</v>
      </c>
    </row>
    <row r="4036" spans="1:2" x14ac:dyDescent="0.25">
      <c r="A4036">
        <v>4007</v>
      </c>
      <c r="B4036">
        <v>0.31656657178622188</v>
      </c>
    </row>
    <row r="4037" spans="1:2" x14ac:dyDescent="0.25">
      <c r="A4037">
        <v>4008</v>
      </c>
      <c r="B4037">
        <v>0.25540293019707871</v>
      </c>
    </row>
    <row r="4038" spans="1:2" x14ac:dyDescent="0.25">
      <c r="A4038">
        <v>4009</v>
      </c>
      <c r="B4038">
        <v>0.22688540889092806</v>
      </c>
    </row>
    <row r="4039" spans="1:2" x14ac:dyDescent="0.25">
      <c r="A4039">
        <v>4010</v>
      </c>
      <c r="B4039">
        <v>0.22782150679387461</v>
      </c>
    </row>
    <row r="4040" spans="1:2" x14ac:dyDescent="0.25">
      <c r="A4040">
        <v>4011</v>
      </c>
      <c r="B4040">
        <v>0.12162992457807373</v>
      </c>
    </row>
    <row r="4041" spans="1:2" x14ac:dyDescent="0.25">
      <c r="A4041">
        <v>4012</v>
      </c>
      <c r="B4041">
        <v>4.5324960791323698E-2</v>
      </c>
    </row>
    <row r="4042" spans="1:2" x14ac:dyDescent="0.25">
      <c r="A4042">
        <v>4013</v>
      </c>
      <c r="B4042">
        <v>0.28494770944104064</v>
      </c>
    </row>
    <row r="4043" spans="1:2" x14ac:dyDescent="0.25">
      <c r="A4043">
        <v>4014</v>
      </c>
      <c r="B4043">
        <v>0.12854899463522268</v>
      </c>
    </row>
    <row r="4044" spans="1:2" x14ac:dyDescent="0.25">
      <c r="A4044">
        <v>4015</v>
      </c>
      <c r="B4044">
        <v>2.763889720551559E-2</v>
      </c>
    </row>
    <row r="4045" spans="1:2" x14ac:dyDescent="0.25">
      <c r="A4045">
        <v>4016</v>
      </c>
      <c r="B4045">
        <v>7.5422460675086594E-2</v>
      </c>
    </row>
    <row r="4046" spans="1:2" x14ac:dyDescent="0.25">
      <c r="A4046">
        <v>4017</v>
      </c>
      <c r="B4046">
        <v>5.6740029383896412E-2</v>
      </c>
    </row>
    <row r="4047" spans="1:2" x14ac:dyDescent="0.25">
      <c r="A4047">
        <v>4018</v>
      </c>
      <c r="B4047">
        <v>0.35386925608818209</v>
      </c>
    </row>
    <row r="4048" spans="1:2" x14ac:dyDescent="0.25">
      <c r="A4048">
        <v>4019</v>
      </c>
      <c r="B4048">
        <v>9.7391420624244926E-2</v>
      </c>
    </row>
    <row r="4049" spans="1:2" x14ac:dyDescent="0.25">
      <c r="A4049">
        <v>4020</v>
      </c>
      <c r="B4049">
        <v>8.3168232679767307E-2</v>
      </c>
    </row>
    <row r="4050" spans="1:2" x14ac:dyDescent="0.25">
      <c r="A4050">
        <v>4021</v>
      </c>
      <c r="B4050">
        <v>0.11414661969157984</v>
      </c>
    </row>
    <row r="4051" spans="1:2" x14ac:dyDescent="0.25">
      <c r="A4051">
        <v>4022</v>
      </c>
      <c r="B4051">
        <v>0.49877974810277564</v>
      </c>
    </row>
    <row r="4052" spans="1:2" x14ac:dyDescent="0.25">
      <c r="A4052">
        <v>4023</v>
      </c>
      <c r="B4052">
        <v>0.24255956397794554</v>
      </c>
    </row>
    <row r="4053" spans="1:2" x14ac:dyDescent="0.25">
      <c r="A4053">
        <v>4024</v>
      </c>
      <c r="B4053">
        <v>0.1836976454601762</v>
      </c>
    </row>
    <row r="4054" spans="1:2" x14ac:dyDescent="0.25">
      <c r="A4054">
        <v>4025</v>
      </c>
      <c r="B4054">
        <v>0.52946698870961684</v>
      </c>
    </row>
    <row r="4055" spans="1:2" x14ac:dyDescent="0.25">
      <c r="A4055">
        <v>4026</v>
      </c>
      <c r="B4055">
        <v>0.1210472577387368</v>
      </c>
    </row>
    <row r="4056" spans="1:2" x14ac:dyDescent="0.25">
      <c r="A4056">
        <v>4027</v>
      </c>
      <c r="B4056">
        <v>0.18934134242376091</v>
      </c>
    </row>
    <row r="4057" spans="1:2" x14ac:dyDescent="0.25">
      <c r="A4057">
        <v>4028</v>
      </c>
      <c r="B4057">
        <v>0.22627682814587785</v>
      </c>
    </row>
    <row r="4058" spans="1:2" x14ac:dyDescent="0.25">
      <c r="A4058">
        <v>4029</v>
      </c>
      <c r="B4058">
        <v>0.26798563010961607</v>
      </c>
    </row>
    <row r="4059" spans="1:2" x14ac:dyDescent="0.25">
      <c r="A4059">
        <v>4030</v>
      </c>
      <c r="B4059">
        <v>0.20987887764762725</v>
      </c>
    </row>
    <row r="4060" spans="1:2" x14ac:dyDescent="0.25">
      <c r="A4060">
        <v>4031</v>
      </c>
      <c r="B4060">
        <v>6.2930566305079483E-2</v>
      </c>
    </row>
    <row r="4061" spans="1:2" x14ac:dyDescent="0.25">
      <c r="A4061">
        <v>4032</v>
      </c>
      <c r="B4061">
        <v>0.19961099954119327</v>
      </c>
    </row>
    <row r="4062" spans="1:2" x14ac:dyDescent="0.25">
      <c r="A4062">
        <v>4033</v>
      </c>
      <c r="B4062">
        <v>8.3484781670616973E-2</v>
      </c>
    </row>
    <row r="4063" spans="1:2" x14ac:dyDescent="0.25">
      <c r="A4063">
        <v>4034</v>
      </c>
      <c r="B4063">
        <v>0.39575823445789055</v>
      </c>
    </row>
    <row r="4064" spans="1:2" x14ac:dyDescent="0.25">
      <c r="A4064">
        <v>4035</v>
      </c>
      <c r="B4064">
        <v>8.1667853236777915E-2</v>
      </c>
    </row>
    <row r="4065" spans="1:2" x14ac:dyDescent="0.25">
      <c r="A4065">
        <v>4036</v>
      </c>
      <c r="B4065">
        <v>9.6554245223612084E-2</v>
      </c>
    </row>
    <row r="4066" spans="1:2" x14ac:dyDescent="0.25">
      <c r="A4066">
        <v>4037</v>
      </c>
      <c r="B4066">
        <v>9.8396622229884434E-2</v>
      </c>
    </row>
    <row r="4067" spans="1:2" x14ac:dyDescent="0.25">
      <c r="A4067">
        <v>4038</v>
      </c>
      <c r="B4067">
        <v>0.12558527455626251</v>
      </c>
    </row>
    <row r="4068" spans="1:2" x14ac:dyDescent="0.25">
      <c r="A4068">
        <v>4039</v>
      </c>
      <c r="B4068">
        <v>0.14869540318805113</v>
      </c>
    </row>
    <row r="4069" spans="1:2" x14ac:dyDescent="0.25">
      <c r="A4069">
        <v>4040</v>
      </c>
      <c r="B4069">
        <v>0.15991955652998177</v>
      </c>
    </row>
    <row r="4070" spans="1:2" x14ac:dyDescent="0.25">
      <c r="A4070">
        <v>4041</v>
      </c>
      <c r="B4070">
        <v>0.1496963398935314</v>
      </c>
    </row>
    <row r="4071" spans="1:2" x14ac:dyDescent="0.25">
      <c r="A4071">
        <v>4042</v>
      </c>
      <c r="B4071">
        <v>0.16829949435945474</v>
      </c>
    </row>
    <row r="4072" spans="1:2" x14ac:dyDescent="0.25">
      <c r="A4072">
        <v>4043</v>
      </c>
      <c r="B4072">
        <v>0.52615397173406064</v>
      </c>
    </row>
    <row r="4073" spans="1:2" x14ac:dyDescent="0.25">
      <c r="A4073">
        <v>4044</v>
      </c>
      <c r="B4073">
        <v>0.26815667225952233</v>
      </c>
    </row>
    <row r="4074" spans="1:2" x14ac:dyDescent="0.25">
      <c r="A4074">
        <v>4045</v>
      </c>
      <c r="B4074">
        <v>0.14442657045203117</v>
      </c>
    </row>
    <row r="4075" spans="1:2" x14ac:dyDescent="0.25">
      <c r="A4075">
        <v>4046</v>
      </c>
      <c r="B4075">
        <v>0.22907690905778574</v>
      </c>
    </row>
    <row r="4076" spans="1:2" x14ac:dyDescent="0.25">
      <c r="A4076">
        <v>4047</v>
      </c>
      <c r="B4076">
        <v>0.14869837490002766</v>
      </c>
    </row>
    <row r="4077" spans="1:2" x14ac:dyDescent="0.25">
      <c r="A4077">
        <v>4048</v>
      </c>
      <c r="B4077">
        <v>3.4769783712598069E-2</v>
      </c>
    </row>
    <row r="4078" spans="1:2" x14ac:dyDescent="0.25">
      <c r="A4078">
        <v>4049</v>
      </c>
      <c r="B4078">
        <v>0.17567765711922687</v>
      </c>
    </row>
    <row r="4079" spans="1:2" x14ac:dyDescent="0.25">
      <c r="A4079">
        <v>4050</v>
      </c>
      <c r="B4079">
        <v>0.11245653361368375</v>
      </c>
    </row>
    <row r="4080" spans="1:2" x14ac:dyDescent="0.25">
      <c r="A4080">
        <v>4051</v>
      </c>
      <c r="B4080">
        <v>0.20453611055792223</v>
      </c>
    </row>
    <row r="4081" spans="1:2" x14ac:dyDescent="0.25">
      <c r="A4081">
        <v>4052</v>
      </c>
      <c r="B4081">
        <v>0.12592690223047043</v>
      </c>
    </row>
    <row r="4082" spans="1:2" x14ac:dyDescent="0.25">
      <c r="A4082">
        <v>4053</v>
      </c>
      <c r="B4082">
        <v>9.6032335478396777E-2</v>
      </c>
    </row>
    <row r="4083" spans="1:2" x14ac:dyDescent="0.25">
      <c r="A4083">
        <v>4054</v>
      </c>
      <c r="B4083">
        <v>0.38536068448988564</v>
      </c>
    </row>
    <row r="4084" spans="1:2" x14ac:dyDescent="0.25">
      <c r="A4084">
        <v>4055</v>
      </c>
      <c r="B4084">
        <v>0.10267116844146988</v>
      </c>
    </row>
    <row r="4085" spans="1:2" x14ac:dyDescent="0.25">
      <c r="A4085">
        <v>4056</v>
      </c>
      <c r="B4085">
        <v>0.24136851889200842</v>
      </c>
    </row>
    <row r="4086" spans="1:2" x14ac:dyDescent="0.25">
      <c r="A4086">
        <v>4057</v>
      </c>
      <c r="B4086">
        <v>0.55814468192710243</v>
      </c>
    </row>
    <row r="4087" spans="1:2" x14ac:dyDescent="0.25">
      <c r="A4087">
        <v>4058</v>
      </c>
      <c r="B4087">
        <v>0.17133596683397337</v>
      </c>
    </row>
    <row r="4088" spans="1:2" x14ac:dyDescent="0.25">
      <c r="A4088">
        <v>4059</v>
      </c>
      <c r="B4088">
        <v>0.2174052660614382</v>
      </c>
    </row>
    <row r="4089" spans="1:2" x14ac:dyDescent="0.25">
      <c r="A4089">
        <v>4060</v>
      </c>
      <c r="B4089">
        <v>0.1259864821630598</v>
      </c>
    </row>
    <row r="4090" spans="1:2" x14ac:dyDescent="0.25">
      <c r="A4090">
        <v>4061</v>
      </c>
      <c r="B4090">
        <v>0.32367520168278768</v>
      </c>
    </row>
    <row r="4091" spans="1:2" x14ac:dyDescent="0.25">
      <c r="A4091">
        <v>4062</v>
      </c>
      <c r="B4091">
        <v>0.40271224504896846</v>
      </c>
    </row>
    <row r="4092" spans="1:2" x14ac:dyDescent="0.25">
      <c r="A4092">
        <v>4063</v>
      </c>
      <c r="B4092">
        <v>0.12981161226408872</v>
      </c>
    </row>
    <row r="4093" spans="1:2" x14ac:dyDescent="0.25">
      <c r="A4093">
        <v>4064</v>
      </c>
      <c r="B4093">
        <v>0.11354153270618318</v>
      </c>
    </row>
    <row r="4094" spans="1:2" x14ac:dyDescent="0.25">
      <c r="A4094">
        <v>4065</v>
      </c>
      <c r="B4094">
        <v>0.27867052127704178</v>
      </c>
    </row>
    <row r="4095" spans="1:2" x14ac:dyDescent="0.25">
      <c r="A4095">
        <v>4066</v>
      </c>
      <c r="B4095">
        <v>0.20224423289981883</v>
      </c>
    </row>
    <row r="4096" spans="1:2" x14ac:dyDescent="0.25">
      <c r="A4096">
        <v>4067</v>
      </c>
      <c r="B4096">
        <v>0.19120237057051409</v>
      </c>
    </row>
    <row r="4097" spans="1:2" x14ac:dyDescent="0.25">
      <c r="A4097">
        <v>4068</v>
      </c>
      <c r="B4097">
        <v>0.11996030556206046</v>
      </c>
    </row>
    <row r="4098" spans="1:2" x14ac:dyDescent="0.25">
      <c r="A4098">
        <v>4069</v>
      </c>
      <c r="B4098">
        <v>0.40274693380365967</v>
      </c>
    </row>
    <row r="4099" spans="1:2" x14ac:dyDescent="0.25">
      <c r="A4099">
        <v>4070</v>
      </c>
      <c r="B4099">
        <v>0.11119865149569089</v>
      </c>
    </row>
    <row r="4100" spans="1:2" x14ac:dyDescent="0.25">
      <c r="A4100">
        <v>4071</v>
      </c>
      <c r="B4100">
        <v>0.16769575485736193</v>
      </c>
    </row>
    <row r="4101" spans="1:2" x14ac:dyDescent="0.25">
      <c r="A4101">
        <v>4072</v>
      </c>
      <c r="B4101">
        <v>0.10108218785215098</v>
      </c>
    </row>
    <row r="4102" spans="1:2" x14ac:dyDescent="0.25">
      <c r="A4102">
        <v>4073</v>
      </c>
      <c r="B4102">
        <v>0.79390903923659828</v>
      </c>
    </row>
    <row r="4103" spans="1:2" x14ac:dyDescent="0.25">
      <c r="A4103">
        <v>4074</v>
      </c>
      <c r="B4103">
        <v>0.23001833832110646</v>
      </c>
    </row>
    <row r="4104" spans="1:2" x14ac:dyDescent="0.25">
      <c r="A4104">
        <v>4075</v>
      </c>
      <c r="B4104">
        <v>0.2629699400753141</v>
      </c>
    </row>
    <row r="4105" spans="1:2" x14ac:dyDescent="0.25">
      <c r="A4105">
        <v>4076</v>
      </c>
      <c r="B4105">
        <v>8.1985958789123445E-2</v>
      </c>
    </row>
    <row r="4106" spans="1:2" x14ac:dyDescent="0.25">
      <c r="A4106">
        <v>4077</v>
      </c>
      <c r="B4106">
        <v>0.10445087564400674</v>
      </c>
    </row>
    <row r="4107" spans="1:2" x14ac:dyDescent="0.25">
      <c r="A4107">
        <v>4078</v>
      </c>
      <c r="B4107">
        <v>0.33052754409812002</v>
      </c>
    </row>
    <row r="4108" spans="1:2" x14ac:dyDescent="0.25">
      <c r="A4108">
        <v>4079</v>
      </c>
      <c r="B4108">
        <v>0.47904726085603649</v>
      </c>
    </row>
    <row r="4109" spans="1:2" x14ac:dyDescent="0.25">
      <c r="A4109">
        <v>4080</v>
      </c>
      <c r="B4109">
        <v>0.32239862368473499</v>
      </c>
    </row>
    <row r="4110" spans="1:2" x14ac:dyDescent="0.25">
      <c r="A4110">
        <v>4081</v>
      </c>
      <c r="B4110">
        <v>0.35538572686375347</v>
      </c>
    </row>
    <row r="4111" spans="1:2" x14ac:dyDescent="0.25">
      <c r="A4111">
        <v>4082</v>
      </c>
      <c r="B4111">
        <v>0.10131437759305001</v>
      </c>
    </row>
    <row r="4112" spans="1:2" x14ac:dyDescent="0.25">
      <c r="A4112">
        <v>4083</v>
      </c>
      <c r="B4112">
        <v>0.13370241410436928</v>
      </c>
    </row>
    <row r="4113" spans="1:2" x14ac:dyDescent="0.25">
      <c r="A4113">
        <v>4084</v>
      </c>
      <c r="B4113">
        <v>0.14136437498780338</v>
      </c>
    </row>
    <row r="4114" spans="1:2" x14ac:dyDescent="0.25">
      <c r="A4114">
        <v>4085</v>
      </c>
      <c r="B4114">
        <v>6.7698764097920347E-2</v>
      </c>
    </row>
    <row r="4115" spans="1:2" x14ac:dyDescent="0.25">
      <c r="A4115">
        <v>4086</v>
      </c>
      <c r="B4115">
        <v>0.15270044167223382</v>
      </c>
    </row>
    <row r="4116" spans="1:2" x14ac:dyDescent="0.25">
      <c r="A4116">
        <v>4087</v>
      </c>
      <c r="B4116">
        <v>9.7499167994154257E-2</v>
      </c>
    </row>
    <row r="4117" spans="1:2" x14ac:dyDescent="0.25">
      <c r="A4117">
        <v>4088</v>
      </c>
      <c r="B4117">
        <v>0.68818496559222908</v>
      </c>
    </row>
    <row r="4118" spans="1:2" x14ac:dyDescent="0.25">
      <c r="A4118">
        <v>4089</v>
      </c>
      <c r="B4118">
        <v>0.1059583202391748</v>
      </c>
    </row>
    <row r="4119" spans="1:2" x14ac:dyDescent="0.25">
      <c r="A4119">
        <v>4090</v>
      </c>
      <c r="B4119">
        <v>0.10863623492703964</v>
      </c>
    </row>
    <row r="4120" spans="1:2" x14ac:dyDescent="0.25">
      <c r="A4120">
        <v>4091</v>
      </c>
      <c r="B4120">
        <v>0.24194527349246842</v>
      </c>
    </row>
    <row r="4121" spans="1:2" x14ac:dyDescent="0.25">
      <c r="A4121">
        <v>4092</v>
      </c>
      <c r="B4121">
        <v>0.67893630631944468</v>
      </c>
    </row>
    <row r="4122" spans="1:2" x14ac:dyDescent="0.25">
      <c r="A4122">
        <v>4093</v>
      </c>
      <c r="B4122">
        <v>0.46807087109151185</v>
      </c>
    </row>
    <row r="4123" spans="1:2" x14ac:dyDescent="0.25">
      <c r="A4123">
        <v>4094</v>
      </c>
      <c r="B4123">
        <v>0.37959507138431531</v>
      </c>
    </row>
    <row r="4124" spans="1:2" x14ac:dyDescent="0.25">
      <c r="A4124">
        <v>4095</v>
      </c>
      <c r="B4124">
        <v>5.3051778654405114E-2</v>
      </c>
    </row>
    <row r="4125" spans="1:2" x14ac:dyDescent="0.25">
      <c r="A4125">
        <v>4096</v>
      </c>
      <c r="B4125">
        <v>0.28739356169011154</v>
      </c>
    </row>
    <row r="4126" spans="1:2" x14ac:dyDescent="0.25">
      <c r="A4126">
        <v>4097</v>
      </c>
      <c r="B4126">
        <v>9.1000937002450016E-2</v>
      </c>
    </row>
    <row r="4127" spans="1:2" x14ac:dyDescent="0.25">
      <c r="A4127">
        <v>4098</v>
      </c>
      <c r="B4127">
        <v>3.9147421526288841E-2</v>
      </c>
    </row>
    <row r="4128" spans="1:2" x14ac:dyDescent="0.25">
      <c r="A4128">
        <v>4099</v>
      </c>
      <c r="B4128">
        <v>0.30140157783593308</v>
      </c>
    </row>
    <row r="4129" spans="1:2" x14ac:dyDescent="0.25">
      <c r="A4129">
        <v>4100</v>
      </c>
      <c r="B4129">
        <v>0.20812407250005252</v>
      </c>
    </row>
    <row r="4130" spans="1:2" x14ac:dyDescent="0.25">
      <c r="A4130">
        <v>4101</v>
      </c>
      <c r="B4130">
        <v>0.22656691056042938</v>
      </c>
    </row>
    <row r="4131" spans="1:2" x14ac:dyDescent="0.25">
      <c r="A4131">
        <v>4102</v>
      </c>
      <c r="B4131">
        <v>0.22878327673825086</v>
      </c>
    </row>
    <row r="4132" spans="1:2" x14ac:dyDescent="0.25">
      <c r="A4132">
        <v>4103</v>
      </c>
      <c r="B4132">
        <v>0.26437312116851991</v>
      </c>
    </row>
    <row r="4133" spans="1:2" x14ac:dyDescent="0.25">
      <c r="A4133">
        <v>4104</v>
      </c>
      <c r="B4133">
        <v>0.19214311713303442</v>
      </c>
    </row>
    <row r="4134" spans="1:2" x14ac:dyDescent="0.25">
      <c r="A4134">
        <v>4105</v>
      </c>
      <c r="B4134">
        <v>0.27468283102996138</v>
      </c>
    </row>
    <row r="4135" spans="1:2" x14ac:dyDescent="0.25">
      <c r="A4135">
        <v>4106</v>
      </c>
      <c r="B4135">
        <v>6.5848146290589216E-2</v>
      </c>
    </row>
    <row r="4136" spans="1:2" x14ac:dyDescent="0.25">
      <c r="A4136">
        <v>4107</v>
      </c>
      <c r="B4136">
        <v>0.26916650934423159</v>
      </c>
    </row>
    <row r="4137" spans="1:2" x14ac:dyDescent="0.25">
      <c r="A4137">
        <v>4108</v>
      </c>
      <c r="B4137">
        <v>0.11348679342493696</v>
      </c>
    </row>
    <row r="4138" spans="1:2" x14ac:dyDescent="0.25">
      <c r="A4138">
        <v>4109</v>
      </c>
      <c r="B4138">
        <v>0.25300498625645507</v>
      </c>
    </row>
    <row r="4139" spans="1:2" x14ac:dyDescent="0.25">
      <c r="A4139">
        <v>4110</v>
      </c>
      <c r="B4139">
        <v>0.18227920648763396</v>
      </c>
    </row>
    <row r="4140" spans="1:2" x14ac:dyDescent="0.25">
      <c r="A4140">
        <v>4111</v>
      </c>
      <c r="B4140">
        <v>0.2056496378664934</v>
      </c>
    </row>
    <row r="4141" spans="1:2" x14ac:dyDescent="0.25">
      <c r="A4141">
        <v>4112</v>
      </c>
      <c r="B4141">
        <v>0.30069529584771054</v>
      </c>
    </row>
    <row r="4142" spans="1:2" x14ac:dyDescent="0.25">
      <c r="A4142">
        <v>4113</v>
      </c>
      <c r="B4142">
        <v>7.1838125423395988E-2</v>
      </c>
    </row>
    <row r="4143" spans="1:2" x14ac:dyDescent="0.25">
      <c r="A4143">
        <v>4114</v>
      </c>
      <c r="B4143">
        <v>0.27998224305503094</v>
      </c>
    </row>
    <row r="4144" spans="1:2" x14ac:dyDescent="0.25">
      <c r="A4144">
        <v>4115</v>
      </c>
      <c r="B4144">
        <v>0.42070727655433277</v>
      </c>
    </row>
    <row r="4145" spans="1:2" x14ac:dyDescent="0.25">
      <c r="A4145">
        <v>4116</v>
      </c>
      <c r="B4145">
        <v>9.6319445030211184E-2</v>
      </c>
    </row>
    <row r="4146" spans="1:2" x14ac:dyDescent="0.25">
      <c r="A4146">
        <v>4117</v>
      </c>
      <c r="B4146">
        <v>0.30068926494589654</v>
      </c>
    </row>
    <row r="4147" spans="1:2" x14ac:dyDescent="0.25">
      <c r="A4147">
        <v>4118</v>
      </c>
      <c r="B4147">
        <v>0.28950702336408868</v>
      </c>
    </row>
    <row r="4148" spans="1:2" x14ac:dyDescent="0.25">
      <c r="A4148">
        <v>4119</v>
      </c>
      <c r="B4148">
        <v>9.9911744145010611E-2</v>
      </c>
    </row>
    <row r="4149" spans="1:2" x14ac:dyDescent="0.25">
      <c r="A4149">
        <v>4120</v>
      </c>
      <c r="B4149">
        <v>0.12424211607836012</v>
      </c>
    </row>
    <row r="4150" spans="1:2" x14ac:dyDescent="0.25">
      <c r="A4150">
        <v>4121</v>
      </c>
      <c r="B4150">
        <v>7.1382827546951758E-2</v>
      </c>
    </row>
    <row r="4151" spans="1:2" x14ac:dyDescent="0.25">
      <c r="A4151">
        <v>4122</v>
      </c>
      <c r="B4151">
        <v>0.1608507107930206</v>
      </c>
    </row>
    <row r="4152" spans="1:2" x14ac:dyDescent="0.25">
      <c r="A4152">
        <v>4123</v>
      </c>
      <c r="B4152">
        <v>0.10651463987019623</v>
      </c>
    </row>
    <row r="4153" spans="1:2" x14ac:dyDescent="0.25">
      <c r="A4153">
        <v>4124</v>
      </c>
      <c r="B4153">
        <v>8.4351710388805512E-2</v>
      </c>
    </row>
    <row r="4154" spans="1:2" x14ac:dyDescent="0.25">
      <c r="A4154">
        <v>4125</v>
      </c>
      <c r="B4154">
        <v>0.16010288651073371</v>
      </c>
    </row>
    <row r="4155" spans="1:2" x14ac:dyDescent="0.25">
      <c r="A4155">
        <v>4126</v>
      </c>
      <c r="B4155">
        <v>0.18064276528728407</v>
      </c>
    </row>
    <row r="4156" spans="1:2" x14ac:dyDescent="0.25">
      <c r="A4156">
        <v>4127</v>
      </c>
      <c r="B4156">
        <v>0.24879433168713805</v>
      </c>
    </row>
    <row r="4157" spans="1:2" x14ac:dyDescent="0.25">
      <c r="A4157">
        <v>4128</v>
      </c>
      <c r="B4157">
        <v>0.13042434053426252</v>
      </c>
    </row>
    <row r="4158" spans="1:2" x14ac:dyDescent="0.25">
      <c r="A4158">
        <v>4129</v>
      </c>
      <c r="B4158">
        <v>0.10325090337785676</v>
      </c>
    </row>
    <row r="4159" spans="1:2" x14ac:dyDescent="0.25">
      <c r="A4159">
        <v>4130</v>
      </c>
      <c r="B4159">
        <v>0.1146531873503857</v>
      </c>
    </row>
    <row r="4160" spans="1:2" x14ac:dyDescent="0.25">
      <c r="A4160">
        <v>4131</v>
      </c>
      <c r="B4160">
        <v>0.20619840459043295</v>
      </c>
    </row>
    <row r="4161" spans="1:2" x14ac:dyDescent="0.25">
      <c r="A4161">
        <v>4132</v>
      </c>
      <c r="B4161">
        <v>0.37427168845322034</v>
      </c>
    </row>
    <row r="4162" spans="1:2" x14ac:dyDescent="0.25">
      <c r="A4162">
        <v>4133</v>
      </c>
      <c r="B4162">
        <v>0.15788794872214373</v>
      </c>
    </row>
    <row r="4163" spans="1:2" x14ac:dyDescent="0.25">
      <c r="A4163">
        <v>4134</v>
      </c>
      <c r="B4163">
        <v>0.19254298331456438</v>
      </c>
    </row>
    <row r="4164" spans="1:2" x14ac:dyDescent="0.25">
      <c r="A4164">
        <v>4135</v>
      </c>
      <c r="B4164">
        <v>0.16539597567448819</v>
      </c>
    </row>
    <row r="4165" spans="1:2" x14ac:dyDescent="0.25">
      <c r="A4165">
        <v>4136</v>
      </c>
      <c r="B4165">
        <v>0.38051278346883688</v>
      </c>
    </row>
    <row r="4166" spans="1:2" x14ac:dyDescent="0.25">
      <c r="A4166">
        <v>4137</v>
      </c>
      <c r="B4166">
        <v>0.28436091671620667</v>
      </c>
    </row>
    <row r="4167" spans="1:2" x14ac:dyDescent="0.25">
      <c r="A4167">
        <v>4138</v>
      </c>
      <c r="B4167">
        <v>0.10432429225814026</v>
      </c>
    </row>
    <row r="4168" spans="1:2" x14ac:dyDescent="0.25">
      <c r="A4168">
        <v>4139</v>
      </c>
      <c r="B4168">
        <v>0.36427693683063073</v>
      </c>
    </row>
    <row r="4169" spans="1:2" x14ac:dyDescent="0.25">
      <c r="A4169">
        <v>4140</v>
      </c>
      <c r="B4169">
        <v>0.3552447938415752</v>
      </c>
    </row>
    <row r="4170" spans="1:2" x14ac:dyDescent="0.25">
      <c r="A4170">
        <v>4141</v>
      </c>
      <c r="B4170">
        <v>0.19195002127268782</v>
      </c>
    </row>
    <row r="4171" spans="1:2" x14ac:dyDescent="0.25">
      <c r="A4171">
        <v>4142</v>
      </c>
      <c r="B4171">
        <v>3.2578380534011825E-2</v>
      </c>
    </row>
    <row r="4172" spans="1:2" x14ac:dyDescent="0.25">
      <c r="A4172">
        <v>4143</v>
      </c>
      <c r="B4172">
        <v>7.7509220475636048E-2</v>
      </c>
    </row>
    <row r="4173" spans="1:2" x14ac:dyDescent="0.25">
      <c r="A4173">
        <v>4144</v>
      </c>
      <c r="B4173">
        <v>0.29254464156559801</v>
      </c>
    </row>
    <row r="4174" spans="1:2" x14ac:dyDescent="0.25">
      <c r="A4174">
        <v>4145</v>
      </c>
      <c r="B4174">
        <v>0.11274364309035649</v>
      </c>
    </row>
    <row r="4175" spans="1:2" x14ac:dyDescent="0.25">
      <c r="A4175">
        <v>4146</v>
      </c>
      <c r="B4175">
        <v>0.29228205984076566</v>
      </c>
    </row>
    <row r="4176" spans="1:2" x14ac:dyDescent="0.25">
      <c r="A4176">
        <v>4147</v>
      </c>
      <c r="B4176">
        <v>0.11878370693997124</v>
      </c>
    </row>
    <row r="4177" spans="1:2" x14ac:dyDescent="0.25">
      <c r="A4177">
        <v>4148</v>
      </c>
      <c r="B4177">
        <v>0.38956008493517569</v>
      </c>
    </row>
    <row r="4178" spans="1:2" x14ac:dyDescent="0.25">
      <c r="A4178">
        <v>4149</v>
      </c>
      <c r="B4178">
        <v>9.2072279772490523E-2</v>
      </c>
    </row>
    <row r="4179" spans="1:2" x14ac:dyDescent="0.25">
      <c r="A4179">
        <v>4150</v>
      </c>
      <c r="B4179">
        <v>0.16320341361786159</v>
      </c>
    </row>
    <row r="4180" spans="1:2" x14ac:dyDescent="0.25">
      <c r="A4180">
        <v>4151</v>
      </c>
      <c r="B4180">
        <v>0.11611580495377635</v>
      </c>
    </row>
    <row r="4181" spans="1:2" x14ac:dyDescent="0.25">
      <c r="A4181">
        <v>4152</v>
      </c>
      <c r="B4181">
        <v>0.11989824059473268</v>
      </c>
    </row>
    <row r="4182" spans="1:2" x14ac:dyDescent="0.25">
      <c r="A4182">
        <v>4153</v>
      </c>
      <c r="B4182">
        <v>0.39582175858570795</v>
      </c>
    </row>
    <row r="4183" spans="1:2" x14ac:dyDescent="0.25">
      <c r="A4183">
        <v>4154</v>
      </c>
      <c r="B4183">
        <v>0.11581107869738967</v>
      </c>
    </row>
    <row r="4184" spans="1:2" x14ac:dyDescent="0.25">
      <c r="A4184">
        <v>4155</v>
      </c>
      <c r="B4184">
        <v>0.15081144409687733</v>
      </c>
    </row>
    <row r="4185" spans="1:2" x14ac:dyDescent="0.25">
      <c r="A4185">
        <v>4156</v>
      </c>
      <c r="B4185">
        <v>0.20098292291994219</v>
      </c>
    </row>
    <row r="4186" spans="1:2" x14ac:dyDescent="0.25">
      <c r="A4186">
        <v>4157</v>
      </c>
      <c r="B4186">
        <v>0.12611292322159356</v>
      </c>
    </row>
    <row r="4187" spans="1:2" x14ac:dyDescent="0.25">
      <c r="A4187">
        <v>4158</v>
      </c>
      <c r="B4187">
        <v>0.28179179518933639</v>
      </c>
    </row>
    <row r="4188" spans="1:2" x14ac:dyDescent="0.25">
      <c r="A4188">
        <v>4159</v>
      </c>
      <c r="B4188">
        <v>0.24580980196306543</v>
      </c>
    </row>
    <row r="4189" spans="1:2" x14ac:dyDescent="0.25">
      <c r="A4189">
        <v>4160</v>
      </c>
      <c r="B4189">
        <v>9.2887027687639609E-2</v>
      </c>
    </row>
    <row r="4190" spans="1:2" x14ac:dyDescent="0.25">
      <c r="A4190">
        <v>4161</v>
      </c>
      <c r="B4190">
        <v>6.1536511488750049E-2</v>
      </c>
    </row>
    <row r="4191" spans="1:2" x14ac:dyDescent="0.25">
      <c r="A4191">
        <v>4162</v>
      </c>
      <c r="B4191">
        <v>0.51145851327613878</v>
      </c>
    </row>
    <row r="4192" spans="1:2" x14ac:dyDescent="0.25">
      <c r="A4192">
        <v>4163</v>
      </c>
      <c r="B4192">
        <v>0.14958784994396204</v>
      </c>
    </row>
    <row r="4193" spans="1:2" x14ac:dyDescent="0.25">
      <c r="A4193">
        <v>4164</v>
      </c>
      <c r="B4193">
        <v>0.17614718022229259</v>
      </c>
    </row>
    <row r="4194" spans="1:2" x14ac:dyDescent="0.25">
      <c r="A4194">
        <v>4165</v>
      </c>
      <c r="B4194">
        <v>9.5584994832028522E-2</v>
      </c>
    </row>
    <row r="4195" spans="1:2" x14ac:dyDescent="0.25">
      <c r="A4195">
        <v>4166</v>
      </c>
      <c r="B4195">
        <v>0.27580686571322927</v>
      </c>
    </row>
    <row r="4196" spans="1:2" x14ac:dyDescent="0.25">
      <c r="A4196">
        <v>4167</v>
      </c>
      <c r="B4196">
        <v>0.33110765099871448</v>
      </c>
    </row>
    <row r="4197" spans="1:2" x14ac:dyDescent="0.25">
      <c r="A4197">
        <v>4168</v>
      </c>
      <c r="B4197">
        <v>0.29564377440747419</v>
      </c>
    </row>
    <row r="4198" spans="1:2" x14ac:dyDescent="0.25">
      <c r="A4198">
        <v>4169</v>
      </c>
      <c r="B4198">
        <v>0.22120394388220579</v>
      </c>
    </row>
    <row r="4199" spans="1:2" x14ac:dyDescent="0.25">
      <c r="A4199">
        <v>4170</v>
      </c>
      <c r="B4199">
        <v>0.26635038155291019</v>
      </c>
    </row>
    <row r="4200" spans="1:2" x14ac:dyDescent="0.25">
      <c r="A4200">
        <v>4171</v>
      </c>
      <c r="B4200">
        <v>5.9141581466826507E-2</v>
      </c>
    </row>
    <row r="4201" spans="1:2" x14ac:dyDescent="0.25">
      <c r="A4201">
        <v>4172</v>
      </c>
      <c r="B4201">
        <v>7.1683062861965463E-2</v>
      </c>
    </row>
    <row r="4202" spans="1:2" x14ac:dyDescent="0.25">
      <c r="A4202">
        <v>4173</v>
      </c>
      <c r="B4202">
        <v>0.20085022198530983</v>
      </c>
    </row>
    <row r="4203" spans="1:2" x14ac:dyDescent="0.25">
      <c r="A4203">
        <v>4174</v>
      </c>
      <c r="B4203">
        <v>0.19265116975305774</v>
      </c>
    </row>
    <row r="4204" spans="1:2" x14ac:dyDescent="0.25">
      <c r="A4204">
        <v>4175</v>
      </c>
      <c r="B4204">
        <v>0.31517046653106684</v>
      </c>
    </row>
    <row r="4205" spans="1:2" x14ac:dyDescent="0.25">
      <c r="A4205">
        <v>4176</v>
      </c>
      <c r="B4205">
        <v>0.10002118202314619</v>
      </c>
    </row>
    <row r="4206" spans="1:2" x14ac:dyDescent="0.25">
      <c r="A4206">
        <v>4177</v>
      </c>
      <c r="B4206">
        <v>0.15657530418834359</v>
      </c>
    </row>
    <row r="4207" spans="1:2" x14ac:dyDescent="0.25">
      <c r="A4207">
        <v>4178</v>
      </c>
      <c r="B4207">
        <v>0.10257886414982159</v>
      </c>
    </row>
    <row r="4208" spans="1:2" x14ac:dyDescent="0.25">
      <c r="A4208">
        <v>4179</v>
      </c>
      <c r="B4208">
        <v>0.21152299730041435</v>
      </c>
    </row>
    <row r="4209" spans="1:2" x14ac:dyDescent="0.25">
      <c r="A4209">
        <v>4180</v>
      </c>
      <c r="B4209">
        <v>0.20250089652491612</v>
      </c>
    </row>
    <row r="4210" spans="1:2" x14ac:dyDescent="0.25">
      <c r="A4210">
        <v>4181</v>
      </c>
      <c r="B4210">
        <v>0.23769994996531088</v>
      </c>
    </row>
    <row r="4211" spans="1:2" x14ac:dyDescent="0.25">
      <c r="A4211">
        <v>4182</v>
      </c>
      <c r="B4211">
        <v>0.11380811706824777</v>
      </c>
    </row>
    <row r="4212" spans="1:2" x14ac:dyDescent="0.25">
      <c r="A4212">
        <v>4183</v>
      </c>
      <c r="B4212">
        <v>0.18289694579186463</v>
      </c>
    </row>
    <row r="4213" spans="1:2" x14ac:dyDescent="0.25">
      <c r="A4213">
        <v>4184</v>
      </c>
      <c r="B4213">
        <v>0.14947959165528474</v>
      </c>
    </row>
    <row r="4214" spans="1:2" x14ac:dyDescent="0.25">
      <c r="A4214">
        <v>4185</v>
      </c>
      <c r="B4214">
        <v>0.12405571408563908</v>
      </c>
    </row>
    <row r="4215" spans="1:2" x14ac:dyDescent="0.25">
      <c r="A4215">
        <v>4186</v>
      </c>
      <c r="B4215">
        <v>5.8104713772306964E-2</v>
      </c>
    </row>
    <row r="4216" spans="1:2" x14ac:dyDescent="0.25">
      <c r="A4216">
        <v>4187</v>
      </c>
      <c r="B4216">
        <v>0.11648816002271853</v>
      </c>
    </row>
    <row r="4217" spans="1:2" x14ac:dyDescent="0.25">
      <c r="A4217">
        <v>4188</v>
      </c>
      <c r="B4217">
        <v>0.2132036777740747</v>
      </c>
    </row>
    <row r="4218" spans="1:2" x14ac:dyDescent="0.25">
      <c r="A4218">
        <v>4189</v>
      </c>
      <c r="B4218">
        <v>0.21939014957847738</v>
      </c>
    </row>
    <row r="4219" spans="1:2" x14ac:dyDescent="0.25">
      <c r="A4219">
        <v>4190</v>
      </c>
      <c r="B4219">
        <v>8.200887046447225E-2</v>
      </c>
    </row>
    <row r="4220" spans="1:2" x14ac:dyDescent="0.25">
      <c r="A4220">
        <v>4191</v>
      </c>
      <c r="B4220">
        <v>3.7622533598816933E-2</v>
      </c>
    </row>
    <row r="4221" spans="1:2" x14ac:dyDescent="0.25">
      <c r="A4221">
        <v>4192</v>
      </c>
      <c r="B4221">
        <v>0.64552307770472395</v>
      </c>
    </row>
    <row r="4222" spans="1:2" x14ac:dyDescent="0.25">
      <c r="A4222">
        <v>4193</v>
      </c>
      <c r="B4222">
        <v>0.21587711366824794</v>
      </c>
    </row>
    <row r="4223" spans="1:2" x14ac:dyDescent="0.25">
      <c r="A4223">
        <v>4194</v>
      </c>
      <c r="B4223">
        <v>0.17927718506043899</v>
      </c>
    </row>
    <row r="4224" spans="1:2" x14ac:dyDescent="0.25">
      <c r="A4224">
        <v>4195</v>
      </c>
      <c r="B4224">
        <v>0.17587289331835587</v>
      </c>
    </row>
    <row r="4225" spans="1:2" x14ac:dyDescent="0.25">
      <c r="A4225">
        <v>4196</v>
      </c>
      <c r="B4225">
        <v>0.11827240780993277</v>
      </c>
    </row>
    <row r="4226" spans="1:2" x14ac:dyDescent="0.25">
      <c r="A4226">
        <v>4197</v>
      </c>
      <c r="B4226">
        <v>0.25897940745559678</v>
      </c>
    </row>
    <row r="4227" spans="1:2" x14ac:dyDescent="0.25">
      <c r="A4227">
        <v>4198</v>
      </c>
      <c r="B4227">
        <v>0.21979335786953175</v>
      </c>
    </row>
    <row r="4228" spans="1:2" x14ac:dyDescent="0.25">
      <c r="A4228">
        <v>4199</v>
      </c>
      <c r="B4228">
        <v>4.6257703965166465E-2</v>
      </c>
    </row>
    <row r="4229" spans="1:2" x14ac:dyDescent="0.25">
      <c r="A4229">
        <v>4200</v>
      </c>
      <c r="B4229">
        <v>0.27962400822780603</v>
      </c>
    </row>
    <row r="4230" spans="1:2" x14ac:dyDescent="0.25">
      <c r="A4230">
        <v>4201</v>
      </c>
      <c r="B4230">
        <v>0.28592118229486013</v>
      </c>
    </row>
    <row r="4231" spans="1:2" x14ac:dyDescent="0.25">
      <c r="A4231">
        <v>4202</v>
      </c>
      <c r="B4231">
        <v>0.42536925304705531</v>
      </c>
    </row>
    <row r="4232" spans="1:2" x14ac:dyDescent="0.25">
      <c r="A4232">
        <v>4203</v>
      </c>
      <c r="B4232">
        <v>0.11269218922816145</v>
      </c>
    </row>
    <row r="4233" spans="1:2" x14ac:dyDescent="0.25">
      <c r="A4233">
        <v>4204</v>
      </c>
      <c r="B4233">
        <v>0.26972562432629982</v>
      </c>
    </row>
    <row r="4234" spans="1:2" x14ac:dyDescent="0.25">
      <c r="A4234">
        <v>4205</v>
      </c>
      <c r="B4234">
        <v>0.19059234795096286</v>
      </c>
    </row>
    <row r="4235" spans="1:2" x14ac:dyDescent="0.25">
      <c r="A4235">
        <v>4206</v>
      </c>
      <c r="B4235">
        <v>5.4254854678884329E-2</v>
      </c>
    </row>
    <row r="4236" spans="1:2" x14ac:dyDescent="0.25">
      <c r="A4236">
        <v>4207</v>
      </c>
      <c r="B4236">
        <v>0.10020062393481383</v>
      </c>
    </row>
    <row r="4237" spans="1:2" x14ac:dyDescent="0.25">
      <c r="A4237">
        <v>4208</v>
      </c>
      <c r="B4237">
        <v>0.27623969339781185</v>
      </c>
    </row>
    <row r="4238" spans="1:2" x14ac:dyDescent="0.25">
      <c r="A4238">
        <v>4209</v>
      </c>
      <c r="B4238">
        <v>0.10198144556065071</v>
      </c>
    </row>
    <row r="4239" spans="1:2" x14ac:dyDescent="0.25">
      <c r="A4239">
        <v>4210</v>
      </c>
      <c r="B4239">
        <v>0.21489346485081393</v>
      </c>
    </row>
    <row r="4240" spans="1:2" x14ac:dyDescent="0.25">
      <c r="A4240">
        <v>4211</v>
      </c>
      <c r="B4240">
        <v>0.14396171182013184</v>
      </c>
    </row>
    <row r="4241" spans="1:2" x14ac:dyDescent="0.25">
      <c r="A4241">
        <v>4212</v>
      </c>
      <c r="B4241">
        <v>0.11244420778927902</v>
      </c>
    </row>
    <row r="4242" spans="1:2" x14ac:dyDescent="0.25">
      <c r="A4242">
        <v>4213</v>
      </c>
      <c r="B4242">
        <v>0.22449688538515089</v>
      </c>
    </row>
    <row r="4243" spans="1:2" x14ac:dyDescent="0.25">
      <c r="A4243">
        <v>4214</v>
      </c>
      <c r="B4243">
        <v>0.27901895372868823</v>
      </c>
    </row>
    <row r="4244" spans="1:2" x14ac:dyDescent="0.25">
      <c r="A4244">
        <v>4215</v>
      </c>
      <c r="B4244">
        <v>0.17804507721415433</v>
      </c>
    </row>
    <row r="4245" spans="1:2" x14ac:dyDescent="0.25">
      <c r="A4245">
        <v>4216</v>
      </c>
      <c r="B4245">
        <v>9.2118431163724965E-2</v>
      </c>
    </row>
    <row r="4246" spans="1:2" x14ac:dyDescent="0.25">
      <c r="A4246">
        <v>4217</v>
      </c>
      <c r="B4246">
        <v>0.16835692843138281</v>
      </c>
    </row>
    <row r="4247" spans="1:2" x14ac:dyDescent="0.25">
      <c r="A4247">
        <v>4218</v>
      </c>
      <c r="B4247">
        <v>8.0406428949737208E-2</v>
      </c>
    </row>
    <row r="4248" spans="1:2" x14ac:dyDescent="0.25">
      <c r="A4248">
        <v>4219</v>
      </c>
      <c r="B4248">
        <v>7.9634835501098844E-2</v>
      </c>
    </row>
    <row r="4249" spans="1:2" x14ac:dyDescent="0.25">
      <c r="A4249">
        <v>4220</v>
      </c>
      <c r="B4249">
        <v>0.14785145781363673</v>
      </c>
    </row>
    <row r="4250" spans="1:2" x14ac:dyDescent="0.25">
      <c r="A4250">
        <v>4221</v>
      </c>
      <c r="B4250">
        <v>0.15787571763415262</v>
      </c>
    </row>
    <row r="4251" spans="1:2" x14ac:dyDescent="0.25">
      <c r="A4251">
        <v>4222</v>
      </c>
      <c r="B4251">
        <v>0.18048403417882758</v>
      </c>
    </row>
    <row r="4252" spans="1:2" x14ac:dyDescent="0.25">
      <c r="A4252">
        <v>4223</v>
      </c>
      <c r="B4252">
        <v>0.161311903108215</v>
      </c>
    </row>
    <row r="4253" spans="1:2" x14ac:dyDescent="0.25">
      <c r="A4253">
        <v>4224</v>
      </c>
      <c r="B4253">
        <v>0.20844918759866138</v>
      </c>
    </row>
    <row r="4254" spans="1:2" x14ac:dyDescent="0.25">
      <c r="A4254">
        <v>4225</v>
      </c>
      <c r="B4254">
        <v>0.1223490635151717</v>
      </c>
    </row>
    <row r="4255" spans="1:2" x14ac:dyDescent="0.25">
      <c r="A4255">
        <v>4226</v>
      </c>
      <c r="B4255">
        <v>0.11367557353750142</v>
      </c>
    </row>
    <row r="4256" spans="1:2" x14ac:dyDescent="0.25">
      <c r="A4256">
        <v>4227</v>
      </c>
      <c r="B4256">
        <v>0.24373603929344512</v>
      </c>
    </row>
    <row r="4257" spans="1:2" x14ac:dyDescent="0.25">
      <c r="A4257">
        <v>4228</v>
      </c>
      <c r="B4257">
        <v>0.25249966214007064</v>
      </c>
    </row>
    <row r="4258" spans="1:2" x14ac:dyDescent="0.25">
      <c r="A4258">
        <v>4229</v>
      </c>
      <c r="B4258">
        <v>0.2753000319475179</v>
      </c>
    </row>
    <row r="4259" spans="1:2" x14ac:dyDescent="0.25">
      <c r="A4259">
        <v>4230</v>
      </c>
      <c r="B4259">
        <v>8.084638029673076E-2</v>
      </c>
    </row>
    <row r="4260" spans="1:2" x14ac:dyDescent="0.25">
      <c r="A4260">
        <v>4231</v>
      </c>
      <c r="B4260">
        <v>0.31324988028687051</v>
      </c>
    </row>
    <row r="4261" spans="1:2" x14ac:dyDescent="0.25">
      <c r="A4261">
        <v>4232</v>
      </c>
      <c r="B4261">
        <v>9.3424593775152248E-2</v>
      </c>
    </row>
    <row r="4262" spans="1:2" x14ac:dyDescent="0.25">
      <c r="A4262">
        <v>4233</v>
      </c>
      <c r="B4262">
        <v>0.13039130375199012</v>
      </c>
    </row>
    <row r="4263" spans="1:2" x14ac:dyDescent="0.25">
      <c r="A4263">
        <v>4234</v>
      </c>
      <c r="B4263">
        <v>0.33032147632129261</v>
      </c>
    </row>
    <row r="4264" spans="1:2" x14ac:dyDescent="0.25">
      <c r="A4264">
        <v>4235</v>
      </c>
      <c r="B4264">
        <v>0.36088961520800877</v>
      </c>
    </row>
    <row r="4265" spans="1:2" x14ac:dyDescent="0.25">
      <c r="A4265">
        <v>4236</v>
      </c>
      <c r="B4265">
        <v>4.9926408976421234E-2</v>
      </c>
    </row>
    <row r="4266" spans="1:2" x14ac:dyDescent="0.25">
      <c r="A4266">
        <v>4237</v>
      </c>
      <c r="B4266">
        <v>9.7755941133005619E-2</v>
      </c>
    </row>
    <row r="4267" spans="1:2" x14ac:dyDescent="0.25">
      <c r="A4267">
        <v>4238</v>
      </c>
      <c r="B4267">
        <v>0.1438052885897764</v>
      </c>
    </row>
    <row r="4268" spans="1:2" x14ac:dyDescent="0.25">
      <c r="A4268">
        <v>4239</v>
      </c>
      <c r="B4268">
        <v>0.13910695358763459</v>
      </c>
    </row>
    <row r="4269" spans="1:2" x14ac:dyDescent="0.25">
      <c r="A4269">
        <v>4240</v>
      </c>
      <c r="B4269">
        <v>7.6156936966323946E-2</v>
      </c>
    </row>
    <row r="4270" spans="1:2" x14ac:dyDescent="0.25">
      <c r="A4270">
        <v>4241</v>
      </c>
      <c r="B4270">
        <v>0.25912277784603882</v>
      </c>
    </row>
    <row r="4271" spans="1:2" x14ac:dyDescent="0.25">
      <c r="A4271">
        <v>4242</v>
      </c>
      <c r="B4271">
        <v>0.15125625255315853</v>
      </c>
    </row>
    <row r="4272" spans="1:2" x14ac:dyDescent="0.25">
      <c r="A4272">
        <v>4243</v>
      </c>
      <c r="B4272">
        <v>0.43954770802902032</v>
      </c>
    </row>
    <row r="4273" spans="1:2" x14ac:dyDescent="0.25">
      <c r="A4273">
        <v>4244</v>
      </c>
      <c r="B4273">
        <v>0.31653733761314007</v>
      </c>
    </row>
    <row r="4274" spans="1:2" x14ac:dyDescent="0.25">
      <c r="A4274">
        <v>4245</v>
      </c>
      <c r="B4274">
        <v>6.8631488409308647E-2</v>
      </c>
    </row>
    <row r="4275" spans="1:2" x14ac:dyDescent="0.25">
      <c r="A4275">
        <v>4246</v>
      </c>
      <c r="B4275">
        <v>0.26897846824288524</v>
      </c>
    </row>
    <row r="4276" spans="1:2" x14ac:dyDescent="0.25">
      <c r="A4276">
        <v>4247</v>
      </c>
      <c r="B4276">
        <v>0.4616859216658456</v>
      </c>
    </row>
    <row r="4277" spans="1:2" x14ac:dyDescent="0.25">
      <c r="A4277">
        <v>4248</v>
      </c>
      <c r="B4277">
        <v>0.16744347857981434</v>
      </c>
    </row>
    <row r="4278" spans="1:2" x14ac:dyDescent="0.25">
      <c r="A4278">
        <v>4249</v>
      </c>
      <c r="B4278">
        <v>0.50193839197219203</v>
      </c>
    </row>
    <row r="4279" spans="1:2" x14ac:dyDescent="0.25">
      <c r="A4279">
        <v>4250</v>
      </c>
      <c r="B4279">
        <v>0.13994871777514442</v>
      </c>
    </row>
    <row r="4280" spans="1:2" x14ac:dyDescent="0.25">
      <c r="A4280">
        <v>4251</v>
      </c>
      <c r="B4280">
        <v>0.35600694867792343</v>
      </c>
    </row>
    <row r="4281" spans="1:2" x14ac:dyDescent="0.25">
      <c r="A4281">
        <v>4252</v>
      </c>
      <c r="B4281">
        <v>0.16812427585720982</v>
      </c>
    </row>
    <row r="4282" spans="1:2" x14ac:dyDescent="0.25">
      <c r="A4282">
        <v>4253</v>
      </c>
      <c r="B4282">
        <v>0.1565729531464905</v>
      </c>
    </row>
    <row r="4283" spans="1:2" x14ac:dyDescent="0.25">
      <c r="A4283">
        <v>4254</v>
      </c>
      <c r="B4283">
        <v>6.9757119524459121E-2</v>
      </c>
    </row>
    <row r="4284" spans="1:2" x14ac:dyDescent="0.25">
      <c r="A4284">
        <v>4255</v>
      </c>
      <c r="B4284">
        <v>0.10781112229016591</v>
      </c>
    </row>
    <row r="4285" spans="1:2" x14ac:dyDescent="0.25">
      <c r="A4285">
        <v>4256</v>
      </c>
      <c r="B4285">
        <v>0.25776913900733539</v>
      </c>
    </row>
    <row r="4286" spans="1:2" x14ac:dyDescent="0.25">
      <c r="A4286">
        <v>4257</v>
      </c>
      <c r="B4286">
        <v>0.27308545795940392</v>
      </c>
    </row>
    <row r="4287" spans="1:2" x14ac:dyDescent="0.25">
      <c r="A4287">
        <v>4258</v>
      </c>
      <c r="B4287">
        <v>0.44279090867119297</v>
      </c>
    </row>
    <row r="4288" spans="1:2" x14ac:dyDescent="0.25">
      <c r="A4288">
        <v>4259</v>
      </c>
      <c r="B4288">
        <v>0.28537755285736799</v>
      </c>
    </row>
    <row r="4289" spans="1:2" x14ac:dyDescent="0.25">
      <c r="A4289">
        <v>4260</v>
      </c>
      <c r="B4289">
        <v>0.17459729159841886</v>
      </c>
    </row>
    <row r="4290" spans="1:2" x14ac:dyDescent="0.25">
      <c r="A4290">
        <v>4261</v>
      </c>
      <c r="B4290">
        <v>0.2524821779595583</v>
      </c>
    </row>
    <row r="4291" spans="1:2" x14ac:dyDescent="0.25">
      <c r="A4291">
        <v>4262</v>
      </c>
      <c r="B4291">
        <v>0.3200409162996522</v>
      </c>
    </row>
    <row r="4292" spans="1:2" x14ac:dyDescent="0.25">
      <c r="A4292">
        <v>4263</v>
      </c>
      <c r="B4292">
        <v>0.19676005019674017</v>
      </c>
    </row>
    <row r="4293" spans="1:2" x14ac:dyDescent="0.25">
      <c r="A4293">
        <v>4264</v>
      </c>
      <c r="B4293">
        <v>2.9455680792747782E-2</v>
      </c>
    </row>
    <row r="4294" spans="1:2" x14ac:dyDescent="0.25">
      <c r="A4294">
        <v>4265</v>
      </c>
      <c r="B4294">
        <v>0.102413317714162</v>
      </c>
    </row>
    <row r="4295" spans="1:2" x14ac:dyDescent="0.25">
      <c r="A4295">
        <v>4266</v>
      </c>
      <c r="B4295">
        <v>0.22896630971465498</v>
      </c>
    </row>
    <row r="4296" spans="1:2" x14ac:dyDescent="0.25">
      <c r="A4296">
        <v>4267</v>
      </c>
      <c r="B4296">
        <v>0.28728988428323154</v>
      </c>
    </row>
    <row r="4297" spans="1:2" x14ac:dyDescent="0.25">
      <c r="A4297">
        <v>4268</v>
      </c>
      <c r="B4297">
        <v>0.10501074416088056</v>
      </c>
    </row>
    <row r="4298" spans="1:2" x14ac:dyDescent="0.25">
      <c r="A4298">
        <v>4269</v>
      </c>
      <c r="B4298">
        <v>0.10213939398484581</v>
      </c>
    </row>
    <row r="4299" spans="1:2" x14ac:dyDescent="0.25">
      <c r="A4299">
        <v>4270</v>
      </c>
      <c r="B4299">
        <v>0.43224964890262862</v>
      </c>
    </row>
    <row r="4300" spans="1:2" x14ac:dyDescent="0.25">
      <c r="A4300">
        <v>4271</v>
      </c>
      <c r="B4300">
        <v>8.9177587893848068E-2</v>
      </c>
    </row>
    <row r="4301" spans="1:2" x14ac:dyDescent="0.25">
      <c r="A4301">
        <v>4272</v>
      </c>
      <c r="B4301">
        <v>0.18476977604386086</v>
      </c>
    </row>
    <row r="4302" spans="1:2" x14ac:dyDescent="0.25">
      <c r="A4302">
        <v>4273</v>
      </c>
      <c r="B4302">
        <v>0.10404735365583311</v>
      </c>
    </row>
    <row r="4303" spans="1:2" x14ac:dyDescent="0.25">
      <c r="A4303">
        <v>4274</v>
      </c>
      <c r="B4303">
        <v>0.13716053033918049</v>
      </c>
    </row>
    <row r="4304" spans="1:2" x14ac:dyDescent="0.25">
      <c r="A4304">
        <v>4275</v>
      </c>
      <c r="B4304">
        <v>0.11112678096897929</v>
      </c>
    </row>
    <row r="4305" spans="1:2" x14ac:dyDescent="0.25">
      <c r="A4305">
        <v>4276</v>
      </c>
      <c r="B4305">
        <v>6.6791846834167612E-2</v>
      </c>
    </row>
    <row r="4306" spans="1:2" x14ac:dyDescent="0.25">
      <c r="A4306">
        <v>4277</v>
      </c>
      <c r="B4306">
        <v>0.16304128531844578</v>
      </c>
    </row>
    <row r="4307" spans="1:2" x14ac:dyDescent="0.25">
      <c r="A4307">
        <v>4278</v>
      </c>
      <c r="B4307">
        <v>0.20584307675932412</v>
      </c>
    </row>
    <row r="4308" spans="1:2" x14ac:dyDescent="0.25">
      <c r="A4308">
        <v>4279</v>
      </c>
      <c r="B4308">
        <v>0.11531277797465832</v>
      </c>
    </row>
    <row r="4309" spans="1:2" x14ac:dyDescent="0.25">
      <c r="A4309">
        <v>4280</v>
      </c>
      <c r="B4309">
        <v>0.12734487739337938</v>
      </c>
    </row>
    <row r="4310" spans="1:2" x14ac:dyDescent="0.25">
      <c r="A4310">
        <v>4281</v>
      </c>
      <c r="B4310">
        <v>0.1506852530627574</v>
      </c>
    </row>
    <row r="4311" spans="1:2" x14ac:dyDescent="0.25">
      <c r="A4311">
        <v>4282</v>
      </c>
      <c r="B4311">
        <v>7.4446952113033343E-2</v>
      </c>
    </row>
    <row r="4312" spans="1:2" x14ac:dyDescent="0.25">
      <c r="A4312">
        <v>4283</v>
      </c>
      <c r="B4312">
        <v>0.17238432651065283</v>
      </c>
    </row>
    <row r="4313" spans="1:2" x14ac:dyDescent="0.25">
      <c r="A4313">
        <v>4284</v>
      </c>
      <c r="B4313">
        <v>3.7398543835412565E-2</v>
      </c>
    </row>
    <row r="4314" spans="1:2" x14ac:dyDescent="0.25">
      <c r="A4314">
        <v>4285</v>
      </c>
      <c r="B4314">
        <v>0.15677934465451107</v>
      </c>
    </row>
    <row r="4315" spans="1:2" x14ac:dyDescent="0.25">
      <c r="A4315">
        <v>4286</v>
      </c>
      <c r="B4315">
        <v>0.28267552513999172</v>
      </c>
    </row>
    <row r="4316" spans="1:2" x14ac:dyDescent="0.25">
      <c r="A4316">
        <v>4287</v>
      </c>
      <c r="B4316">
        <v>0.30564179644573786</v>
      </c>
    </row>
    <row r="4317" spans="1:2" x14ac:dyDescent="0.25">
      <c r="A4317">
        <v>4288</v>
      </c>
      <c r="B4317">
        <v>0.18056957713885499</v>
      </c>
    </row>
    <row r="4318" spans="1:2" x14ac:dyDescent="0.25">
      <c r="A4318">
        <v>4289</v>
      </c>
      <c r="B4318">
        <v>0.2281961493884255</v>
      </c>
    </row>
    <row r="4319" spans="1:2" x14ac:dyDescent="0.25">
      <c r="A4319">
        <v>4290</v>
      </c>
      <c r="B4319">
        <v>0.11098807671349953</v>
      </c>
    </row>
    <row r="4320" spans="1:2" x14ac:dyDescent="0.25">
      <c r="A4320">
        <v>4291</v>
      </c>
      <c r="B4320">
        <v>0.15491262626431146</v>
      </c>
    </row>
    <row r="4321" spans="1:2" x14ac:dyDescent="0.25">
      <c r="A4321">
        <v>4292</v>
      </c>
      <c r="B4321">
        <v>5.0558630964723447E-2</v>
      </c>
    </row>
    <row r="4322" spans="1:2" x14ac:dyDescent="0.25">
      <c r="A4322">
        <v>4293</v>
      </c>
      <c r="B4322">
        <v>0.13124893455090603</v>
      </c>
    </row>
    <row r="4323" spans="1:2" x14ac:dyDescent="0.25">
      <c r="A4323">
        <v>4294</v>
      </c>
      <c r="B4323">
        <v>4.2801546334350654E-2</v>
      </c>
    </row>
    <row r="4324" spans="1:2" x14ac:dyDescent="0.25">
      <c r="A4324">
        <v>4295</v>
      </c>
      <c r="B4324">
        <v>0.23864524736192161</v>
      </c>
    </row>
    <row r="4325" spans="1:2" x14ac:dyDescent="0.25">
      <c r="A4325">
        <v>4296</v>
      </c>
      <c r="B4325">
        <v>0.40446284475968192</v>
      </c>
    </row>
    <row r="4326" spans="1:2" x14ac:dyDescent="0.25">
      <c r="A4326">
        <v>4297</v>
      </c>
      <c r="B4326">
        <v>0.29230996869105014</v>
      </c>
    </row>
    <row r="4327" spans="1:2" x14ac:dyDescent="0.25">
      <c r="A4327">
        <v>4298</v>
      </c>
      <c r="B4327">
        <v>0.44802550475773717</v>
      </c>
    </row>
    <row r="4328" spans="1:2" x14ac:dyDescent="0.25">
      <c r="A4328">
        <v>4299</v>
      </c>
      <c r="B4328">
        <v>0.27775349386402409</v>
      </c>
    </row>
    <row r="4329" spans="1:2" x14ac:dyDescent="0.25">
      <c r="A4329">
        <v>4300</v>
      </c>
      <c r="B4329">
        <v>8.3070273476285622E-2</v>
      </c>
    </row>
    <row r="4330" spans="1:2" x14ac:dyDescent="0.25">
      <c r="A4330">
        <v>4301</v>
      </c>
      <c r="B4330">
        <v>0.43431658435753634</v>
      </c>
    </row>
    <row r="4331" spans="1:2" x14ac:dyDescent="0.25">
      <c r="A4331">
        <v>4302</v>
      </c>
      <c r="B4331">
        <v>0.19186009866356862</v>
      </c>
    </row>
    <row r="4332" spans="1:2" x14ac:dyDescent="0.25">
      <c r="A4332">
        <v>4303</v>
      </c>
      <c r="B4332">
        <v>0.14553163915439454</v>
      </c>
    </row>
    <row r="4333" spans="1:2" x14ac:dyDescent="0.25">
      <c r="A4333">
        <v>4304</v>
      </c>
      <c r="B4333">
        <v>0.65876829019056204</v>
      </c>
    </row>
    <row r="4334" spans="1:2" x14ac:dyDescent="0.25">
      <c r="A4334">
        <v>4305</v>
      </c>
      <c r="B4334">
        <v>0.32644834771812314</v>
      </c>
    </row>
    <row r="4335" spans="1:2" x14ac:dyDescent="0.25">
      <c r="A4335">
        <v>4306</v>
      </c>
      <c r="B4335">
        <v>0.88275533157673769</v>
      </c>
    </row>
    <row r="4336" spans="1:2" x14ac:dyDescent="0.25">
      <c r="A4336">
        <v>4307</v>
      </c>
      <c r="B4336">
        <v>0.16186571333953118</v>
      </c>
    </row>
    <row r="4337" spans="1:2" x14ac:dyDescent="0.25">
      <c r="A4337">
        <v>4308</v>
      </c>
      <c r="B4337">
        <v>0.37592750762267602</v>
      </c>
    </row>
    <row r="4338" spans="1:2" x14ac:dyDescent="0.25">
      <c r="A4338">
        <v>4309</v>
      </c>
      <c r="B4338">
        <v>0.2425419164613381</v>
      </c>
    </row>
    <row r="4339" spans="1:2" x14ac:dyDescent="0.25">
      <c r="A4339">
        <v>4310</v>
      </c>
      <c r="B4339">
        <v>0.35687424010570162</v>
      </c>
    </row>
    <row r="4340" spans="1:2" x14ac:dyDescent="0.25">
      <c r="A4340">
        <v>4311</v>
      </c>
      <c r="B4340">
        <v>0.21907338119499162</v>
      </c>
    </row>
    <row r="4341" spans="1:2" x14ac:dyDescent="0.25">
      <c r="A4341">
        <v>4312</v>
      </c>
      <c r="B4341">
        <v>0.15951901798109228</v>
      </c>
    </row>
    <row r="4342" spans="1:2" x14ac:dyDescent="0.25">
      <c r="A4342">
        <v>4313</v>
      </c>
      <c r="B4342">
        <v>0.42592558377162576</v>
      </c>
    </row>
    <row r="4343" spans="1:2" x14ac:dyDescent="0.25">
      <c r="A4343">
        <v>4314</v>
      </c>
      <c r="B4343">
        <v>0.14727118675274778</v>
      </c>
    </row>
    <row r="4344" spans="1:2" x14ac:dyDescent="0.25">
      <c r="A4344">
        <v>4315</v>
      </c>
      <c r="B4344">
        <v>0.15993991234655378</v>
      </c>
    </row>
    <row r="4345" spans="1:2" x14ac:dyDescent="0.25">
      <c r="A4345">
        <v>4316</v>
      </c>
      <c r="B4345">
        <v>0.10070048049707746</v>
      </c>
    </row>
    <row r="4346" spans="1:2" x14ac:dyDescent="0.25">
      <c r="A4346">
        <v>4317</v>
      </c>
      <c r="B4346">
        <v>4.3369142576820022E-2</v>
      </c>
    </row>
    <row r="4347" spans="1:2" x14ac:dyDescent="0.25">
      <c r="A4347">
        <v>4318</v>
      </c>
      <c r="B4347">
        <v>0.11945582068911501</v>
      </c>
    </row>
    <row r="4348" spans="1:2" x14ac:dyDescent="0.25">
      <c r="A4348">
        <v>4319</v>
      </c>
      <c r="B4348">
        <v>0.39843656548398387</v>
      </c>
    </row>
    <row r="4349" spans="1:2" x14ac:dyDescent="0.25">
      <c r="A4349">
        <v>4320</v>
      </c>
      <c r="B4349">
        <v>0.12438101244963705</v>
      </c>
    </row>
    <row r="4350" spans="1:2" x14ac:dyDescent="0.25">
      <c r="A4350">
        <v>4321</v>
      </c>
      <c r="B4350">
        <v>0.28120822844609356</v>
      </c>
    </row>
    <row r="4351" spans="1:2" x14ac:dyDescent="0.25">
      <c r="A4351">
        <v>4322</v>
      </c>
      <c r="B4351">
        <v>0.34526453976598215</v>
      </c>
    </row>
    <row r="4352" spans="1:2" x14ac:dyDescent="0.25">
      <c r="A4352">
        <v>4323</v>
      </c>
      <c r="B4352">
        <v>0.11195466518038877</v>
      </c>
    </row>
    <row r="4353" spans="1:2" x14ac:dyDescent="0.25">
      <c r="A4353">
        <v>4324</v>
      </c>
      <c r="B4353">
        <v>0.43511525258113087</v>
      </c>
    </row>
    <row r="4354" spans="1:2" x14ac:dyDescent="0.25">
      <c r="A4354">
        <v>4325</v>
      </c>
      <c r="B4354">
        <v>3.8185271077439867E-2</v>
      </c>
    </row>
    <row r="4355" spans="1:2" x14ac:dyDescent="0.25">
      <c r="A4355">
        <v>4326</v>
      </c>
      <c r="B4355">
        <v>0.27485819212938539</v>
      </c>
    </row>
    <row r="4356" spans="1:2" x14ac:dyDescent="0.25">
      <c r="A4356">
        <v>4327</v>
      </c>
      <c r="B4356">
        <v>0.41045645309818929</v>
      </c>
    </row>
    <row r="4357" spans="1:2" x14ac:dyDescent="0.25">
      <c r="A4357">
        <v>4328</v>
      </c>
      <c r="B4357">
        <v>9.526098743913991E-2</v>
      </c>
    </row>
    <row r="4358" spans="1:2" x14ac:dyDescent="0.25">
      <c r="A4358">
        <v>4329</v>
      </c>
      <c r="B4358">
        <v>0.12670231410623531</v>
      </c>
    </row>
    <row r="4359" spans="1:2" x14ac:dyDescent="0.25">
      <c r="A4359">
        <v>4330</v>
      </c>
      <c r="B4359">
        <v>0.10747081195105902</v>
      </c>
    </row>
    <row r="4360" spans="1:2" x14ac:dyDescent="0.25">
      <c r="A4360">
        <v>4331</v>
      </c>
      <c r="B4360">
        <v>0.54986370812809615</v>
      </c>
    </row>
    <row r="4361" spans="1:2" x14ac:dyDescent="0.25">
      <c r="A4361">
        <v>4332</v>
      </c>
      <c r="B4361">
        <v>6.1454175060685325E-2</v>
      </c>
    </row>
    <row r="4362" spans="1:2" x14ac:dyDescent="0.25">
      <c r="A4362">
        <v>4333</v>
      </c>
      <c r="B4362">
        <v>5.4794140555797129E-2</v>
      </c>
    </row>
    <row r="4363" spans="1:2" x14ac:dyDescent="0.25">
      <c r="A4363">
        <v>4334</v>
      </c>
      <c r="B4363">
        <v>0.33901853855697656</v>
      </c>
    </row>
    <row r="4364" spans="1:2" x14ac:dyDescent="0.25">
      <c r="A4364">
        <v>4335</v>
      </c>
      <c r="B4364">
        <v>0.25968017473440524</v>
      </c>
    </row>
    <row r="4365" spans="1:2" x14ac:dyDescent="0.25">
      <c r="A4365">
        <v>4336</v>
      </c>
      <c r="B4365">
        <v>6.9540296906118598E-2</v>
      </c>
    </row>
    <row r="4366" spans="1:2" x14ac:dyDescent="0.25">
      <c r="A4366">
        <v>4337</v>
      </c>
      <c r="B4366">
        <v>0.35636712761526279</v>
      </c>
    </row>
    <row r="4367" spans="1:2" x14ac:dyDescent="0.25">
      <c r="A4367">
        <v>4338</v>
      </c>
      <c r="B4367">
        <v>0.13795101283682204</v>
      </c>
    </row>
    <row r="4368" spans="1:2" x14ac:dyDescent="0.25">
      <c r="A4368">
        <v>4339</v>
      </c>
      <c r="B4368">
        <v>0.1940337726573462</v>
      </c>
    </row>
    <row r="4369" spans="1:2" x14ac:dyDescent="0.25">
      <c r="A4369">
        <v>4340</v>
      </c>
      <c r="B4369">
        <v>0.14272188275205935</v>
      </c>
    </row>
    <row r="4370" spans="1:2" x14ac:dyDescent="0.25">
      <c r="A4370">
        <v>4341</v>
      </c>
      <c r="B4370">
        <v>0.40345870721385946</v>
      </c>
    </row>
    <row r="4371" spans="1:2" x14ac:dyDescent="0.25">
      <c r="A4371">
        <v>4342</v>
      </c>
      <c r="B4371">
        <v>0.11084134967418786</v>
      </c>
    </row>
    <row r="4372" spans="1:2" x14ac:dyDescent="0.25">
      <c r="A4372">
        <v>4343</v>
      </c>
      <c r="B4372">
        <v>0.13190911357816157</v>
      </c>
    </row>
    <row r="4373" spans="1:2" x14ac:dyDescent="0.25">
      <c r="A4373">
        <v>4344</v>
      </c>
      <c r="B4373">
        <v>6.3293906721392859E-2</v>
      </c>
    </row>
    <row r="4374" spans="1:2" x14ac:dyDescent="0.25">
      <c r="A4374">
        <v>4345</v>
      </c>
      <c r="B4374">
        <v>7.5273076090302621E-2</v>
      </c>
    </row>
    <row r="4375" spans="1:2" x14ac:dyDescent="0.25">
      <c r="A4375">
        <v>4346</v>
      </c>
      <c r="B4375">
        <v>0.38601922670046063</v>
      </c>
    </row>
    <row r="4376" spans="1:2" x14ac:dyDescent="0.25">
      <c r="A4376">
        <v>4347</v>
      </c>
      <c r="B4376">
        <v>0.10262391956587931</v>
      </c>
    </row>
    <row r="4377" spans="1:2" x14ac:dyDescent="0.25">
      <c r="A4377">
        <v>4348</v>
      </c>
      <c r="B4377">
        <v>0.1810728566920535</v>
      </c>
    </row>
    <row r="4378" spans="1:2" x14ac:dyDescent="0.25">
      <c r="A4378">
        <v>4349</v>
      </c>
      <c r="B4378">
        <v>0.16177106942980657</v>
      </c>
    </row>
    <row r="4379" spans="1:2" x14ac:dyDescent="0.25">
      <c r="A4379">
        <v>4350</v>
      </c>
      <c r="B4379">
        <v>0.15828965009348386</v>
      </c>
    </row>
    <row r="4380" spans="1:2" x14ac:dyDescent="0.25">
      <c r="A4380">
        <v>4351</v>
      </c>
      <c r="B4380">
        <v>0.32298960646719543</v>
      </c>
    </row>
    <row r="4381" spans="1:2" x14ac:dyDescent="0.25">
      <c r="A4381">
        <v>4352</v>
      </c>
      <c r="B4381">
        <v>0.29544145762820168</v>
      </c>
    </row>
    <row r="4382" spans="1:2" x14ac:dyDescent="0.25">
      <c r="A4382">
        <v>4353</v>
      </c>
      <c r="B4382">
        <v>8.6361155025840644E-2</v>
      </c>
    </row>
    <row r="4383" spans="1:2" x14ac:dyDescent="0.25">
      <c r="A4383">
        <v>4354</v>
      </c>
      <c r="B4383">
        <v>0.39632320547070954</v>
      </c>
    </row>
    <row r="4384" spans="1:2" x14ac:dyDescent="0.25">
      <c r="A4384">
        <v>4355</v>
      </c>
      <c r="B4384">
        <v>0.39141863976429409</v>
      </c>
    </row>
    <row r="4385" spans="1:2" x14ac:dyDescent="0.25">
      <c r="A4385">
        <v>4356</v>
      </c>
      <c r="B4385">
        <v>0.15792851367539842</v>
      </c>
    </row>
    <row r="4386" spans="1:2" x14ac:dyDescent="0.25">
      <c r="A4386">
        <v>4357</v>
      </c>
      <c r="B4386">
        <v>0.11743124325565071</v>
      </c>
    </row>
    <row r="4387" spans="1:2" x14ac:dyDescent="0.25">
      <c r="A4387">
        <v>4358</v>
      </c>
      <c r="B4387">
        <v>0.26432825740063515</v>
      </c>
    </row>
    <row r="4388" spans="1:2" x14ac:dyDescent="0.25">
      <c r="A4388">
        <v>4359</v>
      </c>
      <c r="B4388">
        <v>0.69848035819654886</v>
      </c>
    </row>
    <row r="4389" spans="1:2" x14ac:dyDescent="0.25">
      <c r="A4389">
        <v>4360</v>
      </c>
      <c r="B4389">
        <v>0.12446741153627201</v>
      </c>
    </row>
    <row r="4390" spans="1:2" x14ac:dyDescent="0.25">
      <c r="A4390">
        <v>4361</v>
      </c>
      <c r="B4390">
        <v>0.25417542246190317</v>
      </c>
    </row>
    <row r="4391" spans="1:2" x14ac:dyDescent="0.25">
      <c r="A4391">
        <v>4362</v>
      </c>
      <c r="B4391">
        <v>9.0160877374890258E-2</v>
      </c>
    </row>
    <row r="4392" spans="1:2" x14ac:dyDescent="0.25">
      <c r="A4392">
        <v>4363</v>
      </c>
      <c r="B4392">
        <v>0.35640794339317183</v>
      </c>
    </row>
    <row r="4393" spans="1:2" x14ac:dyDescent="0.25">
      <c r="A4393">
        <v>4364</v>
      </c>
      <c r="B4393">
        <v>0.18496284245476591</v>
      </c>
    </row>
    <row r="4394" spans="1:2" x14ac:dyDescent="0.25">
      <c r="A4394">
        <v>4365</v>
      </c>
      <c r="B4394">
        <v>0.20267591792041612</v>
      </c>
    </row>
    <row r="4395" spans="1:2" x14ac:dyDescent="0.25">
      <c r="A4395">
        <v>4366</v>
      </c>
      <c r="B4395">
        <v>0.18301181827948096</v>
      </c>
    </row>
    <row r="4396" spans="1:2" x14ac:dyDescent="0.25">
      <c r="A4396">
        <v>4367</v>
      </c>
      <c r="B4396">
        <v>0.27631734915645478</v>
      </c>
    </row>
    <row r="4397" spans="1:2" x14ac:dyDescent="0.25">
      <c r="A4397">
        <v>4368</v>
      </c>
      <c r="B4397">
        <v>5.0747114466935202E-2</v>
      </c>
    </row>
    <row r="4398" spans="1:2" x14ac:dyDescent="0.25">
      <c r="A4398">
        <v>4369</v>
      </c>
      <c r="B4398">
        <v>0.10611169178711441</v>
      </c>
    </row>
    <row r="4399" spans="1:2" x14ac:dyDescent="0.25">
      <c r="A4399">
        <v>4370</v>
      </c>
      <c r="B4399">
        <v>0.32932860978521289</v>
      </c>
    </row>
    <row r="4400" spans="1:2" x14ac:dyDescent="0.25">
      <c r="A4400">
        <v>4371</v>
      </c>
      <c r="B4400">
        <v>0.46422950666548907</v>
      </c>
    </row>
    <row r="4401" spans="1:2" x14ac:dyDescent="0.25">
      <c r="A4401">
        <v>4372</v>
      </c>
      <c r="B4401">
        <v>0.43329026776933688</v>
      </c>
    </row>
    <row r="4402" spans="1:2" x14ac:dyDescent="0.25">
      <c r="A4402">
        <v>4373</v>
      </c>
      <c r="B4402">
        <v>7.5582768966777833E-2</v>
      </c>
    </row>
    <row r="4403" spans="1:2" x14ac:dyDescent="0.25">
      <c r="A4403">
        <v>4374</v>
      </c>
      <c r="B4403">
        <v>4.3834095488478657E-2</v>
      </c>
    </row>
    <row r="4404" spans="1:2" x14ac:dyDescent="0.25">
      <c r="A4404">
        <v>4375</v>
      </c>
      <c r="B4404">
        <v>0.33666232966023019</v>
      </c>
    </row>
    <row r="4405" spans="1:2" x14ac:dyDescent="0.25">
      <c r="A4405">
        <v>4376</v>
      </c>
      <c r="B4405">
        <v>0.18833020507958589</v>
      </c>
    </row>
    <row r="4406" spans="1:2" x14ac:dyDescent="0.25">
      <c r="A4406">
        <v>4377</v>
      </c>
      <c r="B4406">
        <v>0.18512616495302089</v>
      </c>
    </row>
    <row r="4407" spans="1:2" x14ac:dyDescent="0.25">
      <c r="A4407">
        <v>4378</v>
      </c>
      <c r="B4407">
        <v>0.1619883220454767</v>
      </c>
    </row>
    <row r="4408" spans="1:2" x14ac:dyDescent="0.25">
      <c r="A4408">
        <v>4379</v>
      </c>
      <c r="B4408">
        <v>0.45017124750481602</v>
      </c>
    </row>
    <row r="4409" spans="1:2" x14ac:dyDescent="0.25">
      <c r="A4409">
        <v>4380</v>
      </c>
      <c r="B4409">
        <v>0.16567153443854785</v>
      </c>
    </row>
    <row r="4410" spans="1:2" x14ac:dyDescent="0.25">
      <c r="A4410">
        <v>4381</v>
      </c>
      <c r="B4410">
        <v>1.3308376303329512</v>
      </c>
    </row>
    <row r="4411" spans="1:2" x14ac:dyDescent="0.25">
      <c r="A4411">
        <v>4382</v>
      </c>
      <c r="B4411">
        <v>0.10589485656321561</v>
      </c>
    </row>
    <row r="4412" spans="1:2" x14ac:dyDescent="0.25">
      <c r="A4412">
        <v>4383</v>
      </c>
      <c r="B4412">
        <v>0.46038152569036578</v>
      </c>
    </row>
    <row r="4413" spans="1:2" x14ac:dyDescent="0.25">
      <c r="A4413">
        <v>4384</v>
      </c>
      <c r="B4413">
        <v>9.0922465682038572E-2</v>
      </c>
    </row>
    <row r="4414" spans="1:2" x14ac:dyDescent="0.25">
      <c r="A4414">
        <v>4385</v>
      </c>
      <c r="B4414">
        <v>3.0405370343816331E-2</v>
      </c>
    </row>
    <row r="4415" spans="1:2" x14ac:dyDescent="0.25">
      <c r="A4415">
        <v>4386</v>
      </c>
      <c r="B4415">
        <v>0.10509603035042027</v>
      </c>
    </row>
    <row r="4416" spans="1:2" x14ac:dyDescent="0.25">
      <c r="A4416">
        <v>4387</v>
      </c>
      <c r="B4416">
        <v>0.11402996480765212</v>
      </c>
    </row>
    <row r="4417" spans="1:2" x14ac:dyDescent="0.25">
      <c r="A4417">
        <v>4388</v>
      </c>
      <c r="B4417">
        <v>0.21375966395030319</v>
      </c>
    </row>
    <row r="4418" spans="1:2" x14ac:dyDescent="0.25">
      <c r="A4418">
        <v>4389</v>
      </c>
      <c r="B4418">
        <v>0.10430212036880154</v>
      </c>
    </row>
    <row r="4419" spans="1:2" x14ac:dyDescent="0.25">
      <c r="A4419">
        <v>4390</v>
      </c>
      <c r="B4419">
        <v>0.19731467522775151</v>
      </c>
    </row>
    <row r="4420" spans="1:2" x14ac:dyDescent="0.25">
      <c r="A4420">
        <v>4391</v>
      </c>
      <c r="B4420">
        <v>0.18174190769163359</v>
      </c>
    </row>
    <row r="4421" spans="1:2" x14ac:dyDescent="0.25">
      <c r="A4421">
        <v>4392</v>
      </c>
      <c r="B4421">
        <v>0.17227868655038625</v>
      </c>
    </row>
    <row r="4422" spans="1:2" x14ac:dyDescent="0.25">
      <c r="A4422">
        <v>4393</v>
      </c>
      <c r="B4422">
        <v>0.15873641727967727</v>
      </c>
    </row>
    <row r="4423" spans="1:2" x14ac:dyDescent="0.25">
      <c r="A4423">
        <v>4394</v>
      </c>
      <c r="B4423">
        <v>0.13864297540103748</v>
      </c>
    </row>
    <row r="4424" spans="1:2" x14ac:dyDescent="0.25">
      <c r="A4424">
        <v>4395</v>
      </c>
      <c r="B4424">
        <v>2.9596996720219409E-2</v>
      </c>
    </row>
    <row r="4425" spans="1:2" x14ac:dyDescent="0.25">
      <c r="A4425">
        <v>4396</v>
      </c>
      <c r="B4425">
        <v>9.6064510625760186E-2</v>
      </c>
    </row>
    <row r="4426" spans="1:2" x14ac:dyDescent="0.25">
      <c r="A4426">
        <v>4397</v>
      </c>
      <c r="B4426">
        <v>0.51452958852110808</v>
      </c>
    </row>
    <row r="4427" spans="1:2" x14ac:dyDescent="0.25">
      <c r="A4427">
        <v>4398</v>
      </c>
      <c r="B4427">
        <v>0.12133393208857211</v>
      </c>
    </row>
    <row r="4428" spans="1:2" x14ac:dyDescent="0.25">
      <c r="A4428">
        <v>4399</v>
      </c>
      <c r="B4428">
        <v>0.23034324613991009</v>
      </c>
    </row>
    <row r="4429" spans="1:2" x14ac:dyDescent="0.25">
      <c r="A4429">
        <v>4400</v>
      </c>
      <c r="B4429">
        <v>0.48425682954679505</v>
      </c>
    </row>
    <row r="4430" spans="1:2" x14ac:dyDescent="0.25">
      <c r="A4430">
        <v>4401</v>
      </c>
      <c r="B4430">
        <v>4.0083061377013292E-2</v>
      </c>
    </row>
    <row r="4431" spans="1:2" x14ac:dyDescent="0.25">
      <c r="A4431">
        <v>4402</v>
      </c>
      <c r="B4431">
        <v>0.22172590006556198</v>
      </c>
    </row>
    <row r="4432" spans="1:2" x14ac:dyDescent="0.25">
      <c r="A4432">
        <v>4403</v>
      </c>
      <c r="B4432">
        <v>0.16257057238813771</v>
      </c>
    </row>
    <row r="4433" spans="1:2" x14ac:dyDescent="0.25">
      <c r="A4433">
        <v>4404</v>
      </c>
      <c r="B4433">
        <v>6.1399383066419219E-2</v>
      </c>
    </row>
    <row r="4434" spans="1:2" x14ac:dyDescent="0.25">
      <c r="A4434">
        <v>4405</v>
      </c>
      <c r="B4434">
        <v>3.8345956491915224E-2</v>
      </c>
    </row>
    <row r="4435" spans="1:2" x14ac:dyDescent="0.25">
      <c r="A4435">
        <v>4406</v>
      </c>
      <c r="B4435">
        <v>0.35371715078912908</v>
      </c>
    </row>
    <row r="4436" spans="1:2" x14ac:dyDescent="0.25">
      <c r="A4436">
        <v>4407</v>
      </c>
      <c r="B4436">
        <v>3.0549026123275907E-2</v>
      </c>
    </row>
    <row r="4437" spans="1:2" x14ac:dyDescent="0.25">
      <c r="A4437">
        <v>4408</v>
      </c>
      <c r="B4437">
        <v>0.37221979079644035</v>
      </c>
    </row>
    <row r="4438" spans="1:2" x14ac:dyDescent="0.25">
      <c r="A4438">
        <v>4409</v>
      </c>
      <c r="B4438">
        <v>0.20199541220410538</v>
      </c>
    </row>
    <row r="4439" spans="1:2" x14ac:dyDescent="0.25">
      <c r="A4439">
        <v>4410</v>
      </c>
      <c r="B4439">
        <v>0.19561223528779154</v>
      </c>
    </row>
    <row r="4440" spans="1:2" x14ac:dyDescent="0.25">
      <c r="A4440">
        <v>4411</v>
      </c>
      <c r="B4440">
        <v>0.16485260180797612</v>
      </c>
    </row>
    <row r="4441" spans="1:2" x14ac:dyDescent="0.25">
      <c r="A4441">
        <v>4412</v>
      </c>
      <c r="B4441">
        <v>0.16238808778048341</v>
      </c>
    </row>
    <row r="4442" spans="1:2" x14ac:dyDescent="0.25">
      <c r="A4442">
        <v>4413</v>
      </c>
      <c r="B4442">
        <v>9.3333254649974426E-2</v>
      </c>
    </row>
    <row r="4443" spans="1:2" x14ac:dyDescent="0.25">
      <c r="A4443">
        <v>4414</v>
      </c>
      <c r="B4443">
        <v>0.54846102429115651</v>
      </c>
    </row>
    <row r="4444" spans="1:2" x14ac:dyDescent="0.25">
      <c r="A4444">
        <v>4415</v>
      </c>
      <c r="B4444">
        <v>0.29159609478410914</v>
      </c>
    </row>
    <row r="4445" spans="1:2" x14ac:dyDescent="0.25">
      <c r="A4445">
        <v>4416</v>
      </c>
      <c r="B4445">
        <v>0.3449426646495784</v>
      </c>
    </row>
    <row r="4446" spans="1:2" x14ac:dyDescent="0.25">
      <c r="A4446">
        <v>4417</v>
      </c>
      <c r="B4446">
        <v>1.3208326971886926</v>
      </c>
    </row>
    <row r="4447" spans="1:2" x14ac:dyDescent="0.25">
      <c r="A4447">
        <v>4418</v>
      </c>
      <c r="B4447">
        <v>0.15319677457380848</v>
      </c>
    </row>
    <row r="4448" spans="1:2" x14ac:dyDescent="0.25">
      <c r="A4448">
        <v>4419</v>
      </c>
      <c r="B4448">
        <v>0.20992191734720317</v>
      </c>
    </row>
    <row r="4449" spans="1:2" x14ac:dyDescent="0.25">
      <c r="A4449">
        <v>4420</v>
      </c>
      <c r="B4449">
        <v>4.5897400863004159E-2</v>
      </c>
    </row>
    <row r="4450" spans="1:2" x14ac:dyDescent="0.25">
      <c r="A4450">
        <v>4421</v>
      </c>
      <c r="B4450">
        <v>1.7757007719591239E-2</v>
      </c>
    </row>
    <row r="4451" spans="1:2" x14ac:dyDescent="0.25">
      <c r="A4451">
        <v>4422</v>
      </c>
      <c r="B4451">
        <v>0.15248800434077231</v>
      </c>
    </row>
    <row r="4452" spans="1:2" x14ac:dyDescent="0.25">
      <c r="A4452">
        <v>4423</v>
      </c>
      <c r="B4452">
        <v>0.44098632962879575</v>
      </c>
    </row>
    <row r="4453" spans="1:2" x14ac:dyDescent="0.25">
      <c r="A4453">
        <v>4424</v>
      </c>
      <c r="B4453">
        <v>9.6786008447873509E-2</v>
      </c>
    </row>
    <row r="4454" spans="1:2" x14ac:dyDescent="0.25">
      <c r="A4454">
        <v>4425</v>
      </c>
      <c r="B4454">
        <v>0.53139678365457621</v>
      </c>
    </row>
    <row r="4455" spans="1:2" x14ac:dyDescent="0.25">
      <c r="A4455">
        <v>4426</v>
      </c>
      <c r="B4455">
        <v>0.12828015993379169</v>
      </c>
    </row>
    <row r="4456" spans="1:2" x14ac:dyDescent="0.25">
      <c r="A4456">
        <v>4427</v>
      </c>
      <c r="B4456">
        <v>0.30335782464560995</v>
      </c>
    </row>
    <row r="4457" spans="1:2" x14ac:dyDescent="0.25">
      <c r="A4457">
        <v>4428</v>
      </c>
      <c r="B4457">
        <v>0.28071811706759059</v>
      </c>
    </row>
    <row r="4458" spans="1:2" x14ac:dyDescent="0.25">
      <c r="A4458">
        <v>4429</v>
      </c>
      <c r="B4458">
        <v>0.12889091298405392</v>
      </c>
    </row>
    <row r="4459" spans="1:2" x14ac:dyDescent="0.25">
      <c r="A4459">
        <v>4430</v>
      </c>
      <c r="B4459">
        <v>9.8489901851754852E-2</v>
      </c>
    </row>
    <row r="4460" spans="1:2" x14ac:dyDescent="0.25">
      <c r="A4460">
        <v>4431</v>
      </c>
      <c r="B4460">
        <v>0.33638976960222289</v>
      </c>
    </row>
    <row r="4461" spans="1:2" x14ac:dyDescent="0.25">
      <c r="A4461">
        <v>4432</v>
      </c>
      <c r="B4461">
        <v>0.20783763383511464</v>
      </c>
    </row>
    <row r="4462" spans="1:2" x14ac:dyDescent="0.25">
      <c r="A4462">
        <v>4433</v>
      </c>
      <c r="B4462">
        <v>7.4345188217597002E-2</v>
      </c>
    </row>
    <row r="4463" spans="1:2" x14ac:dyDescent="0.25">
      <c r="A4463">
        <v>4434</v>
      </c>
      <c r="B4463">
        <v>0.10863752356291892</v>
      </c>
    </row>
    <row r="4464" spans="1:2" x14ac:dyDescent="0.25">
      <c r="A4464">
        <v>4435</v>
      </c>
      <c r="B4464">
        <v>0.16332953919396981</v>
      </c>
    </row>
    <row r="4465" spans="1:2" x14ac:dyDescent="0.25">
      <c r="A4465">
        <v>4436</v>
      </c>
      <c r="B4465">
        <v>0.55981521585304839</v>
      </c>
    </row>
    <row r="4466" spans="1:2" x14ac:dyDescent="0.25">
      <c r="A4466">
        <v>4437</v>
      </c>
      <c r="B4466">
        <v>0.15744230584945543</v>
      </c>
    </row>
    <row r="4467" spans="1:2" x14ac:dyDescent="0.25">
      <c r="A4467">
        <v>4438</v>
      </c>
      <c r="B4467">
        <v>2.9673068678837743E-2</v>
      </c>
    </row>
    <row r="4468" spans="1:2" x14ac:dyDescent="0.25">
      <c r="A4468">
        <v>4439</v>
      </c>
      <c r="B4468">
        <v>0.16969360667550523</v>
      </c>
    </row>
    <row r="4469" spans="1:2" x14ac:dyDescent="0.25">
      <c r="A4469">
        <v>4440</v>
      </c>
      <c r="B4469">
        <v>0.36236374602381471</v>
      </c>
    </row>
    <row r="4470" spans="1:2" x14ac:dyDescent="0.25">
      <c r="A4470">
        <v>4441</v>
      </c>
      <c r="B4470">
        <v>0.27748048764589478</v>
      </c>
    </row>
    <row r="4471" spans="1:2" x14ac:dyDescent="0.25">
      <c r="A4471">
        <v>4442</v>
      </c>
      <c r="B4471">
        <v>0.15254224773643882</v>
      </c>
    </row>
    <row r="4472" spans="1:2" x14ac:dyDescent="0.25">
      <c r="A4472">
        <v>4443</v>
      </c>
      <c r="B4472">
        <v>0.15296132992553185</v>
      </c>
    </row>
    <row r="4473" spans="1:2" x14ac:dyDescent="0.25">
      <c r="A4473">
        <v>4444</v>
      </c>
      <c r="B4473">
        <v>0.10703343384452343</v>
      </c>
    </row>
    <row r="4474" spans="1:2" x14ac:dyDescent="0.25">
      <c r="A4474">
        <v>4445</v>
      </c>
      <c r="B4474">
        <v>0.42512181839703517</v>
      </c>
    </row>
    <row r="4475" spans="1:2" x14ac:dyDescent="0.25">
      <c r="A4475">
        <v>4446</v>
      </c>
      <c r="B4475">
        <v>0.4175779073485596</v>
      </c>
    </row>
    <row r="4476" spans="1:2" x14ac:dyDescent="0.25">
      <c r="A4476">
        <v>4447</v>
      </c>
      <c r="B4476">
        <v>0.21264294150678636</v>
      </c>
    </row>
    <row r="4477" spans="1:2" x14ac:dyDescent="0.25">
      <c r="A4477">
        <v>4448</v>
      </c>
      <c r="B4477">
        <v>0.22076614415241155</v>
      </c>
    </row>
    <row r="4478" spans="1:2" x14ac:dyDescent="0.25">
      <c r="A4478">
        <v>4449</v>
      </c>
      <c r="B4478">
        <v>0.14324308439738806</v>
      </c>
    </row>
    <row r="4479" spans="1:2" x14ac:dyDescent="0.25">
      <c r="A4479">
        <v>4450</v>
      </c>
      <c r="B4479">
        <v>0.20848010293900404</v>
      </c>
    </row>
    <row r="4480" spans="1:2" x14ac:dyDescent="0.25">
      <c r="A4480">
        <v>4451</v>
      </c>
      <c r="B4480">
        <v>9.9366419770025666E-2</v>
      </c>
    </row>
    <row r="4481" spans="1:2" x14ac:dyDescent="0.25">
      <c r="A4481">
        <v>4452</v>
      </c>
      <c r="B4481">
        <v>7.0441300857858061E-2</v>
      </c>
    </row>
    <row r="4482" spans="1:2" x14ac:dyDescent="0.25">
      <c r="A4482">
        <v>4453</v>
      </c>
      <c r="B4482">
        <v>0.15448600527199854</v>
      </c>
    </row>
    <row r="4483" spans="1:2" x14ac:dyDescent="0.25">
      <c r="A4483">
        <v>4454</v>
      </c>
      <c r="B4483">
        <v>0.15186307056763018</v>
      </c>
    </row>
    <row r="4484" spans="1:2" x14ac:dyDescent="0.25">
      <c r="A4484">
        <v>4455</v>
      </c>
      <c r="B4484">
        <v>0.17050805089236906</v>
      </c>
    </row>
    <row r="4485" spans="1:2" x14ac:dyDescent="0.25">
      <c r="A4485">
        <v>4456</v>
      </c>
      <c r="B4485">
        <v>9.6683128014405331E-2</v>
      </c>
    </row>
    <row r="4486" spans="1:2" x14ac:dyDescent="0.25">
      <c r="A4486">
        <v>4457</v>
      </c>
      <c r="B4486">
        <v>0.22165053315861613</v>
      </c>
    </row>
    <row r="4487" spans="1:2" x14ac:dyDescent="0.25">
      <c r="A4487">
        <v>4458</v>
      </c>
      <c r="B4487">
        <v>0.1493952184675986</v>
      </c>
    </row>
    <row r="4488" spans="1:2" x14ac:dyDescent="0.25">
      <c r="A4488">
        <v>4459</v>
      </c>
      <c r="B4488">
        <v>0.11335949298762808</v>
      </c>
    </row>
    <row r="4489" spans="1:2" x14ac:dyDescent="0.25">
      <c r="A4489">
        <v>4460</v>
      </c>
      <c r="B4489">
        <v>0.23495268150883858</v>
      </c>
    </row>
    <row r="4490" spans="1:2" x14ac:dyDescent="0.25">
      <c r="A4490">
        <v>4461</v>
      </c>
      <c r="B4490">
        <v>0.13925446658007842</v>
      </c>
    </row>
    <row r="4491" spans="1:2" x14ac:dyDescent="0.25">
      <c r="A4491">
        <v>4462</v>
      </c>
      <c r="B4491">
        <v>0.19642432972303356</v>
      </c>
    </row>
    <row r="4492" spans="1:2" x14ac:dyDescent="0.25">
      <c r="A4492">
        <v>4463</v>
      </c>
      <c r="B4492">
        <v>4.8417221709632925E-2</v>
      </c>
    </row>
    <row r="4493" spans="1:2" x14ac:dyDescent="0.25">
      <c r="A4493">
        <v>4464</v>
      </c>
      <c r="B4493">
        <v>0.11505824889802731</v>
      </c>
    </row>
    <row r="4494" spans="1:2" x14ac:dyDescent="0.25">
      <c r="A4494">
        <v>4465</v>
      </c>
      <c r="B4494">
        <v>0.10389909440744929</v>
      </c>
    </row>
    <row r="4495" spans="1:2" x14ac:dyDescent="0.25">
      <c r="A4495">
        <v>4466</v>
      </c>
      <c r="B4495">
        <v>0.311949712842156</v>
      </c>
    </row>
    <row r="4496" spans="1:2" x14ac:dyDescent="0.25">
      <c r="A4496">
        <v>4467</v>
      </c>
      <c r="B4496">
        <v>0.16076279322903508</v>
      </c>
    </row>
    <row r="4497" spans="1:2" x14ac:dyDescent="0.25">
      <c r="A4497">
        <v>4468</v>
      </c>
      <c r="B4497">
        <v>0.25323871640084727</v>
      </c>
    </row>
    <row r="4498" spans="1:2" x14ac:dyDescent="0.25">
      <c r="A4498">
        <v>4469</v>
      </c>
      <c r="B4498">
        <v>0.11308690066531039</v>
      </c>
    </row>
    <row r="4499" spans="1:2" x14ac:dyDescent="0.25">
      <c r="A4499">
        <v>4470</v>
      </c>
      <c r="B4499">
        <v>0.3136358329257784</v>
      </c>
    </row>
    <row r="4500" spans="1:2" x14ac:dyDescent="0.25">
      <c r="A4500">
        <v>4471</v>
      </c>
      <c r="B4500">
        <v>0.24511112563883153</v>
      </c>
    </row>
    <row r="4501" spans="1:2" x14ac:dyDescent="0.25">
      <c r="A4501">
        <v>4472</v>
      </c>
      <c r="B4501">
        <v>0.13541172239474211</v>
      </c>
    </row>
    <row r="4502" spans="1:2" x14ac:dyDescent="0.25">
      <c r="A4502">
        <v>4473</v>
      </c>
      <c r="B4502">
        <v>0.3240015965155924</v>
      </c>
    </row>
    <row r="4503" spans="1:2" x14ac:dyDescent="0.25">
      <c r="A4503">
        <v>4474</v>
      </c>
      <c r="B4503">
        <v>0.20177424134401403</v>
      </c>
    </row>
    <row r="4504" spans="1:2" x14ac:dyDescent="0.25">
      <c r="A4504">
        <v>4475</v>
      </c>
      <c r="B4504">
        <v>0.14497352844179823</v>
      </c>
    </row>
    <row r="4505" spans="1:2" x14ac:dyDescent="0.25">
      <c r="A4505">
        <v>4476</v>
      </c>
      <c r="B4505">
        <v>0.2289668051174639</v>
      </c>
    </row>
    <row r="4506" spans="1:2" x14ac:dyDescent="0.25">
      <c r="A4506">
        <v>4477</v>
      </c>
      <c r="B4506">
        <v>0.16623992531483989</v>
      </c>
    </row>
    <row r="4507" spans="1:2" x14ac:dyDescent="0.25">
      <c r="A4507">
        <v>4478</v>
      </c>
      <c r="B4507">
        <v>0.139568979102215</v>
      </c>
    </row>
    <row r="4508" spans="1:2" x14ac:dyDescent="0.25">
      <c r="A4508">
        <v>4479</v>
      </c>
      <c r="B4508">
        <v>0.18772502113142789</v>
      </c>
    </row>
    <row r="4509" spans="1:2" x14ac:dyDescent="0.25">
      <c r="A4509">
        <v>4480</v>
      </c>
      <c r="B4509">
        <v>0.12554856497928654</v>
      </c>
    </row>
    <row r="4510" spans="1:2" x14ac:dyDescent="0.25">
      <c r="A4510">
        <v>4481</v>
      </c>
      <c r="B4510">
        <v>0.14831428986681078</v>
      </c>
    </row>
    <row r="4511" spans="1:2" x14ac:dyDescent="0.25">
      <c r="A4511">
        <v>4482</v>
      </c>
      <c r="B4511">
        <v>0.48971201980491541</v>
      </c>
    </row>
    <row r="4512" spans="1:2" x14ac:dyDescent="0.25">
      <c r="A4512">
        <v>4483</v>
      </c>
      <c r="B4512">
        <v>0.5624404539385669</v>
      </c>
    </row>
    <row r="4513" spans="1:2" x14ac:dyDescent="0.25">
      <c r="A4513">
        <v>4484</v>
      </c>
      <c r="B4513">
        <v>0.12900319291138213</v>
      </c>
    </row>
    <row r="4514" spans="1:2" x14ac:dyDescent="0.25">
      <c r="A4514">
        <v>4485</v>
      </c>
      <c r="B4514">
        <v>0.1692248657025319</v>
      </c>
    </row>
    <row r="4515" spans="1:2" x14ac:dyDescent="0.25">
      <c r="A4515">
        <v>4486</v>
      </c>
      <c r="B4515">
        <v>0.12548541792597251</v>
      </c>
    </row>
    <row r="4516" spans="1:2" x14ac:dyDescent="0.25">
      <c r="A4516">
        <v>4487</v>
      </c>
      <c r="B4516">
        <v>8.6765549594174748E-2</v>
      </c>
    </row>
    <row r="4517" spans="1:2" x14ac:dyDescent="0.25">
      <c r="A4517">
        <v>4488</v>
      </c>
      <c r="B4517">
        <v>0.20445121507595457</v>
      </c>
    </row>
    <row r="4518" spans="1:2" x14ac:dyDescent="0.25">
      <c r="A4518">
        <v>4489</v>
      </c>
      <c r="B4518">
        <v>0.28019136872833766</v>
      </c>
    </row>
    <row r="4519" spans="1:2" x14ac:dyDescent="0.25">
      <c r="A4519">
        <v>4490</v>
      </c>
      <c r="B4519">
        <v>0.1676876147078081</v>
      </c>
    </row>
    <row r="4520" spans="1:2" x14ac:dyDescent="0.25">
      <c r="A4520">
        <v>4491</v>
      </c>
      <c r="B4520">
        <v>0.21426194550188843</v>
      </c>
    </row>
    <row r="4521" spans="1:2" x14ac:dyDescent="0.25">
      <c r="A4521">
        <v>4492</v>
      </c>
      <c r="B4521">
        <v>0.21703933373628737</v>
      </c>
    </row>
    <row r="4522" spans="1:2" x14ac:dyDescent="0.25">
      <c r="A4522">
        <v>4493</v>
      </c>
      <c r="B4522">
        <v>0.22866009635411683</v>
      </c>
    </row>
    <row r="4523" spans="1:2" x14ac:dyDescent="0.25">
      <c r="A4523">
        <v>4494</v>
      </c>
      <c r="B4523">
        <v>0.14164352192860888</v>
      </c>
    </row>
    <row r="4524" spans="1:2" x14ac:dyDescent="0.25">
      <c r="A4524">
        <v>4495</v>
      </c>
      <c r="B4524">
        <v>0.16887773221763422</v>
      </c>
    </row>
    <row r="4525" spans="1:2" x14ac:dyDescent="0.25">
      <c r="A4525">
        <v>4496</v>
      </c>
      <c r="B4525">
        <v>0.22764559172123333</v>
      </c>
    </row>
    <row r="4526" spans="1:2" x14ac:dyDescent="0.25">
      <c r="A4526">
        <v>4497</v>
      </c>
      <c r="B4526">
        <v>0.12276394021387918</v>
      </c>
    </row>
    <row r="4527" spans="1:2" x14ac:dyDescent="0.25">
      <c r="A4527">
        <v>4498</v>
      </c>
      <c r="B4527">
        <v>8.5893227026869814E-2</v>
      </c>
    </row>
    <row r="4528" spans="1:2" x14ac:dyDescent="0.25">
      <c r="A4528">
        <v>4499</v>
      </c>
      <c r="B4528">
        <v>4.0429136712501319E-2</v>
      </c>
    </row>
    <row r="4529" spans="1:2" x14ac:dyDescent="0.25">
      <c r="A4529">
        <v>4500</v>
      </c>
      <c r="B4529">
        <v>1.5723531413652632E-2</v>
      </c>
    </row>
    <row r="4530" spans="1:2" x14ac:dyDescent="0.25">
      <c r="A4530">
        <v>4501</v>
      </c>
      <c r="B4530">
        <v>0.3035404372557709</v>
      </c>
    </row>
    <row r="4531" spans="1:2" x14ac:dyDescent="0.25">
      <c r="A4531">
        <v>4502</v>
      </c>
      <c r="B4531">
        <v>0.10199249451390117</v>
      </c>
    </row>
    <row r="4532" spans="1:2" x14ac:dyDescent="0.25">
      <c r="A4532">
        <v>4503</v>
      </c>
      <c r="B4532">
        <v>0.46561492464123849</v>
      </c>
    </row>
    <row r="4533" spans="1:2" x14ac:dyDescent="0.25">
      <c r="A4533">
        <v>4504</v>
      </c>
      <c r="B4533">
        <v>0.13439891190545158</v>
      </c>
    </row>
    <row r="4534" spans="1:2" x14ac:dyDescent="0.25">
      <c r="A4534">
        <v>4505</v>
      </c>
      <c r="B4534">
        <v>0.23291664976756438</v>
      </c>
    </row>
    <row r="4535" spans="1:2" x14ac:dyDescent="0.25">
      <c r="A4535">
        <v>4506</v>
      </c>
      <c r="B4535">
        <v>0.35938534409766215</v>
      </c>
    </row>
    <row r="4536" spans="1:2" x14ac:dyDescent="0.25">
      <c r="A4536">
        <v>4507</v>
      </c>
      <c r="B4536">
        <v>0.23457200160587491</v>
      </c>
    </row>
    <row r="4537" spans="1:2" x14ac:dyDescent="0.25">
      <c r="A4537">
        <v>4508</v>
      </c>
      <c r="B4537">
        <v>0.21845605716771363</v>
      </c>
    </row>
    <row r="4538" spans="1:2" x14ac:dyDescent="0.25">
      <c r="A4538">
        <v>4509</v>
      </c>
      <c r="B4538">
        <v>0.21879022130079592</v>
      </c>
    </row>
    <row r="4539" spans="1:2" x14ac:dyDescent="0.25">
      <c r="A4539">
        <v>4510</v>
      </c>
      <c r="B4539">
        <v>5.0903496897577498E-2</v>
      </c>
    </row>
    <row r="4540" spans="1:2" x14ac:dyDescent="0.25">
      <c r="A4540">
        <v>4511</v>
      </c>
      <c r="B4540">
        <v>0.34066298810639689</v>
      </c>
    </row>
    <row r="4541" spans="1:2" x14ac:dyDescent="0.25">
      <c r="A4541">
        <v>4512</v>
      </c>
      <c r="B4541">
        <v>9.4192785560896261E-2</v>
      </c>
    </row>
    <row r="4542" spans="1:2" x14ac:dyDescent="0.25">
      <c r="A4542">
        <v>4513</v>
      </c>
      <c r="B4542">
        <v>0.2645814892553025</v>
      </c>
    </row>
    <row r="4543" spans="1:2" x14ac:dyDescent="0.25">
      <c r="A4543">
        <v>4514</v>
      </c>
      <c r="B4543">
        <v>0.45120381325982262</v>
      </c>
    </row>
    <row r="4544" spans="1:2" x14ac:dyDescent="0.25">
      <c r="A4544">
        <v>4515</v>
      </c>
      <c r="B4544">
        <v>0.70706055967768167</v>
      </c>
    </row>
    <row r="4545" spans="1:2" x14ac:dyDescent="0.25">
      <c r="A4545">
        <v>4516</v>
      </c>
      <c r="B4545">
        <v>0.15570549595604358</v>
      </c>
    </row>
    <row r="4546" spans="1:2" x14ac:dyDescent="0.25">
      <c r="A4546">
        <v>4517</v>
      </c>
      <c r="B4546">
        <v>0.26879093377829649</v>
      </c>
    </row>
    <row r="4547" spans="1:2" x14ac:dyDescent="0.25">
      <c r="A4547">
        <v>4518</v>
      </c>
      <c r="B4547">
        <v>0.1394189147222209</v>
      </c>
    </row>
    <row r="4548" spans="1:2" x14ac:dyDescent="0.25">
      <c r="A4548">
        <v>4519</v>
      </c>
      <c r="B4548">
        <v>0.15607759405336125</v>
      </c>
    </row>
    <row r="4549" spans="1:2" x14ac:dyDescent="0.25">
      <c r="A4549">
        <v>4520</v>
      </c>
      <c r="B4549">
        <v>0.13886133043059815</v>
      </c>
    </row>
    <row r="4550" spans="1:2" x14ac:dyDescent="0.25">
      <c r="A4550">
        <v>4521</v>
      </c>
      <c r="B4550">
        <v>0.25130979160554767</v>
      </c>
    </row>
    <row r="4551" spans="1:2" x14ac:dyDescent="0.25">
      <c r="A4551">
        <v>4522</v>
      </c>
      <c r="B4551">
        <v>0.18120081537371382</v>
      </c>
    </row>
    <row r="4552" spans="1:2" x14ac:dyDescent="0.25">
      <c r="A4552">
        <v>4523</v>
      </c>
      <c r="B4552">
        <v>7.8050307912850017E-2</v>
      </c>
    </row>
    <row r="4553" spans="1:2" x14ac:dyDescent="0.25">
      <c r="A4553">
        <v>4524</v>
      </c>
      <c r="B4553">
        <v>0.12028135078383759</v>
      </c>
    </row>
    <row r="4554" spans="1:2" x14ac:dyDescent="0.25">
      <c r="A4554">
        <v>4525</v>
      </c>
      <c r="B4554">
        <v>0.43054474979455831</v>
      </c>
    </row>
    <row r="4555" spans="1:2" x14ac:dyDescent="0.25">
      <c r="A4555">
        <v>4526</v>
      </c>
      <c r="B4555">
        <v>0.20772455764444975</v>
      </c>
    </row>
    <row r="4556" spans="1:2" x14ac:dyDescent="0.25">
      <c r="A4556">
        <v>4527</v>
      </c>
      <c r="B4556">
        <v>6.4903282542682461E-2</v>
      </c>
    </row>
    <row r="4557" spans="1:2" x14ac:dyDescent="0.25">
      <c r="A4557">
        <v>4528</v>
      </c>
      <c r="B4557">
        <v>0.24351849406464129</v>
      </c>
    </row>
    <row r="4558" spans="1:2" x14ac:dyDescent="0.25">
      <c r="A4558">
        <v>4529</v>
      </c>
      <c r="B4558">
        <v>0.14765337141746213</v>
      </c>
    </row>
    <row r="4559" spans="1:2" x14ac:dyDescent="0.25">
      <c r="A4559">
        <v>4530</v>
      </c>
      <c r="B4559">
        <v>0.12907497180586225</v>
      </c>
    </row>
    <row r="4560" spans="1:2" x14ac:dyDescent="0.25">
      <c r="A4560">
        <v>4531</v>
      </c>
      <c r="B4560">
        <v>0.47912582817160615</v>
      </c>
    </row>
    <row r="4561" spans="1:2" x14ac:dyDescent="0.25">
      <c r="A4561">
        <v>4532</v>
      </c>
      <c r="B4561">
        <v>0.16026951858997873</v>
      </c>
    </row>
    <row r="4562" spans="1:2" x14ac:dyDescent="0.25">
      <c r="A4562">
        <v>4533</v>
      </c>
      <c r="B4562">
        <v>0.28357486889470862</v>
      </c>
    </row>
    <row r="4563" spans="1:2" x14ac:dyDescent="0.25">
      <c r="A4563">
        <v>4534</v>
      </c>
      <c r="B4563">
        <v>0.18257045314078621</v>
      </c>
    </row>
    <row r="4564" spans="1:2" x14ac:dyDescent="0.25">
      <c r="A4564">
        <v>4535</v>
      </c>
      <c r="B4564">
        <v>0.15075614859243541</v>
      </c>
    </row>
    <row r="4565" spans="1:2" x14ac:dyDescent="0.25">
      <c r="A4565">
        <v>4536</v>
      </c>
      <c r="B4565">
        <v>0.27261244759466974</v>
      </c>
    </row>
    <row r="4566" spans="1:2" x14ac:dyDescent="0.25">
      <c r="A4566">
        <v>4537</v>
      </c>
      <c r="B4566">
        <v>9.0575498825288897E-2</v>
      </c>
    </row>
    <row r="4567" spans="1:2" x14ac:dyDescent="0.25">
      <c r="A4567">
        <v>4538</v>
      </c>
      <c r="B4567">
        <v>7.5651298951654511E-2</v>
      </c>
    </row>
    <row r="4568" spans="1:2" x14ac:dyDescent="0.25">
      <c r="A4568">
        <v>4539</v>
      </c>
      <c r="B4568">
        <v>0.55436717262909907</v>
      </c>
    </row>
    <row r="4569" spans="1:2" x14ac:dyDescent="0.25">
      <c r="A4569">
        <v>4540</v>
      </c>
      <c r="B4569">
        <v>0.1483013673069721</v>
      </c>
    </row>
    <row r="4570" spans="1:2" x14ac:dyDescent="0.25">
      <c r="A4570">
        <v>4541</v>
      </c>
      <c r="B4570">
        <v>0.22473408090833988</v>
      </c>
    </row>
    <row r="4571" spans="1:2" x14ac:dyDescent="0.25">
      <c r="A4571">
        <v>4542</v>
      </c>
      <c r="B4571">
        <v>0.14217517731810669</v>
      </c>
    </row>
    <row r="4572" spans="1:2" x14ac:dyDescent="0.25">
      <c r="A4572">
        <v>4543</v>
      </c>
      <c r="B4572">
        <v>0.12878622570885531</v>
      </c>
    </row>
    <row r="4573" spans="1:2" x14ac:dyDescent="0.25">
      <c r="A4573">
        <v>4544</v>
      </c>
      <c r="B4573">
        <v>0.19271752625637378</v>
      </c>
    </row>
    <row r="4574" spans="1:2" x14ac:dyDescent="0.25">
      <c r="A4574">
        <v>4545</v>
      </c>
      <c r="B4574">
        <v>0.19820671865821113</v>
      </c>
    </row>
    <row r="4575" spans="1:2" x14ac:dyDescent="0.25">
      <c r="A4575">
        <v>4546</v>
      </c>
      <c r="B4575">
        <v>0.43398633944148685</v>
      </c>
    </row>
    <row r="4576" spans="1:2" x14ac:dyDescent="0.25">
      <c r="A4576">
        <v>4547</v>
      </c>
      <c r="B4576">
        <v>0.39463873101368213</v>
      </c>
    </row>
    <row r="4577" spans="1:2" x14ac:dyDescent="0.25">
      <c r="A4577">
        <v>4548</v>
      </c>
      <c r="B4577">
        <v>0.18764160385337975</v>
      </c>
    </row>
    <row r="4578" spans="1:2" x14ac:dyDescent="0.25">
      <c r="A4578">
        <v>4549</v>
      </c>
      <c r="B4578">
        <v>7.2929815561008887E-2</v>
      </c>
    </row>
    <row r="4579" spans="1:2" x14ac:dyDescent="0.25">
      <c r="A4579">
        <v>4550</v>
      </c>
      <c r="B4579">
        <v>0.16775187308780307</v>
      </c>
    </row>
    <row r="4580" spans="1:2" x14ac:dyDescent="0.25">
      <c r="A4580">
        <v>4551</v>
      </c>
      <c r="B4580">
        <v>6.2014970280385696E-2</v>
      </c>
    </row>
    <row r="4581" spans="1:2" x14ac:dyDescent="0.25">
      <c r="A4581">
        <v>4552</v>
      </c>
      <c r="B4581">
        <v>0.66072301524356836</v>
      </c>
    </row>
    <row r="4582" spans="1:2" x14ac:dyDescent="0.25">
      <c r="A4582">
        <v>4553</v>
      </c>
      <c r="B4582">
        <v>0.27123202493551551</v>
      </c>
    </row>
    <row r="4583" spans="1:2" x14ac:dyDescent="0.25">
      <c r="A4583">
        <v>4554</v>
      </c>
      <c r="B4583">
        <v>0.15468025778877217</v>
      </c>
    </row>
    <row r="4584" spans="1:2" x14ac:dyDescent="0.25">
      <c r="A4584">
        <v>4555</v>
      </c>
      <c r="B4584">
        <v>0.33394016789682651</v>
      </c>
    </row>
    <row r="4585" spans="1:2" x14ac:dyDescent="0.25">
      <c r="A4585">
        <v>4556</v>
      </c>
      <c r="B4585">
        <v>0.15646021349407038</v>
      </c>
    </row>
    <row r="4586" spans="1:2" x14ac:dyDescent="0.25">
      <c r="A4586">
        <v>4557</v>
      </c>
      <c r="B4586">
        <v>0.18883924510530009</v>
      </c>
    </row>
    <row r="4587" spans="1:2" x14ac:dyDescent="0.25">
      <c r="A4587">
        <v>4558</v>
      </c>
      <c r="B4587">
        <v>0.17138698799906479</v>
      </c>
    </row>
    <row r="4588" spans="1:2" x14ac:dyDescent="0.25">
      <c r="A4588">
        <v>4559</v>
      </c>
      <c r="B4588">
        <v>0.38024331178327919</v>
      </c>
    </row>
    <row r="4589" spans="1:2" x14ac:dyDescent="0.25">
      <c r="A4589">
        <v>4560</v>
      </c>
      <c r="B4589">
        <v>0.14022527419541941</v>
      </c>
    </row>
    <row r="4590" spans="1:2" x14ac:dyDescent="0.25">
      <c r="A4590">
        <v>4561</v>
      </c>
      <c r="B4590">
        <v>0.19319215879218538</v>
      </c>
    </row>
    <row r="4591" spans="1:2" x14ac:dyDescent="0.25">
      <c r="A4591">
        <v>4562</v>
      </c>
      <c r="B4591">
        <v>0.30596121031491758</v>
      </c>
    </row>
    <row r="4592" spans="1:2" x14ac:dyDescent="0.25">
      <c r="A4592">
        <v>4563</v>
      </c>
      <c r="B4592">
        <v>0.64753955797076779</v>
      </c>
    </row>
    <row r="4593" spans="1:2" x14ac:dyDescent="0.25">
      <c r="A4593">
        <v>4564</v>
      </c>
      <c r="B4593">
        <v>0.20155596778089055</v>
      </c>
    </row>
    <row r="4594" spans="1:2" x14ac:dyDescent="0.25">
      <c r="A4594">
        <v>4565</v>
      </c>
      <c r="B4594">
        <v>0.45506837053668786</v>
      </c>
    </row>
    <row r="4595" spans="1:2" x14ac:dyDescent="0.25">
      <c r="A4595">
        <v>4566</v>
      </c>
      <c r="B4595">
        <v>0.18184568206133286</v>
      </c>
    </row>
    <row r="4596" spans="1:2" x14ac:dyDescent="0.25">
      <c r="A4596">
        <v>4567</v>
      </c>
      <c r="B4596">
        <v>0.13759342736093932</v>
      </c>
    </row>
    <row r="4597" spans="1:2" x14ac:dyDescent="0.25">
      <c r="A4597">
        <v>4568</v>
      </c>
      <c r="B4597">
        <v>0.31286805987624772</v>
      </c>
    </row>
    <row r="4598" spans="1:2" x14ac:dyDescent="0.25">
      <c r="A4598">
        <v>4569</v>
      </c>
      <c r="B4598">
        <v>0.18028537455030683</v>
      </c>
    </row>
    <row r="4599" spans="1:2" x14ac:dyDescent="0.25">
      <c r="A4599">
        <v>4570</v>
      </c>
      <c r="B4599">
        <v>0.17595364915232517</v>
      </c>
    </row>
    <row r="4600" spans="1:2" x14ac:dyDescent="0.25">
      <c r="A4600">
        <v>4571</v>
      </c>
      <c r="B4600">
        <v>0.20489645636370951</v>
      </c>
    </row>
    <row r="4601" spans="1:2" x14ac:dyDescent="0.25">
      <c r="A4601">
        <v>4572</v>
      </c>
      <c r="B4601">
        <v>6.9063210487731647E-2</v>
      </c>
    </row>
    <row r="4602" spans="1:2" x14ac:dyDescent="0.25">
      <c r="A4602">
        <v>4573</v>
      </c>
      <c r="B4602">
        <v>0.14329803420609832</v>
      </c>
    </row>
    <row r="4603" spans="1:2" x14ac:dyDescent="0.25">
      <c r="A4603">
        <v>4574</v>
      </c>
      <c r="B4603">
        <v>0.21653442561465472</v>
      </c>
    </row>
    <row r="4604" spans="1:2" x14ac:dyDescent="0.25">
      <c r="A4604">
        <v>4575</v>
      </c>
      <c r="B4604">
        <v>0.32426019186176652</v>
      </c>
    </row>
    <row r="4605" spans="1:2" x14ac:dyDescent="0.25">
      <c r="A4605">
        <v>4576</v>
      </c>
      <c r="B4605">
        <v>5.857562763280038E-2</v>
      </c>
    </row>
    <row r="4606" spans="1:2" x14ac:dyDescent="0.25">
      <c r="A4606">
        <v>4577</v>
      </c>
      <c r="B4606">
        <v>0.4511968399156438</v>
      </c>
    </row>
    <row r="4607" spans="1:2" x14ac:dyDescent="0.25">
      <c r="A4607">
        <v>4578</v>
      </c>
      <c r="B4607">
        <v>0.15549019130783484</v>
      </c>
    </row>
    <row r="4608" spans="1:2" x14ac:dyDescent="0.25">
      <c r="A4608">
        <v>4579</v>
      </c>
      <c r="B4608">
        <v>0.15986217728136051</v>
      </c>
    </row>
    <row r="4609" spans="1:2" x14ac:dyDescent="0.25">
      <c r="A4609">
        <v>4580</v>
      </c>
      <c r="B4609">
        <v>0.1483540073336434</v>
      </c>
    </row>
    <row r="4610" spans="1:2" x14ac:dyDescent="0.25">
      <c r="A4610">
        <v>4581</v>
      </c>
      <c r="B4610">
        <v>0.19351077608365433</v>
      </c>
    </row>
    <row r="4611" spans="1:2" x14ac:dyDescent="0.25">
      <c r="A4611">
        <v>4582</v>
      </c>
      <c r="B4611">
        <v>0.15970238610732485</v>
      </c>
    </row>
    <row r="4612" spans="1:2" x14ac:dyDescent="0.25">
      <c r="A4612">
        <v>4583</v>
      </c>
      <c r="B4612">
        <v>9.9539442177700888E-2</v>
      </c>
    </row>
    <row r="4613" spans="1:2" x14ac:dyDescent="0.25">
      <c r="A4613">
        <v>4584</v>
      </c>
      <c r="B4613">
        <v>0.11521943282051562</v>
      </c>
    </row>
    <row r="4614" spans="1:2" x14ac:dyDescent="0.25">
      <c r="A4614">
        <v>4585</v>
      </c>
      <c r="B4614">
        <v>0.44556675720699251</v>
      </c>
    </row>
    <row r="4615" spans="1:2" x14ac:dyDescent="0.25">
      <c r="A4615">
        <v>4586</v>
      </c>
      <c r="B4615">
        <v>0.11211980901079685</v>
      </c>
    </row>
    <row r="4616" spans="1:2" x14ac:dyDescent="0.25">
      <c r="A4616">
        <v>4587</v>
      </c>
      <c r="B4616">
        <v>0.22620586866612125</v>
      </c>
    </row>
    <row r="4617" spans="1:2" x14ac:dyDescent="0.25">
      <c r="A4617">
        <v>4588</v>
      </c>
      <c r="B4617">
        <v>0.10120977478502757</v>
      </c>
    </row>
    <row r="4618" spans="1:2" x14ac:dyDescent="0.25">
      <c r="A4618">
        <v>4589</v>
      </c>
      <c r="B4618">
        <v>9.1311600030085413E-2</v>
      </c>
    </row>
    <row r="4619" spans="1:2" x14ac:dyDescent="0.25">
      <c r="A4619">
        <v>4590</v>
      </c>
      <c r="B4619">
        <v>0.28563976914375516</v>
      </c>
    </row>
    <row r="4620" spans="1:2" x14ac:dyDescent="0.25">
      <c r="A4620">
        <v>4591</v>
      </c>
      <c r="B4620">
        <v>0.16531714986862997</v>
      </c>
    </row>
    <row r="4621" spans="1:2" x14ac:dyDescent="0.25">
      <c r="A4621">
        <v>4592</v>
      </c>
      <c r="B4621">
        <v>4.7090591686617771E-2</v>
      </c>
    </row>
    <row r="4622" spans="1:2" x14ac:dyDescent="0.25">
      <c r="A4622">
        <v>4593</v>
      </c>
      <c r="B4622">
        <v>8.3391390727053774E-2</v>
      </c>
    </row>
    <row r="4623" spans="1:2" x14ac:dyDescent="0.25">
      <c r="A4623">
        <v>4594</v>
      </c>
      <c r="B4623">
        <v>4.065426000908412E-2</v>
      </c>
    </row>
    <row r="4624" spans="1:2" x14ac:dyDescent="0.25">
      <c r="A4624">
        <v>4595</v>
      </c>
      <c r="B4624">
        <v>0.22224598866262008</v>
      </c>
    </row>
    <row r="4625" spans="1:2" x14ac:dyDescent="0.25">
      <c r="A4625">
        <v>4596</v>
      </c>
      <c r="B4625">
        <v>0.1375319672332784</v>
      </c>
    </row>
    <row r="4626" spans="1:2" x14ac:dyDescent="0.25">
      <c r="A4626">
        <v>4597</v>
      </c>
      <c r="B4626">
        <v>0.17960521505082455</v>
      </c>
    </row>
    <row r="4627" spans="1:2" x14ac:dyDescent="0.25">
      <c r="A4627">
        <v>4598</v>
      </c>
      <c r="B4627">
        <v>4.1072556058131211E-2</v>
      </c>
    </row>
    <row r="4628" spans="1:2" x14ac:dyDescent="0.25">
      <c r="A4628">
        <v>4599</v>
      </c>
      <c r="B4628">
        <v>0.12824398483594313</v>
      </c>
    </row>
    <row r="4629" spans="1:2" x14ac:dyDescent="0.25">
      <c r="A4629">
        <v>4600</v>
      </c>
      <c r="B4629">
        <v>0.34998397369143591</v>
      </c>
    </row>
    <row r="4630" spans="1:2" x14ac:dyDescent="0.25">
      <c r="A4630">
        <v>4601</v>
      </c>
      <c r="B4630">
        <v>0.38017266046971943</v>
      </c>
    </row>
    <row r="4631" spans="1:2" x14ac:dyDescent="0.25">
      <c r="A4631">
        <v>4602</v>
      </c>
      <c r="B4631">
        <v>0.24284239350229023</v>
      </c>
    </row>
    <row r="4632" spans="1:2" x14ac:dyDescent="0.25">
      <c r="A4632">
        <v>4603</v>
      </c>
      <c r="B4632">
        <v>0.3125790795325008</v>
      </c>
    </row>
    <row r="4633" spans="1:2" x14ac:dyDescent="0.25">
      <c r="A4633">
        <v>4604</v>
      </c>
      <c r="B4633">
        <v>0.36155529866066088</v>
      </c>
    </row>
    <row r="4634" spans="1:2" x14ac:dyDescent="0.25">
      <c r="A4634">
        <v>4605</v>
      </c>
      <c r="B4634">
        <v>0.13225676131221431</v>
      </c>
    </row>
    <row r="4635" spans="1:2" x14ac:dyDescent="0.25">
      <c r="A4635">
        <v>4606</v>
      </c>
      <c r="B4635">
        <v>8.8231186769069922E-2</v>
      </c>
    </row>
    <row r="4636" spans="1:2" x14ac:dyDescent="0.25">
      <c r="A4636">
        <v>4607</v>
      </c>
      <c r="B4636">
        <v>9.4658451120897907E-2</v>
      </c>
    </row>
    <row r="4637" spans="1:2" x14ac:dyDescent="0.25">
      <c r="A4637">
        <v>4608</v>
      </c>
      <c r="B4637">
        <v>0.19186639636445979</v>
      </c>
    </row>
    <row r="4638" spans="1:2" x14ac:dyDescent="0.25">
      <c r="A4638">
        <v>4609</v>
      </c>
      <c r="B4638">
        <v>0.15642225754470296</v>
      </c>
    </row>
    <row r="4639" spans="1:2" x14ac:dyDescent="0.25">
      <c r="A4639">
        <v>4610</v>
      </c>
      <c r="B4639">
        <v>0.10944068287179197</v>
      </c>
    </row>
    <row r="4640" spans="1:2" x14ac:dyDescent="0.25">
      <c r="A4640">
        <v>4611</v>
      </c>
      <c r="B4640">
        <v>0.25563256226606562</v>
      </c>
    </row>
    <row r="4641" spans="1:2" x14ac:dyDescent="0.25">
      <c r="A4641">
        <v>4612</v>
      </c>
      <c r="B4641">
        <v>0.69580419908195246</v>
      </c>
    </row>
    <row r="4642" spans="1:2" x14ac:dyDescent="0.25">
      <c r="A4642">
        <v>4613</v>
      </c>
      <c r="B4642">
        <v>0.18211687035767871</v>
      </c>
    </row>
    <row r="4643" spans="1:2" x14ac:dyDescent="0.25">
      <c r="A4643">
        <v>4614</v>
      </c>
      <c r="B4643">
        <v>0.14051560035962354</v>
      </c>
    </row>
    <row r="4644" spans="1:2" x14ac:dyDescent="0.25">
      <c r="A4644">
        <v>4615</v>
      </c>
      <c r="B4644">
        <v>0.11236137298135163</v>
      </c>
    </row>
    <row r="4645" spans="1:2" x14ac:dyDescent="0.25">
      <c r="A4645">
        <v>4616</v>
      </c>
      <c r="B4645">
        <v>0.15327247024417318</v>
      </c>
    </row>
    <row r="4646" spans="1:2" x14ac:dyDescent="0.25">
      <c r="A4646">
        <v>4617</v>
      </c>
      <c r="B4646">
        <v>0.10203128166432747</v>
      </c>
    </row>
    <row r="4647" spans="1:2" x14ac:dyDescent="0.25">
      <c r="A4647">
        <v>4618</v>
      </c>
      <c r="B4647">
        <v>5.6958986245059968E-2</v>
      </c>
    </row>
    <row r="4648" spans="1:2" x14ac:dyDescent="0.25">
      <c r="A4648">
        <v>4619</v>
      </c>
      <c r="B4648">
        <v>0.12074890720252476</v>
      </c>
    </row>
    <row r="4649" spans="1:2" x14ac:dyDescent="0.25">
      <c r="A4649">
        <v>4620</v>
      </c>
      <c r="B4649">
        <v>0.12923039366285774</v>
      </c>
    </row>
    <row r="4650" spans="1:2" x14ac:dyDescent="0.25">
      <c r="A4650">
        <v>4621</v>
      </c>
      <c r="B4650">
        <v>0.16964517104762891</v>
      </c>
    </row>
    <row r="4651" spans="1:2" x14ac:dyDescent="0.25">
      <c r="A4651">
        <v>4622</v>
      </c>
      <c r="B4651">
        <v>0.15758490868762037</v>
      </c>
    </row>
    <row r="4652" spans="1:2" x14ac:dyDescent="0.25">
      <c r="A4652">
        <v>4623</v>
      </c>
      <c r="B4652">
        <v>0.37046386062777559</v>
      </c>
    </row>
    <row r="4653" spans="1:2" x14ac:dyDescent="0.25">
      <c r="A4653">
        <v>4624</v>
      </c>
      <c r="B4653">
        <v>0.35202102790307788</v>
      </c>
    </row>
    <row r="4654" spans="1:2" x14ac:dyDescent="0.25">
      <c r="A4654">
        <v>4625</v>
      </c>
      <c r="B4654">
        <v>0.37555858693267175</v>
      </c>
    </row>
    <row r="4655" spans="1:2" x14ac:dyDescent="0.25">
      <c r="A4655">
        <v>4626</v>
      </c>
      <c r="B4655">
        <v>0.11240375591015066</v>
      </c>
    </row>
    <row r="4656" spans="1:2" x14ac:dyDescent="0.25">
      <c r="A4656">
        <v>4627</v>
      </c>
      <c r="B4656">
        <v>6.6542623837878276E-2</v>
      </c>
    </row>
    <row r="4657" spans="1:2" x14ac:dyDescent="0.25">
      <c r="A4657">
        <v>4628</v>
      </c>
      <c r="B4657">
        <v>0.21975239282247611</v>
      </c>
    </row>
    <row r="4658" spans="1:2" x14ac:dyDescent="0.25">
      <c r="A4658">
        <v>4629</v>
      </c>
      <c r="B4658">
        <v>0.59413265637332868</v>
      </c>
    </row>
    <row r="4659" spans="1:2" x14ac:dyDescent="0.25">
      <c r="A4659">
        <v>4630</v>
      </c>
      <c r="B4659">
        <v>0.29986501625288847</v>
      </c>
    </row>
    <row r="4660" spans="1:2" x14ac:dyDescent="0.25">
      <c r="A4660">
        <v>4631</v>
      </c>
      <c r="B4660">
        <v>0.11639359101031958</v>
      </c>
    </row>
    <row r="4661" spans="1:2" x14ac:dyDescent="0.25">
      <c r="A4661">
        <v>4632</v>
      </c>
      <c r="B4661">
        <v>0.2943031880896545</v>
      </c>
    </row>
    <row r="4662" spans="1:2" x14ac:dyDescent="0.25">
      <c r="A4662">
        <v>4633</v>
      </c>
      <c r="B4662">
        <v>0.27550179494521904</v>
      </c>
    </row>
    <row r="4663" spans="1:2" x14ac:dyDescent="0.25">
      <c r="A4663">
        <v>4634</v>
      </c>
      <c r="B4663">
        <v>0.15344578276557905</v>
      </c>
    </row>
    <row r="4664" spans="1:2" x14ac:dyDescent="0.25">
      <c r="A4664">
        <v>4635</v>
      </c>
      <c r="B4664">
        <v>0.17295570188576476</v>
      </c>
    </row>
    <row r="4665" spans="1:2" x14ac:dyDescent="0.25">
      <c r="A4665">
        <v>4636</v>
      </c>
      <c r="B4665">
        <v>0.16161249483530149</v>
      </c>
    </row>
    <row r="4666" spans="1:2" x14ac:dyDescent="0.25">
      <c r="A4666">
        <v>4637</v>
      </c>
      <c r="B4666">
        <v>0.14286379775958363</v>
      </c>
    </row>
    <row r="4667" spans="1:2" x14ac:dyDescent="0.25">
      <c r="A4667">
        <v>4638</v>
      </c>
      <c r="B4667">
        <v>4.4103786095536245E-2</v>
      </c>
    </row>
    <row r="4668" spans="1:2" x14ac:dyDescent="0.25">
      <c r="A4668">
        <v>4639</v>
      </c>
      <c r="B4668">
        <v>9.5645780515514298E-2</v>
      </c>
    </row>
    <row r="4669" spans="1:2" x14ac:dyDescent="0.25">
      <c r="A4669">
        <v>4640</v>
      </c>
      <c r="B4669">
        <v>0.32304389687111701</v>
      </c>
    </row>
    <row r="4670" spans="1:2" x14ac:dyDescent="0.25">
      <c r="A4670">
        <v>4641</v>
      </c>
      <c r="B4670">
        <v>0.20723621134487308</v>
      </c>
    </row>
    <row r="4671" spans="1:2" x14ac:dyDescent="0.25">
      <c r="A4671">
        <v>4642</v>
      </c>
      <c r="B4671">
        <v>0.13504964679534684</v>
      </c>
    </row>
    <row r="4672" spans="1:2" x14ac:dyDescent="0.25">
      <c r="A4672">
        <v>4643</v>
      </c>
      <c r="B4672">
        <v>0.18796666096244702</v>
      </c>
    </row>
    <row r="4673" spans="1:2" x14ac:dyDescent="0.25">
      <c r="A4673">
        <v>4644</v>
      </c>
      <c r="B4673">
        <v>0.20510024170668389</v>
      </c>
    </row>
    <row r="4674" spans="1:2" x14ac:dyDescent="0.25">
      <c r="A4674">
        <v>4645</v>
      </c>
      <c r="B4674">
        <v>0.35973462838822745</v>
      </c>
    </row>
    <row r="4675" spans="1:2" x14ac:dyDescent="0.25">
      <c r="A4675">
        <v>4646</v>
      </c>
      <c r="B4675">
        <v>6.9863585687737179E-2</v>
      </c>
    </row>
    <row r="4676" spans="1:2" x14ac:dyDescent="0.25">
      <c r="A4676">
        <v>4647</v>
      </c>
      <c r="B4676">
        <v>0.11395840398327182</v>
      </c>
    </row>
    <row r="4677" spans="1:2" x14ac:dyDescent="0.25">
      <c r="A4677">
        <v>4648</v>
      </c>
      <c r="B4677">
        <v>0.2999749815945994</v>
      </c>
    </row>
    <row r="4678" spans="1:2" x14ac:dyDescent="0.25">
      <c r="A4678">
        <v>4649</v>
      </c>
      <c r="B4678">
        <v>0.26621581699642977</v>
      </c>
    </row>
    <row r="4679" spans="1:2" x14ac:dyDescent="0.25">
      <c r="A4679">
        <v>4650</v>
      </c>
      <c r="B4679">
        <v>0.15750050256789047</v>
      </c>
    </row>
    <row r="4680" spans="1:2" x14ac:dyDescent="0.25">
      <c r="A4680">
        <v>4651</v>
      </c>
      <c r="B4680">
        <v>0.34500966129139077</v>
      </c>
    </row>
    <row r="4681" spans="1:2" x14ac:dyDescent="0.25">
      <c r="A4681">
        <v>4652</v>
      </c>
      <c r="B4681">
        <v>0.30416442241285452</v>
      </c>
    </row>
    <row r="4682" spans="1:2" x14ac:dyDescent="0.25">
      <c r="A4682">
        <v>4653</v>
      </c>
      <c r="B4682">
        <v>0.31566821351533447</v>
      </c>
    </row>
    <row r="4683" spans="1:2" x14ac:dyDescent="0.25">
      <c r="A4683">
        <v>4654</v>
      </c>
      <c r="B4683">
        <v>0.11279331228309818</v>
      </c>
    </row>
    <row r="4684" spans="1:2" x14ac:dyDescent="0.25">
      <c r="A4684">
        <v>4655</v>
      </c>
      <c r="B4684">
        <v>0.50916289548510973</v>
      </c>
    </row>
    <row r="4685" spans="1:2" x14ac:dyDescent="0.25">
      <c r="A4685">
        <v>4656</v>
      </c>
      <c r="B4685">
        <v>0.16186409796830337</v>
      </c>
    </row>
    <row r="4686" spans="1:2" x14ac:dyDescent="0.25">
      <c r="A4686">
        <v>4657</v>
      </c>
      <c r="B4686">
        <v>9.0359568274182761E-2</v>
      </c>
    </row>
    <row r="4687" spans="1:2" x14ac:dyDescent="0.25">
      <c r="A4687">
        <v>4658</v>
      </c>
      <c r="B4687">
        <v>0.20244568578241348</v>
      </c>
    </row>
    <row r="4688" spans="1:2" x14ac:dyDescent="0.25">
      <c r="A4688">
        <v>4659</v>
      </c>
      <c r="B4688">
        <v>0.10914265322699719</v>
      </c>
    </row>
    <row r="4689" spans="1:2" x14ac:dyDescent="0.25">
      <c r="A4689">
        <v>4660</v>
      </c>
      <c r="B4689">
        <v>0.268797966307597</v>
      </c>
    </row>
    <row r="4690" spans="1:2" x14ac:dyDescent="0.25">
      <c r="A4690">
        <v>4661</v>
      </c>
      <c r="B4690">
        <v>7.0672589083621035E-2</v>
      </c>
    </row>
    <row r="4691" spans="1:2" x14ac:dyDescent="0.25">
      <c r="A4691">
        <v>4662</v>
      </c>
      <c r="B4691">
        <v>0.18302489443302031</v>
      </c>
    </row>
    <row r="4692" spans="1:2" x14ac:dyDescent="0.25">
      <c r="A4692">
        <v>4663</v>
      </c>
      <c r="B4692">
        <v>0.11458866205491786</v>
      </c>
    </row>
    <row r="4693" spans="1:2" x14ac:dyDescent="0.25">
      <c r="A4693">
        <v>4664</v>
      </c>
      <c r="B4693">
        <v>8.1706436726776022E-2</v>
      </c>
    </row>
    <row r="4694" spans="1:2" x14ac:dyDescent="0.25">
      <c r="A4694">
        <v>4665</v>
      </c>
      <c r="B4694">
        <v>0.23544037205153254</v>
      </c>
    </row>
    <row r="4695" spans="1:2" x14ac:dyDescent="0.25">
      <c r="A4695">
        <v>4666</v>
      </c>
      <c r="B4695">
        <v>0.20278502898876927</v>
      </c>
    </row>
    <row r="4696" spans="1:2" x14ac:dyDescent="0.25">
      <c r="A4696">
        <v>4667</v>
      </c>
      <c r="B4696">
        <v>0.48591188260835821</v>
      </c>
    </row>
    <row r="4697" spans="1:2" x14ac:dyDescent="0.25">
      <c r="A4697">
        <v>4668</v>
      </c>
      <c r="B4697">
        <v>0.26389365437184686</v>
      </c>
    </row>
    <row r="4698" spans="1:2" x14ac:dyDescent="0.25">
      <c r="A4698">
        <v>4669</v>
      </c>
      <c r="B4698">
        <v>0.12481903632055734</v>
      </c>
    </row>
    <row r="4699" spans="1:2" x14ac:dyDescent="0.25">
      <c r="A4699">
        <v>4670</v>
      </c>
      <c r="B4699">
        <v>0.44711152942812454</v>
      </c>
    </row>
    <row r="4700" spans="1:2" x14ac:dyDescent="0.25">
      <c r="A4700">
        <v>4671</v>
      </c>
      <c r="B4700">
        <v>0.45831205249527784</v>
      </c>
    </row>
    <row r="4701" spans="1:2" x14ac:dyDescent="0.25">
      <c r="A4701">
        <v>4672</v>
      </c>
      <c r="B4701">
        <v>0.17902564178047572</v>
      </c>
    </row>
    <row r="4702" spans="1:2" x14ac:dyDescent="0.25">
      <c r="A4702">
        <v>4673</v>
      </c>
      <c r="B4702">
        <v>0.10568217181138544</v>
      </c>
    </row>
    <row r="4703" spans="1:2" x14ac:dyDescent="0.25">
      <c r="A4703">
        <v>4674</v>
      </c>
      <c r="B4703">
        <v>7.6457677143138128E-2</v>
      </c>
    </row>
    <row r="4704" spans="1:2" x14ac:dyDescent="0.25">
      <c r="A4704">
        <v>4675</v>
      </c>
      <c r="B4704">
        <v>7.6041341128592205E-2</v>
      </c>
    </row>
    <row r="4705" spans="1:2" x14ac:dyDescent="0.25">
      <c r="A4705">
        <v>4676</v>
      </c>
      <c r="B4705">
        <v>0.29419160870332584</v>
      </c>
    </row>
    <row r="4706" spans="1:2" x14ac:dyDescent="0.25">
      <c r="A4706">
        <v>4677</v>
      </c>
      <c r="B4706">
        <v>0.23197467500529453</v>
      </c>
    </row>
    <row r="4707" spans="1:2" x14ac:dyDescent="0.25">
      <c r="A4707">
        <v>4678</v>
      </c>
      <c r="B4707">
        <v>0.26159039098551412</v>
      </c>
    </row>
    <row r="4708" spans="1:2" x14ac:dyDescent="0.25">
      <c r="A4708">
        <v>4679</v>
      </c>
      <c r="B4708">
        <v>0.23621838035449702</v>
      </c>
    </row>
    <row r="4709" spans="1:2" x14ac:dyDescent="0.25">
      <c r="A4709">
        <v>4680</v>
      </c>
      <c r="B4709">
        <v>6.1674500194802008E-2</v>
      </c>
    </row>
    <row r="4710" spans="1:2" x14ac:dyDescent="0.25">
      <c r="A4710">
        <v>4681</v>
      </c>
      <c r="B4710">
        <v>0.23297762105365877</v>
      </c>
    </row>
    <row r="4711" spans="1:2" x14ac:dyDescent="0.25">
      <c r="A4711">
        <v>4682</v>
      </c>
      <c r="B4711">
        <v>0.20014984798106655</v>
      </c>
    </row>
    <row r="4712" spans="1:2" x14ac:dyDescent="0.25">
      <c r="A4712">
        <v>4683</v>
      </c>
      <c r="B4712">
        <v>0.30763347672007785</v>
      </c>
    </row>
    <row r="4713" spans="1:2" x14ac:dyDescent="0.25">
      <c r="A4713">
        <v>4684</v>
      </c>
      <c r="B4713">
        <v>0.3038351987603366</v>
      </c>
    </row>
    <row r="4714" spans="1:2" x14ac:dyDescent="0.25">
      <c r="A4714">
        <v>4685</v>
      </c>
      <c r="B4714">
        <v>5.725210053943279E-2</v>
      </c>
    </row>
    <row r="4715" spans="1:2" x14ac:dyDescent="0.25">
      <c r="A4715">
        <v>4686</v>
      </c>
      <c r="B4715">
        <v>0.40044107325080863</v>
      </c>
    </row>
    <row r="4716" spans="1:2" x14ac:dyDescent="0.25">
      <c r="A4716">
        <v>4687</v>
      </c>
      <c r="B4716">
        <v>0.1863526130996116</v>
      </c>
    </row>
    <row r="4717" spans="1:2" x14ac:dyDescent="0.25">
      <c r="A4717">
        <v>4688</v>
      </c>
      <c r="B4717">
        <v>0.41449097378702376</v>
      </c>
    </row>
    <row r="4718" spans="1:2" x14ac:dyDescent="0.25">
      <c r="A4718">
        <v>4689</v>
      </c>
      <c r="B4718">
        <v>0.22169797583724174</v>
      </c>
    </row>
    <row r="4719" spans="1:2" x14ac:dyDescent="0.25">
      <c r="A4719">
        <v>4690</v>
      </c>
      <c r="B4719">
        <v>0.11710628494398316</v>
      </c>
    </row>
    <row r="4720" spans="1:2" x14ac:dyDescent="0.25">
      <c r="A4720">
        <v>4691</v>
      </c>
      <c r="B4720">
        <v>0.513050562505175</v>
      </c>
    </row>
    <row r="4721" spans="1:2" x14ac:dyDescent="0.25">
      <c r="A4721">
        <v>4692</v>
      </c>
      <c r="B4721">
        <v>0.34827621781127549</v>
      </c>
    </row>
    <row r="4722" spans="1:2" x14ac:dyDescent="0.25">
      <c r="A4722">
        <v>4693</v>
      </c>
      <c r="B4722">
        <v>0.27324114508749181</v>
      </c>
    </row>
    <row r="4723" spans="1:2" x14ac:dyDescent="0.25">
      <c r="A4723">
        <v>4694</v>
      </c>
      <c r="B4723">
        <v>0.34013625114971491</v>
      </c>
    </row>
    <row r="4724" spans="1:2" x14ac:dyDescent="0.25">
      <c r="A4724">
        <v>4695</v>
      </c>
      <c r="B4724">
        <v>0.15742247727909764</v>
      </c>
    </row>
    <row r="4725" spans="1:2" x14ac:dyDescent="0.25">
      <c r="A4725">
        <v>4696</v>
      </c>
      <c r="B4725">
        <v>6.6004398293414396E-2</v>
      </c>
    </row>
    <row r="4726" spans="1:2" x14ac:dyDescent="0.25">
      <c r="A4726">
        <v>4697</v>
      </c>
      <c r="B4726">
        <v>0.41928114260813965</v>
      </c>
    </row>
    <row r="4727" spans="1:2" x14ac:dyDescent="0.25">
      <c r="A4727">
        <v>4698</v>
      </c>
      <c r="B4727">
        <v>0.13252697671151592</v>
      </c>
    </row>
    <row r="4728" spans="1:2" x14ac:dyDescent="0.25">
      <c r="A4728">
        <v>4699</v>
      </c>
      <c r="B4728">
        <v>6.7377307623059143E-2</v>
      </c>
    </row>
    <row r="4729" spans="1:2" x14ac:dyDescent="0.25">
      <c r="A4729">
        <v>4700</v>
      </c>
      <c r="B4729">
        <v>0.26360960845243675</v>
      </c>
    </row>
    <row r="4730" spans="1:2" x14ac:dyDescent="0.25">
      <c r="A4730">
        <v>4701</v>
      </c>
      <c r="B4730">
        <v>0.21693669616756928</v>
      </c>
    </row>
    <row r="4731" spans="1:2" x14ac:dyDescent="0.25">
      <c r="A4731">
        <v>4702</v>
      </c>
      <c r="B4731">
        <v>0.48939135009649554</v>
      </c>
    </row>
    <row r="4732" spans="1:2" x14ac:dyDescent="0.25">
      <c r="A4732">
        <v>4703</v>
      </c>
      <c r="B4732">
        <v>0.18137856937559149</v>
      </c>
    </row>
    <row r="4733" spans="1:2" x14ac:dyDescent="0.25">
      <c r="A4733">
        <v>4704</v>
      </c>
      <c r="B4733">
        <v>0.15773210822429237</v>
      </c>
    </row>
    <row r="4734" spans="1:2" x14ac:dyDescent="0.25">
      <c r="A4734">
        <v>4705</v>
      </c>
      <c r="B4734">
        <v>0.19805479354007069</v>
      </c>
    </row>
    <row r="4735" spans="1:2" x14ac:dyDescent="0.25">
      <c r="A4735">
        <v>4706</v>
      </c>
      <c r="B4735">
        <v>0.50157059324920539</v>
      </c>
    </row>
    <row r="4736" spans="1:2" x14ac:dyDescent="0.25">
      <c r="A4736">
        <v>4707</v>
      </c>
      <c r="B4736">
        <v>0.12012399595916173</v>
      </c>
    </row>
    <row r="4737" spans="1:2" x14ac:dyDescent="0.25">
      <c r="A4737">
        <v>4708</v>
      </c>
      <c r="B4737">
        <v>0.29140865315303677</v>
      </c>
    </row>
    <row r="4738" spans="1:2" x14ac:dyDescent="0.25">
      <c r="A4738">
        <v>4709</v>
      </c>
      <c r="B4738">
        <v>0.48549116311376056</v>
      </c>
    </row>
    <row r="4739" spans="1:2" x14ac:dyDescent="0.25">
      <c r="A4739">
        <v>4710</v>
      </c>
      <c r="B4739">
        <v>0.11852311690066117</v>
      </c>
    </row>
    <row r="4740" spans="1:2" x14ac:dyDescent="0.25">
      <c r="A4740">
        <v>4711</v>
      </c>
      <c r="B4740">
        <v>0.11797223280272277</v>
      </c>
    </row>
    <row r="4741" spans="1:2" x14ac:dyDescent="0.25">
      <c r="A4741">
        <v>4712</v>
      </c>
      <c r="B4741">
        <v>0.82998628314421596</v>
      </c>
    </row>
    <row r="4742" spans="1:2" x14ac:dyDescent="0.25">
      <c r="A4742">
        <v>4713</v>
      </c>
      <c r="B4742">
        <v>0.19027542394154665</v>
      </c>
    </row>
    <row r="4743" spans="1:2" x14ac:dyDescent="0.25">
      <c r="A4743">
        <v>4714</v>
      </c>
      <c r="B4743">
        <v>0.17914701784657114</v>
      </c>
    </row>
    <row r="4744" spans="1:2" x14ac:dyDescent="0.25">
      <c r="A4744">
        <v>4715</v>
      </c>
      <c r="B4744">
        <v>0.13426605890157697</v>
      </c>
    </row>
    <row r="4745" spans="1:2" x14ac:dyDescent="0.25">
      <c r="A4745">
        <v>4716</v>
      </c>
      <c r="B4745">
        <v>0.18760054554933236</v>
      </c>
    </row>
    <row r="4746" spans="1:2" x14ac:dyDescent="0.25">
      <c r="A4746">
        <v>4717</v>
      </c>
      <c r="B4746">
        <v>0.11022976876970539</v>
      </c>
    </row>
    <row r="4747" spans="1:2" x14ac:dyDescent="0.25">
      <c r="A4747">
        <v>4718</v>
      </c>
      <c r="B4747">
        <v>0.49068691387572327</v>
      </c>
    </row>
    <row r="4748" spans="1:2" x14ac:dyDescent="0.25">
      <c r="A4748">
        <v>4719</v>
      </c>
      <c r="B4748">
        <v>0.59661728800886893</v>
      </c>
    </row>
    <row r="4749" spans="1:2" x14ac:dyDescent="0.25">
      <c r="A4749">
        <v>4720</v>
      </c>
      <c r="B4749">
        <v>0.49420335775035867</v>
      </c>
    </row>
    <row r="4750" spans="1:2" x14ac:dyDescent="0.25">
      <c r="A4750">
        <v>4721</v>
      </c>
      <c r="B4750">
        <v>9.2290561819218311E-2</v>
      </c>
    </row>
    <row r="4751" spans="1:2" x14ac:dyDescent="0.25">
      <c r="A4751">
        <v>4722</v>
      </c>
      <c r="B4751">
        <v>0.19931741295736524</v>
      </c>
    </row>
    <row r="4752" spans="1:2" x14ac:dyDescent="0.25">
      <c r="A4752">
        <v>4723</v>
      </c>
      <c r="B4752">
        <v>6.3721448046809376E-2</v>
      </c>
    </row>
    <row r="4753" spans="1:2" x14ac:dyDescent="0.25">
      <c r="A4753">
        <v>4724</v>
      </c>
      <c r="B4753">
        <v>0.40901028874699791</v>
      </c>
    </row>
    <row r="4754" spans="1:2" x14ac:dyDescent="0.25">
      <c r="A4754">
        <v>4725</v>
      </c>
      <c r="B4754">
        <v>7.5134111985836957E-2</v>
      </c>
    </row>
    <row r="4755" spans="1:2" x14ac:dyDescent="0.25">
      <c r="A4755">
        <v>4726</v>
      </c>
      <c r="B4755">
        <v>4.1706040966122564E-2</v>
      </c>
    </row>
    <row r="4756" spans="1:2" x14ac:dyDescent="0.25">
      <c r="A4756">
        <v>4727</v>
      </c>
      <c r="B4756">
        <v>9.9874860263242923E-2</v>
      </c>
    </row>
    <row r="4757" spans="1:2" x14ac:dyDescent="0.25">
      <c r="A4757">
        <v>4728</v>
      </c>
      <c r="B4757">
        <v>4.4377365979745828E-2</v>
      </c>
    </row>
    <row r="4758" spans="1:2" x14ac:dyDescent="0.25">
      <c r="A4758">
        <v>4729</v>
      </c>
      <c r="B4758">
        <v>3.7689368392059303E-2</v>
      </c>
    </row>
    <row r="4759" spans="1:2" x14ac:dyDescent="0.25">
      <c r="A4759">
        <v>4730</v>
      </c>
      <c r="B4759">
        <v>0.34246717273133731</v>
      </c>
    </row>
    <row r="4760" spans="1:2" x14ac:dyDescent="0.25">
      <c r="A4760">
        <v>4731</v>
      </c>
      <c r="B4760">
        <v>0.37353932078765323</v>
      </c>
    </row>
    <row r="4761" spans="1:2" x14ac:dyDescent="0.25">
      <c r="A4761">
        <v>4732</v>
      </c>
      <c r="B4761">
        <v>0.31964267978805555</v>
      </c>
    </row>
    <row r="4762" spans="1:2" x14ac:dyDescent="0.25">
      <c r="A4762">
        <v>4733</v>
      </c>
      <c r="B4762">
        <v>0.21660978396888753</v>
      </c>
    </row>
    <row r="4763" spans="1:2" x14ac:dyDescent="0.25">
      <c r="A4763">
        <v>4734</v>
      </c>
      <c r="B4763">
        <v>0.56001227091608918</v>
      </c>
    </row>
    <row r="4764" spans="1:2" x14ac:dyDescent="0.25">
      <c r="A4764">
        <v>4735</v>
      </c>
      <c r="B4764">
        <v>0.2068390752098454</v>
      </c>
    </row>
    <row r="4765" spans="1:2" x14ac:dyDescent="0.25">
      <c r="A4765">
        <v>4736</v>
      </c>
      <c r="B4765">
        <v>0.255148293766506</v>
      </c>
    </row>
    <row r="4766" spans="1:2" x14ac:dyDescent="0.25">
      <c r="A4766">
        <v>4737</v>
      </c>
      <c r="B4766">
        <v>0.33067864940141756</v>
      </c>
    </row>
    <row r="4767" spans="1:2" x14ac:dyDescent="0.25">
      <c r="A4767">
        <v>4738</v>
      </c>
      <c r="B4767">
        <v>0.10360852702234158</v>
      </c>
    </row>
    <row r="4768" spans="1:2" x14ac:dyDescent="0.25">
      <c r="A4768">
        <v>4739</v>
      </c>
      <c r="B4768">
        <v>0.32745931348917912</v>
      </c>
    </row>
    <row r="4769" spans="1:2" x14ac:dyDescent="0.25">
      <c r="A4769">
        <v>4740</v>
      </c>
      <c r="B4769">
        <v>6.2981911196264978E-2</v>
      </c>
    </row>
    <row r="4770" spans="1:2" x14ac:dyDescent="0.25">
      <c r="A4770">
        <v>4741</v>
      </c>
      <c r="B4770">
        <v>0.12788511444408135</v>
      </c>
    </row>
    <row r="4771" spans="1:2" x14ac:dyDescent="0.25">
      <c r="A4771">
        <v>4742</v>
      </c>
      <c r="B4771">
        <v>0.3251211765506033</v>
      </c>
    </row>
    <row r="4772" spans="1:2" x14ac:dyDescent="0.25">
      <c r="A4772">
        <v>4743</v>
      </c>
      <c r="B4772">
        <v>0.17186662422978544</v>
      </c>
    </row>
    <row r="4773" spans="1:2" x14ac:dyDescent="0.25">
      <c r="A4773">
        <v>4744</v>
      </c>
      <c r="B4773">
        <v>6.0310752104640535E-2</v>
      </c>
    </row>
    <row r="4774" spans="1:2" x14ac:dyDescent="0.25">
      <c r="A4774">
        <v>4745</v>
      </c>
      <c r="B4774">
        <v>0.12102466823096675</v>
      </c>
    </row>
    <row r="4775" spans="1:2" x14ac:dyDescent="0.25">
      <c r="A4775">
        <v>4746</v>
      </c>
      <c r="B4775">
        <v>0.28032299426635116</v>
      </c>
    </row>
    <row r="4776" spans="1:2" x14ac:dyDescent="0.25">
      <c r="A4776">
        <v>4747</v>
      </c>
      <c r="B4776">
        <v>0.38428682982300733</v>
      </c>
    </row>
    <row r="4777" spans="1:2" x14ac:dyDescent="0.25">
      <c r="A4777">
        <v>4748</v>
      </c>
      <c r="B4777">
        <v>8.263124567297489E-2</v>
      </c>
    </row>
    <row r="4778" spans="1:2" x14ac:dyDescent="0.25">
      <c r="A4778">
        <v>4749</v>
      </c>
      <c r="B4778">
        <v>0.11154000781989054</v>
      </c>
    </row>
    <row r="4779" spans="1:2" x14ac:dyDescent="0.25">
      <c r="A4779">
        <v>4750</v>
      </c>
      <c r="B4779">
        <v>0.12393068039785966</v>
      </c>
    </row>
    <row r="4780" spans="1:2" x14ac:dyDescent="0.25">
      <c r="A4780">
        <v>4751</v>
      </c>
      <c r="B4780">
        <v>0.25967669116275238</v>
      </c>
    </row>
    <row r="4781" spans="1:2" x14ac:dyDescent="0.25">
      <c r="A4781">
        <v>4752</v>
      </c>
      <c r="B4781">
        <v>0.39862169895430272</v>
      </c>
    </row>
    <row r="4782" spans="1:2" x14ac:dyDescent="0.25">
      <c r="A4782">
        <v>4753</v>
      </c>
      <c r="B4782">
        <v>0.13005015494253719</v>
      </c>
    </row>
    <row r="4783" spans="1:2" x14ac:dyDescent="0.25">
      <c r="A4783">
        <v>4754</v>
      </c>
      <c r="B4783">
        <v>0.535859161083168</v>
      </c>
    </row>
    <row r="4784" spans="1:2" x14ac:dyDescent="0.25">
      <c r="A4784">
        <v>4755</v>
      </c>
      <c r="B4784">
        <v>0.15891118823952458</v>
      </c>
    </row>
    <row r="4785" spans="1:2" x14ac:dyDescent="0.25">
      <c r="A4785">
        <v>4756</v>
      </c>
      <c r="B4785">
        <v>0.15690320314999603</v>
      </c>
    </row>
    <row r="4786" spans="1:2" x14ac:dyDescent="0.25">
      <c r="A4786">
        <v>4757</v>
      </c>
      <c r="B4786">
        <v>0.14589971550435715</v>
      </c>
    </row>
    <row r="4787" spans="1:2" x14ac:dyDescent="0.25">
      <c r="A4787">
        <v>4758</v>
      </c>
      <c r="B4787">
        <v>5.4335798627546068E-2</v>
      </c>
    </row>
    <row r="4788" spans="1:2" x14ac:dyDescent="0.25">
      <c r="A4788">
        <v>4759</v>
      </c>
      <c r="B4788">
        <v>5.5355512657247891E-2</v>
      </c>
    </row>
    <row r="4789" spans="1:2" x14ac:dyDescent="0.25">
      <c r="A4789">
        <v>4760</v>
      </c>
      <c r="B4789">
        <v>0.43540855434388998</v>
      </c>
    </row>
    <row r="4790" spans="1:2" x14ac:dyDescent="0.25">
      <c r="A4790">
        <v>4761</v>
      </c>
      <c r="B4790">
        <v>0.13389033741133746</v>
      </c>
    </row>
    <row r="4791" spans="1:2" x14ac:dyDescent="0.25">
      <c r="A4791">
        <v>4762</v>
      </c>
      <c r="B4791">
        <v>1.3181890657965887</v>
      </c>
    </row>
    <row r="4792" spans="1:2" x14ac:dyDescent="0.25">
      <c r="A4792">
        <v>4763</v>
      </c>
      <c r="B4792">
        <v>0.11761185023824836</v>
      </c>
    </row>
    <row r="4793" spans="1:2" x14ac:dyDescent="0.25">
      <c r="A4793">
        <v>4764</v>
      </c>
      <c r="B4793">
        <v>0.27977497967586568</v>
      </c>
    </row>
    <row r="4794" spans="1:2" x14ac:dyDescent="0.25">
      <c r="A4794">
        <v>4765</v>
      </c>
      <c r="B4794">
        <v>0.1115817833786899</v>
      </c>
    </row>
    <row r="4795" spans="1:2" x14ac:dyDescent="0.25">
      <c r="A4795">
        <v>4766</v>
      </c>
      <c r="B4795">
        <v>0.27474063685237143</v>
      </c>
    </row>
    <row r="4796" spans="1:2" x14ac:dyDescent="0.25">
      <c r="A4796">
        <v>4767</v>
      </c>
      <c r="B4796">
        <v>0.10992207182611795</v>
      </c>
    </row>
    <row r="4797" spans="1:2" x14ac:dyDescent="0.25">
      <c r="A4797">
        <v>4768</v>
      </c>
      <c r="B4797">
        <v>0.26563329912082656</v>
      </c>
    </row>
    <row r="4798" spans="1:2" x14ac:dyDescent="0.25">
      <c r="A4798">
        <v>4769</v>
      </c>
      <c r="B4798">
        <v>0.1495764155033566</v>
      </c>
    </row>
    <row r="4799" spans="1:2" x14ac:dyDescent="0.25">
      <c r="A4799">
        <v>4770</v>
      </c>
      <c r="B4799">
        <v>0.45426654611362244</v>
      </c>
    </row>
    <row r="4800" spans="1:2" x14ac:dyDescent="0.25">
      <c r="A4800">
        <v>4771</v>
      </c>
      <c r="B4800">
        <v>8.3181116774512065E-2</v>
      </c>
    </row>
    <row r="4801" spans="1:2" x14ac:dyDescent="0.25">
      <c r="A4801">
        <v>4772</v>
      </c>
      <c r="B4801">
        <v>0.32634084161398158</v>
      </c>
    </row>
    <row r="4802" spans="1:2" x14ac:dyDescent="0.25">
      <c r="A4802">
        <v>4773</v>
      </c>
      <c r="B4802">
        <v>0.29323249155375353</v>
      </c>
    </row>
    <row r="4803" spans="1:2" x14ac:dyDescent="0.25">
      <c r="A4803">
        <v>4774</v>
      </c>
      <c r="B4803">
        <v>9.0701828312256663E-2</v>
      </c>
    </row>
    <row r="4804" spans="1:2" x14ac:dyDescent="0.25">
      <c r="A4804">
        <v>4775</v>
      </c>
      <c r="B4804">
        <v>0.326939296899113</v>
      </c>
    </row>
    <row r="4805" spans="1:2" x14ac:dyDescent="0.25">
      <c r="A4805">
        <v>4776</v>
      </c>
      <c r="B4805">
        <v>9.4296354084403039E-2</v>
      </c>
    </row>
    <row r="4806" spans="1:2" x14ac:dyDescent="0.25">
      <c r="A4806">
        <v>4777</v>
      </c>
      <c r="B4806">
        <v>9.6303870720234427E-2</v>
      </c>
    </row>
    <row r="4807" spans="1:2" x14ac:dyDescent="0.25">
      <c r="A4807">
        <v>4778</v>
      </c>
      <c r="B4807">
        <v>0.52359559783570231</v>
      </c>
    </row>
    <row r="4808" spans="1:2" x14ac:dyDescent="0.25">
      <c r="A4808">
        <v>4779</v>
      </c>
      <c r="B4808">
        <v>0.30683903396716716</v>
      </c>
    </row>
    <row r="4809" spans="1:2" x14ac:dyDescent="0.25">
      <c r="A4809">
        <v>4780</v>
      </c>
      <c r="B4809">
        <v>0.27267527197167507</v>
      </c>
    </row>
    <row r="4810" spans="1:2" x14ac:dyDescent="0.25">
      <c r="A4810">
        <v>4781</v>
      </c>
      <c r="B4810">
        <v>0.15530201291062712</v>
      </c>
    </row>
    <row r="4811" spans="1:2" x14ac:dyDescent="0.25">
      <c r="A4811">
        <v>4782</v>
      </c>
      <c r="B4811">
        <v>1.3208326971886926</v>
      </c>
    </row>
    <row r="4812" spans="1:2" x14ac:dyDescent="0.25">
      <c r="A4812">
        <v>4783</v>
      </c>
      <c r="B4812">
        <v>6.4232797736139685E-2</v>
      </c>
    </row>
    <row r="4813" spans="1:2" x14ac:dyDescent="0.25">
      <c r="A4813">
        <v>4784</v>
      </c>
      <c r="B4813">
        <v>0.11745637370098334</v>
      </c>
    </row>
    <row r="4814" spans="1:2" x14ac:dyDescent="0.25">
      <c r="A4814">
        <v>4785</v>
      </c>
      <c r="B4814">
        <v>0.26675750496187289</v>
      </c>
    </row>
    <row r="4815" spans="1:2" x14ac:dyDescent="0.25">
      <c r="A4815">
        <v>4786</v>
      </c>
      <c r="B4815">
        <v>0.36768849128885728</v>
      </c>
    </row>
    <row r="4816" spans="1:2" x14ac:dyDescent="0.25">
      <c r="A4816">
        <v>4787</v>
      </c>
      <c r="B4816">
        <v>5.1204059903496288E-2</v>
      </c>
    </row>
    <row r="4817" spans="1:2" x14ac:dyDescent="0.25">
      <c r="A4817">
        <v>4788</v>
      </c>
      <c r="B4817">
        <v>0.41434858779089545</v>
      </c>
    </row>
    <row r="4818" spans="1:2" x14ac:dyDescent="0.25">
      <c r="A4818">
        <v>4789</v>
      </c>
      <c r="B4818">
        <v>0.11811968897950041</v>
      </c>
    </row>
    <row r="4819" spans="1:2" x14ac:dyDescent="0.25">
      <c r="A4819">
        <v>4790</v>
      </c>
      <c r="B4819">
        <v>0.15474820383116833</v>
      </c>
    </row>
    <row r="4820" spans="1:2" x14ac:dyDescent="0.25">
      <c r="A4820">
        <v>4791</v>
      </c>
      <c r="B4820">
        <v>0.4336674975598947</v>
      </c>
    </row>
    <row r="4821" spans="1:2" x14ac:dyDescent="0.25">
      <c r="A4821">
        <v>4792</v>
      </c>
      <c r="B4821">
        <v>0.24106708414298234</v>
      </c>
    </row>
    <row r="4822" spans="1:2" x14ac:dyDescent="0.25">
      <c r="A4822">
        <v>4793</v>
      </c>
      <c r="B4822">
        <v>0.19986045878911521</v>
      </c>
    </row>
    <row r="4823" spans="1:2" x14ac:dyDescent="0.25">
      <c r="A4823">
        <v>4794</v>
      </c>
      <c r="B4823">
        <v>0.15806079825325037</v>
      </c>
    </row>
    <row r="4824" spans="1:2" x14ac:dyDescent="0.25">
      <c r="A4824">
        <v>4795</v>
      </c>
      <c r="B4824">
        <v>0.1035663766579271</v>
      </c>
    </row>
    <row r="4825" spans="1:2" x14ac:dyDescent="0.25">
      <c r="A4825">
        <v>4796</v>
      </c>
      <c r="B4825">
        <v>0.27550608048753905</v>
      </c>
    </row>
    <row r="4826" spans="1:2" x14ac:dyDescent="0.25">
      <c r="A4826">
        <v>4797</v>
      </c>
      <c r="B4826">
        <v>0.48885666391169708</v>
      </c>
    </row>
    <row r="4827" spans="1:2" x14ac:dyDescent="0.25">
      <c r="A4827">
        <v>4798</v>
      </c>
      <c r="B4827">
        <v>0.19040839739921886</v>
      </c>
    </row>
    <row r="4828" spans="1:2" x14ac:dyDescent="0.25">
      <c r="A4828">
        <v>4799</v>
      </c>
      <c r="B4828">
        <v>0.48311740491716149</v>
      </c>
    </row>
    <row r="4829" spans="1:2" x14ac:dyDescent="0.25">
      <c r="A4829">
        <v>4800</v>
      </c>
      <c r="B4829">
        <v>0.11951175113831536</v>
      </c>
    </row>
    <row r="4830" spans="1:2" x14ac:dyDescent="0.25">
      <c r="A4830">
        <v>4801</v>
      </c>
      <c r="B4830">
        <v>0.20450415237001762</v>
      </c>
    </row>
    <row r="4831" spans="1:2" x14ac:dyDescent="0.25">
      <c r="A4831">
        <v>4802</v>
      </c>
      <c r="B4831">
        <v>0.28412143630569825</v>
      </c>
    </row>
    <row r="4832" spans="1:2" x14ac:dyDescent="0.25">
      <c r="A4832">
        <v>4803</v>
      </c>
      <c r="B4832">
        <v>0.39245478667006595</v>
      </c>
    </row>
    <row r="4833" spans="1:2" x14ac:dyDescent="0.25">
      <c r="A4833">
        <v>4804</v>
      </c>
      <c r="B4833">
        <v>7.4455740336988374E-2</v>
      </c>
    </row>
    <row r="4834" spans="1:2" x14ac:dyDescent="0.25">
      <c r="A4834">
        <v>4805</v>
      </c>
      <c r="B4834">
        <v>6.0306939168757241E-2</v>
      </c>
    </row>
    <row r="4835" spans="1:2" x14ac:dyDescent="0.25">
      <c r="A4835">
        <v>4806</v>
      </c>
      <c r="B4835">
        <v>6.5681526765955178E-2</v>
      </c>
    </row>
    <row r="4836" spans="1:2" x14ac:dyDescent="0.25">
      <c r="A4836">
        <v>4807</v>
      </c>
      <c r="B4836">
        <v>4.7898210002116796E-2</v>
      </c>
    </row>
    <row r="4837" spans="1:2" x14ac:dyDescent="0.25">
      <c r="A4837">
        <v>4808</v>
      </c>
      <c r="B4837">
        <v>0.15402916442853834</v>
      </c>
    </row>
    <row r="4838" spans="1:2" x14ac:dyDescent="0.25">
      <c r="A4838">
        <v>4809</v>
      </c>
      <c r="B4838">
        <v>0.12113697368708976</v>
      </c>
    </row>
    <row r="4839" spans="1:2" x14ac:dyDescent="0.25">
      <c r="A4839">
        <v>4810</v>
      </c>
      <c r="B4839">
        <v>0.10600132949940498</v>
      </c>
    </row>
    <row r="4840" spans="1:2" x14ac:dyDescent="0.25">
      <c r="A4840">
        <v>4811</v>
      </c>
      <c r="B4840">
        <v>0.27846570714588603</v>
      </c>
    </row>
    <row r="4841" spans="1:2" x14ac:dyDescent="0.25">
      <c r="A4841">
        <v>4812</v>
      </c>
      <c r="B4841">
        <v>0.14893911072840421</v>
      </c>
    </row>
    <row r="4842" spans="1:2" x14ac:dyDescent="0.25">
      <c r="A4842">
        <v>4813</v>
      </c>
      <c r="B4842">
        <v>0.17897174743839656</v>
      </c>
    </row>
    <row r="4843" spans="1:2" x14ac:dyDescent="0.25">
      <c r="A4843">
        <v>4814</v>
      </c>
      <c r="B4843">
        <v>0.11452886566420134</v>
      </c>
    </row>
    <row r="4844" spans="1:2" x14ac:dyDescent="0.25">
      <c r="A4844">
        <v>4815</v>
      </c>
      <c r="B4844">
        <v>0.14048094977905912</v>
      </c>
    </row>
    <row r="4845" spans="1:2" x14ac:dyDescent="0.25">
      <c r="A4845">
        <v>4816</v>
      </c>
      <c r="B4845">
        <v>6.4886847758550692E-2</v>
      </c>
    </row>
    <row r="4846" spans="1:2" x14ac:dyDescent="0.25">
      <c r="A4846">
        <v>4817</v>
      </c>
      <c r="B4846">
        <v>0.27708593314281776</v>
      </c>
    </row>
    <row r="4847" spans="1:2" x14ac:dyDescent="0.25">
      <c r="A4847">
        <v>4818</v>
      </c>
      <c r="B4847">
        <v>9.9578795988155028E-2</v>
      </c>
    </row>
    <row r="4848" spans="1:2" x14ac:dyDescent="0.25">
      <c r="A4848">
        <v>4819</v>
      </c>
      <c r="B4848">
        <v>0.325389875313776</v>
      </c>
    </row>
    <row r="4849" spans="1:2" x14ac:dyDescent="0.25">
      <c r="A4849">
        <v>4820</v>
      </c>
      <c r="B4849">
        <v>1.3208326971886926</v>
      </c>
    </row>
    <row r="4850" spans="1:2" x14ac:dyDescent="0.25">
      <c r="A4850">
        <v>4821</v>
      </c>
      <c r="B4850">
        <v>0.23650512953984285</v>
      </c>
    </row>
    <row r="4851" spans="1:2" x14ac:dyDescent="0.25">
      <c r="A4851">
        <v>4822</v>
      </c>
      <c r="B4851">
        <v>6.8302108105260342E-2</v>
      </c>
    </row>
    <row r="4852" spans="1:2" x14ac:dyDescent="0.25">
      <c r="A4852">
        <v>4823</v>
      </c>
      <c r="B4852">
        <v>0.2618989211193638</v>
      </c>
    </row>
    <row r="4853" spans="1:2" x14ac:dyDescent="0.25">
      <c r="A4853">
        <v>4824</v>
      </c>
      <c r="B4853">
        <v>0.4869343988394107</v>
      </c>
    </row>
    <row r="4854" spans="1:2" x14ac:dyDescent="0.25">
      <c r="A4854">
        <v>4825</v>
      </c>
      <c r="B4854">
        <v>6.9207102808148707E-2</v>
      </c>
    </row>
    <row r="4855" spans="1:2" x14ac:dyDescent="0.25">
      <c r="A4855">
        <v>4826</v>
      </c>
      <c r="B4855">
        <v>0.29989728855323122</v>
      </c>
    </row>
    <row r="4856" spans="1:2" x14ac:dyDescent="0.25">
      <c r="A4856">
        <v>4827</v>
      </c>
      <c r="B4856">
        <v>6.1219658154536775E-2</v>
      </c>
    </row>
    <row r="4857" spans="1:2" x14ac:dyDescent="0.25">
      <c r="A4857">
        <v>4828</v>
      </c>
      <c r="B4857">
        <v>0.32963545804731581</v>
      </c>
    </row>
    <row r="4858" spans="1:2" x14ac:dyDescent="0.25">
      <c r="A4858">
        <v>4829</v>
      </c>
      <c r="B4858">
        <v>0.28171195339345328</v>
      </c>
    </row>
    <row r="4859" spans="1:2" x14ac:dyDescent="0.25">
      <c r="A4859">
        <v>4830</v>
      </c>
      <c r="B4859">
        <v>0.33452922864084611</v>
      </c>
    </row>
    <row r="4860" spans="1:2" x14ac:dyDescent="0.25">
      <c r="A4860">
        <v>4831</v>
      </c>
      <c r="B4860">
        <v>7.6563484216400246E-2</v>
      </c>
    </row>
    <row r="4861" spans="1:2" x14ac:dyDescent="0.25">
      <c r="A4861">
        <v>4832</v>
      </c>
      <c r="B4861">
        <v>0.13901254633584087</v>
      </c>
    </row>
    <row r="4862" spans="1:2" x14ac:dyDescent="0.25">
      <c r="A4862">
        <v>4833</v>
      </c>
      <c r="B4862">
        <v>0.20581749509246691</v>
      </c>
    </row>
    <row r="4863" spans="1:2" x14ac:dyDescent="0.25">
      <c r="A4863">
        <v>4834</v>
      </c>
      <c r="B4863">
        <v>0.15410517630449652</v>
      </c>
    </row>
    <row r="4864" spans="1:2" x14ac:dyDescent="0.25">
      <c r="A4864">
        <v>4835</v>
      </c>
      <c r="B4864">
        <v>8.2601028512619995E-2</v>
      </c>
    </row>
    <row r="4865" spans="1:2" x14ac:dyDescent="0.25">
      <c r="A4865">
        <v>4836</v>
      </c>
      <c r="B4865">
        <v>7.8397079530503122E-2</v>
      </c>
    </row>
    <row r="4866" spans="1:2" x14ac:dyDescent="0.25">
      <c r="A4866">
        <v>4837</v>
      </c>
      <c r="B4866">
        <v>0.25339266340187111</v>
      </c>
    </row>
    <row r="4867" spans="1:2" x14ac:dyDescent="0.25">
      <c r="A4867">
        <v>4838</v>
      </c>
      <c r="B4867">
        <v>1.3181890657965887</v>
      </c>
    </row>
    <row r="4868" spans="1:2" x14ac:dyDescent="0.25">
      <c r="A4868">
        <v>4839</v>
      </c>
      <c r="B4868">
        <v>5.228029654823358E-2</v>
      </c>
    </row>
    <row r="4869" spans="1:2" x14ac:dyDescent="0.25">
      <c r="A4869">
        <v>4840</v>
      </c>
      <c r="B4869">
        <v>0.15646634126820752</v>
      </c>
    </row>
    <row r="4870" spans="1:2" x14ac:dyDescent="0.25">
      <c r="A4870">
        <v>4841</v>
      </c>
      <c r="B4870">
        <v>0.1333294927800773</v>
      </c>
    </row>
    <row r="4871" spans="1:2" x14ac:dyDescent="0.25">
      <c r="A4871">
        <v>4842</v>
      </c>
      <c r="B4871">
        <v>0.57300495936796803</v>
      </c>
    </row>
    <row r="4872" spans="1:2" x14ac:dyDescent="0.25">
      <c r="A4872">
        <v>4843</v>
      </c>
      <c r="B4872">
        <v>0.36115993994958789</v>
      </c>
    </row>
    <row r="4873" spans="1:2" x14ac:dyDescent="0.25">
      <c r="A4873">
        <v>4844</v>
      </c>
      <c r="B4873">
        <v>7.1506745577366859E-2</v>
      </c>
    </row>
    <row r="4874" spans="1:2" x14ac:dyDescent="0.25">
      <c r="A4874">
        <v>4845</v>
      </c>
      <c r="B4874">
        <v>8.6053705188783206E-2</v>
      </c>
    </row>
    <row r="4875" spans="1:2" x14ac:dyDescent="0.25">
      <c r="A4875">
        <v>4846</v>
      </c>
      <c r="B4875">
        <v>6.361588993244377E-2</v>
      </c>
    </row>
    <row r="4876" spans="1:2" x14ac:dyDescent="0.25">
      <c r="A4876">
        <v>4847</v>
      </c>
      <c r="B4876">
        <v>0.26700708855373312</v>
      </c>
    </row>
    <row r="4877" spans="1:2" x14ac:dyDescent="0.25">
      <c r="A4877">
        <v>4848</v>
      </c>
      <c r="B4877">
        <v>0.26574088776773647</v>
      </c>
    </row>
    <row r="4878" spans="1:2" x14ac:dyDescent="0.25">
      <c r="A4878">
        <v>4849</v>
      </c>
      <c r="B4878">
        <v>0.238363597820515</v>
      </c>
    </row>
    <row r="4879" spans="1:2" x14ac:dyDescent="0.25">
      <c r="A4879">
        <v>4850</v>
      </c>
      <c r="B4879">
        <v>0.17151759622221374</v>
      </c>
    </row>
    <row r="4880" spans="1:2" x14ac:dyDescent="0.25">
      <c r="A4880">
        <v>4851</v>
      </c>
      <c r="B4880">
        <v>0.52191287124566776</v>
      </c>
    </row>
    <row r="4881" spans="1:2" x14ac:dyDescent="0.25">
      <c r="A4881">
        <v>4852</v>
      </c>
      <c r="B4881">
        <v>0.57874162414214103</v>
      </c>
    </row>
    <row r="4882" spans="1:2" x14ac:dyDescent="0.25">
      <c r="A4882">
        <v>4853</v>
      </c>
      <c r="B4882">
        <v>0.29444956550999135</v>
      </c>
    </row>
    <row r="4883" spans="1:2" x14ac:dyDescent="0.25">
      <c r="A4883">
        <v>4854</v>
      </c>
      <c r="B4883">
        <v>0.1627714979364859</v>
      </c>
    </row>
    <row r="4884" spans="1:2" x14ac:dyDescent="0.25">
      <c r="A4884">
        <v>4855</v>
      </c>
      <c r="B4884">
        <v>0.20804549771442019</v>
      </c>
    </row>
    <row r="4885" spans="1:2" x14ac:dyDescent="0.25">
      <c r="A4885">
        <v>4856</v>
      </c>
      <c r="B4885">
        <v>0.1824604180951156</v>
      </c>
    </row>
    <row r="4886" spans="1:2" x14ac:dyDescent="0.25">
      <c r="A4886">
        <v>4857</v>
      </c>
      <c r="B4886">
        <v>0.12968294776209477</v>
      </c>
    </row>
    <row r="4887" spans="1:2" x14ac:dyDescent="0.25">
      <c r="A4887">
        <v>4858</v>
      </c>
      <c r="B4887">
        <v>0.14516899386918725</v>
      </c>
    </row>
    <row r="4888" spans="1:2" x14ac:dyDescent="0.25">
      <c r="A4888">
        <v>4859</v>
      </c>
      <c r="B4888">
        <v>0.18163653119849171</v>
      </c>
    </row>
    <row r="4889" spans="1:2" x14ac:dyDescent="0.25">
      <c r="A4889">
        <v>4860</v>
      </c>
      <c r="B4889">
        <v>0.27858450685610642</v>
      </c>
    </row>
    <row r="4890" spans="1:2" x14ac:dyDescent="0.25">
      <c r="A4890">
        <v>4861</v>
      </c>
      <c r="B4890">
        <v>0.1170963304428395</v>
      </c>
    </row>
    <row r="4891" spans="1:2" x14ac:dyDescent="0.25">
      <c r="A4891">
        <v>4862</v>
      </c>
      <c r="B4891">
        <v>0.51235865786315626</v>
      </c>
    </row>
    <row r="4892" spans="1:2" x14ac:dyDescent="0.25">
      <c r="A4892">
        <v>4863</v>
      </c>
      <c r="B4892">
        <v>6.832878051391765E-2</v>
      </c>
    </row>
    <row r="4893" spans="1:2" x14ac:dyDescent="0.25">
      <c r="A4893">
        <v>4864</v>
      </c>
      <c r="B4893">
        <v>6.2794331854382462E-2</v>
      </c>
    </row>
    <row r="4894" spans="1:2" x14ac:dyDescent="0.25">
      <c r="A4894">
        <v>4865</v>
      </c>
      <c r="B4894">
        <v>0.15300703340183633</v>
      </c>
    </row>
    <row r="4895" spans="1:2" x14ac:dyDescent="0.25">
      <c r="A4895">
        <v>4866</v>
      </c>
      <c r="B4895">
        <v>0.10578471302535424</v>
      </c>
    </row>
    <row r="4896" spans="1:2" x14ac:dyDescent="0.25">
      <c r="A4896">
        <v>4867</v>
      </c>
      <c r="B4896">
        <v>3.3679984223411313E-2</v>
      </c>
    </row>
    <row r="4897" spans="1:2" x14ac:dyDescent="0.25">
      <c r="A4897">
        <v>4868</v>
      </c>
      <c r="B4897">
        <v>0.2232458910039217</v>
      </c>
    </row>
    <row r="4898" spans="1:2" x14ac:dyDescent="0.25">
      <c r="A4898">
        <v>4869</v>
      </c>
      <c r="B4898">
        <v>0.21860097011226165</v>
      </c>
    </row>
    <row r="4899" spans="1:2" x14ac:dyDescent="0.25">
      <c r="A4899">
        <v>4870</v>
      </c>
      <c r="B4899">
        <v>0.21115796382856927</v>
      </c>
    </row>
    <row r="4900" spans="1:2" x14ac:dyDescent="0.25">
      <c r="A4900">
        <v>4871</v>
      </c>
      <c r="B4900">
        <v>9.6126236809198531E-2</v>
      </c>
    </row>
    <row r="4901" spans="1:2" x14ac:dyDescent="0.25">
      <c r="A4901">
        <v>4872</v>
      </c>
      <c r="B4901">
        <v>0.12897530568305224</v>
      </c>
    </row>
    <row r="4902" spans="1:2" x14ac:dyDescent="0.25">
      <c r="A4902">
        <v>4873</v>
      </c>
      <c r="B4902">
        <v>0.25397866637929839</v>
      </c>
    </row>
    <row r="4903" spans="1:2" x14ac:dyDescent="0.25">
      <c r="A4903">
        <v>4874</v>
      </c>
      <c r="B4903">
        <v>7.6673876815600714E-2</v>
      </c>
    </row>
    <row r="4904" spans="1:2" x14ac:dyDescent="0.25">
      <c r="A4904">
        <v>4875</v>
      </c>
      <c r="B4904">
        <v>0.48795695353993435</v>
      </c>
    </row>
    <row r="4905" spans="1:2" x14ac:dyDescent="0.25">
      <c r="A4905">
        <v>4876</v>
      </c>
      <c r="B4905">
        <v>0.41404493991012764</v>
      </c>
    </row>
    <row r="4906" spans="1:2" x14ac:dyDescent="0.25">
      <c r="A4906">
        <v>4877</v>
      </c>
      <c r="B4906">
        <v>9.3551682958639734E-2</v>
      </c>
    </row>
    <row r="4907" spans="1:2" x14ac:dyDescent="0.25">
      <c r="A4907">
        <v>4878</v>
      </c>
      <c r="B4907">
        <v>9.4605261034626922E-2</v>
      </c>
    </row>
    <row r="4908" spans="1:2" x14ac:dyDescent="0.25">
      <c r="A4908">
        <v>4879</v>
      </c>
      <c r="B4908">
        <v>0.65898527859315448</v>
      </c>
    </row>
    <row r="4909" spans="1:2" x14ac:dyDescent="0.25">
      <c r="A4909">
        <v>4880</v>
      </c>
      <c r="B4909">
        <v>0.28303547770895504</v>
      </c>
    </row>
    <row r="4910" spans="1:2" x14ac:dyDescent="0.25">
      <c r="A4910">
        <v>4881</v>
      </c>
      <c r="B4910">
        <v>0.24765915383914036</v>
      </c>
    </row>
    <row r="4911" spans="1:2" x14ac:dyDescent="0.25">
      <c r="A4911">
        <v>4882</v>
      </c>
      <c r="B4911">
        <v>0.80724522933986775</v>
      </c>
    </row>
    <row r="4912" spans="1:2" x14ac:dyDescent="0.25">
      <c r="A4912">
        <v>4883</v>
      </c>
      <c r="B4912">
        <v>0.26718132410187934</v>
      </c>
    </row>
    <row r="4913" spans="1:2" x14ac:dyDescent="0.25">
      <c r="A4913">
        <v>4884</v>
      </c>
      <c r="B4913">
        <v>0.99223579463017664</v>
      </c>
    </row>
    <row r="4914" spans="1:2" x14ac:dyDescent="0.25">
      <c r="A4914">
        <v>4885</v>
      </c>
      <c r="B4914">
        <v>0.10625252692264786</v>
      </c>
    </row>
    <row r="4915" spans="1:2" x14ac:dyDescent="0.25">
      <c r="A4915">
        <v>4886</v>
      </c>
      <c r="B4915">
        <v>0.12485198386494001</v>
      </c>
    </row>
    <row r="4916" spans="1:2" x14ac:dyDescent="0.25">
      <c r="A4916">
        <v>4887</v>
      </c>
      <c r="B4916">
        <v>0.11185686086512658</v>
      </c>
    </row>
    <row r="4917" spans="1:2" x14ac:dyDescent="0.25">
      <c r="A4917">
        <v>4888</v>
      </c>
      <c r="B4917">
        <v>0.58731858519627034</v>
      </c>
    </row>
    <row r="4918" spans="1:2" x14ac:dyDescent="0.25">
      <c r="A4918">
        <v>4889</v>
      </c>
      <c r="B4918">
        <v>0.19564536221936885</v>
      </c>
    </row>
    <row r="4919" spans="1:2" x14ac:dyDescent="0.25">
      <c r="A4919">
        <v>4890</v>
      </c>
      <c r="B4919">
        <v>0.18610757629175129</v>
      </c>
    </row>
    <row r="4920" spans="1:2" x14ac:dyDescent="0.25">
      <c r="A4920">
        <v>4891</v>
      </c>
      <c r="B4920">
        <v>0.17537944780498135</v>
      </c>
    </row>
    <row r="4921" spans="1:2" x14ac:dyDescent="0.25">
      <c r="A4921">
        <v>4892</v>
      </c>
      <c r="B4921">
        <v>0.81312459286658767</v>
      </c>
    </row>
    <row r="4922" spans="1:2" x14ac:dyDescent="0.25">
      <c r="A4922">
        <v>4893</v>
      </c>
      <c r="B4922">
        <v>0.23541802818845897</v>
      </c>
    </row>
    <row r="4923" spans="1:2" x14ac:dyDescent="0.25">
      <c r="A4923">
        <v>4894</v>
      </c>
      <c r="B4923">
        <v>0.14515292011473374</v>
      </c>
    </row>
    <row r="4924" spans="1:2" x14ac:dyDescent="0.25">
      <c r="A4924">
        <v>4895</v>
      </c>
      <c r="B4924">
        <v>0.17817661030091345</v>
      </c>
    </row>
    <row r="4925" spans="1:2" x14ac:dyDescent="0.25">
      <c r="A4925">
        <v>4896</v>
      </c>
      <c r="B4925">
        <v>8.6258354267031712E-2</v>
      </c>
    </row>
    <row r="4926" spans="1:2" x14ac:dyDescent="0.25">
      <c r="A4926">
        <v>4897</v>
      </c>
      <c r="B4926">
        <v>4.9296355941310183E-2</v>
      </c>
    </row>
    <row r="4927" spans="1:2" x14ac:dyDescent="0.25">
      <c r="A4927">
        <v>4898</v>
      </c>
      <c r="B4927">
        <v>0.14578396727488613</v>
      </c>
    </row>
    <row r="4928" spans="1:2" x14ac:dyDescent="0.25">
      <c r="A4928">
        <v>4899</v>
      </c>
      <c r="B4928">
        <v>0.22322195764467204</v>
      </c>
    </row>
    <row r="4929" spans="1:2" x14ac:dyDescent="0.25">
      <c r="A4929">
        <v>4900</v>
      </c>
      <c r="B4929">
        <v>5.3247456725139933E-2</v>
      </c>
    </row>
    <row r="4930" spans="1:2" x14ac:dyDescent="0.25">
      <c r="A4930">
        <v>4901</v>
      </c>
      <c r="B4930">
        <v>0.24556903573047048</v>
      </c>
    </row>
    <row r="4931" spans="1:2" x14ac:dyDescent="0.25">
      <c r="A4931">
        <v>4902</v>
      </c>
      <c r="B4931">
        <v>0.27632291097301381</v>
      </c>
    </row>
    <row r="4932" spans="1:2" x14ac:dyDescent="0.25">
      <c r="A4932">
        <v>4903</v>
      </c>
      <c r="B4932">
        <v>0.24858641171699683</v>
      </c>
    </row>
    <row r="4933" spans="1:2" x14ac:dyDescent="0.25">
      <c r="A4933">
        <v>4904</v>
      </c>
      <c r="B4933">
        <v>4.5785087076895381E-2</v>
      </c>
    </row>
    <row r="4934" spans="1:2" x14ac:dyDescent="0.25">
      <c r="A4934">
        <v>4905</v>
      </c>
      <c r="B4934">
        <v>0.56236166895326833</v>
      </c>
    </row>
    <row r="4935" spans="1:2" x14ac:dyDescent="0.25">
      <c r="A4935">
        <v>4906</v>
      </c>
      <c r="B4935">
        <v>5.2934909158782767E-2</v>
      </c>
    </row>
    <row r="4936" spans="1:2" x14ac:dyDescent="0.25">
      <c r="A4936">
        <v>4907</v>
      </c>
      <c r="B4936">
        <v>7.5690513952285002E-2</v>
      </c>
    </row>
    <row r="4937" spans="1:2" x14ac:dyDescent="0.25">
      <c r="A4937">
        <v>4908</v>
      </c>
      <c r="B4937">
        <v>0.10457202206279478</v>
      </c>
    </row>
    <row r="4938" spans="1:2" x14ac:dyDescent="0.25">
      <c r="A4938">
        <v>4909</v>
      </c>
      <c r="B4938">
        <v>0.16402399918771404</v>
      </c>
    </row>
    <row r="4939" spans="1:2" x14ac:dyDescent="0.25">
      <c r="A4939">
        <v>4910</v>
      </c>
      <c r="B4939">
        <v>6.7295031312566839E-2</v>
      </c>
    </row>
    <row r="4940" spans="1:2" x14ac:dyDescent="0.25">
      <c r="A4940">
        <v>4911</v>
      </c>
      <c r="B4940">
        <v>0.16243770697183416</v>
      </c>
    </row>
    <row r="4941" spans="1:2" x14ac:dyDescent="0.25">
      <c r="A4941">
        <v>4912</v>
      </c>
      <c r="B4941">
        <v>0.46659534552253479</v>
      </c>
    </row>
    <row r="4942" spans="1:2" x14ac:dyDescent="0.25">
      <c r="A4942">
        <v>4913</v>
      </c>
      <c r="B4942">
        <v>0.23524069049506777</v>
      </c>
    </row>
    <row r="4943" spans="1:2" x14ac:dyDescent="0.25">
      <c r="A4943">
        <v>4914</v>
      </c>
      <c r="B4943">
        <v>7.5365018875901829E-2</v>
      </c>
    </row>
    <row r="4944" spans="1:2" x14ac:dyDescent="0.25">
      <c r="A4944">
        <v>4915</v>
      </c>
      <c r="B4944">
        <v>0.21046067156209242</v>
      </c>
    </row>
    <row r="4945" spans="1:2" x14ac:dyDescent="0.25">
      <c r="A4945">
        <v>4916</v>
      </c>
      <c r="B4945">
        <v>3.7353197437208677E-2</v>
      </c>
    </row>
    <row r="4946" spans="1:2" x14ac:dyDescent="0.25">
      <c r="A4946">
        <v>4917</v>
      </c>
      <c r="B4946">
        <v>0.12137787629259543</v>
      </c>
    </row>
    <row r="4947" spans="1:2" x14ac:dyDescent="0.25">
      <c r="A4947">
        <v>4918</v>
      </c>
      <c r="B4947">
        <v>0.78876001433331722</v>
      </c>
    </row>
    <row r="4948" spans="1:2" x14ac:dyDescent="0.25">
      <c r="A4948">
        <v>4919</v>
      </c>
      <c r="B4948">
        <v>0.16948508644428345</v>
      </c>
    </row>
    <row r="4949" spans="1:2" x14ac:dyDescent="0.25">
      <c r="A4949">
        <v>4920</v>
      </c>
      <c r="B4949">
        <v>0.1797287631717614</v>
      </c>
    </row>
    <row r="4950" spans="1:2" x14ac:dyDescent="0.25">
      <c r="A4950">
        <v>4921</v>
      </c>
      <c r="B4950">
        <v>0.25343729879547067</v>
      </c>
    </row>
    <row r="4951" spans="1:2" x14ac:dyDescent="0.25">
      <c r="A4951">
        <v>4922</v>
      </c>
      <c r="B4951">
        <v>0.2985554450319739</v>
      </c>
    </row>
    <row r="4952" spans="1:2" x14ac:dyDescent="0.25">
      <c r="A4952">
        <v>4923</v>
      </c>
      <c r="B4952">
        <v>0.12806533117370764</v>
      </c>
    </row>
    <row r="4953" spans="1:2" x14ac:dyDescent="0.25">
      <c r="A4953">
        <v>4924</v>
      </c>
      <c r="B4953">
        <v>0.40334343037621923</v>
      </c>
    </row>
    <row r="4954" spans="1:2" x14ac:dyDescent="0.25">
      <c r="A4954">
        <v>4925</v>
      </c>
      <c r="B4954">
        <v>0.40087443245864596</v>
      </c>
    </row>
    <row r="4955" spans="1:2" x14ac:dyDescent="0.25">
      <c r="A4955">
        <v>4926</v>
      </c>
      <c r="B4955">
        <v>6.2988249495636778E-2</v>
      </c>
    </row>
    <row r="4956" spans="1:2" x14ac:dyDescent="0.25">
      <c r="A4956">
        <v>4927</v>
      </c>
      <c r="B4956">
        <v>0.64221155685065678</v>
      </c>
    </row>
    <row r="4957" spans="1:2" x14ac:dyDescent="0.25">
      <c r="A4957">
        <v>4928</v>
      </c>
      <c r="B4957">
        <v>0.17888202876758261</v>
      </c>
    </row>
    <row r="4958" spans="1:2" x14ac:dyDescent="0.25">
      <c r="A4958">
        <v>4929</v>
      </c>
      <c r="B4958">
        <v>0.44918603574118587</v>
      </c>
    </row>
    <row r="4959" spans="1:2" x14ac:dyDescent="0.25">
      <c r="A4959">
        <v>4930</v>
      </c>
      <c r="B4959">
        <v>0.26035848594517308</v>
      </c>
    </row>
    <row r="4960" spans="1:2" x14ac:dyDescent="0.25">
      <c r="A4960">
        <v>4931</v>
      </c>
      <c r="B4960">
        <v>0.31098944907465975</v>
      </c>
    </row>
    <row r="4961" spans="1:2" x14ac:dyDescent="0.25">
      <c r="A4961">
        <v>4932</v>
      </c>
      <c r="B4961">
        <v>0.11414381031458533</v>
      </c>
    </row>
    <row r="4962" spans="1:2" x14ac:dyDescent="0.25">
      <c r="A4962">
        <v>4933</v>
      </c>
      <c r="B4962">
        <v>9.2320813418412612E-2</v>
      </c>
    </row>
    <row r="4963" spans="1:2" x14ac:dyDescent="0.25">
      <c r="A4963">
        <v>4934</v>
      </c>
      <c r="B4963">
        <v>0.49608995563309094</v>
      </c>
    </row>
    <row r="4964" spans="1:2" x14ac:dyDescent="0.25">
      <c r="A4964">
        <v>4935</v>
      </c>
      <c r="B4964">
        <v>6.7903065025780127E-2</v>
      </c>
    </row>
    <row r="4965" spans="1:2" x14ac:dyDescent="0.25">
      <c r="A4965">
        <v>4936</v>
      </c>
      <c r="B4965">
        <v>0.12416767947372337</v>
      </c>
    </row>
    <row r="4966" spans="1:2" x14ac:dyDescent="0.25">
      <c r="A4966">
        <v>4937</v>
      </c>
      <c r="B4966">
        <v>0.20996073887722275</v>
      </c>
    </row>
    <row r="4967" spans="1:2" x14ac:dyDescent="0.25">
      <c r="A4967">
        <v>4938</v>
      </c>
      <c r="B4967">
        <v>0.22609496988059541</v>
      </c>
    </row>
    <row r="4968" spans="1:2" x14ac:dyDescent="0.25">
      <c r="A4968">
        <v>4939</v>
      </c>
      <c r="B4968">
        <v>7.1558496177274347E-2</v>
      </c>
    </row>
    <row r="4969" spans="1:2" x14ac:dyDescent="0.25">
      <c r="A4969">
        <v>4940</v>
      </c>
      <c r="B4969">
        <v>2.7172314895564022E-2</v>
      </c>
    </row>
    <row r="4970" spans="1:2" x14ac:dyDescent="0.25">
      <c r="A4970">
        <v>4941</v>
      </c>
      <c r="B4970">
        <v>9.9086926874597747E-2</v>
      </c>
    </row>
    <row r="4971" spans="1:2" x14ac:dyDescent="0.25">
      <c r="A4971">
        <v>4942</v>
      </c>
      <c r="B4971">
        <v>0.12462458169457646</v>
      </c>
    </row>
    <row r="4972" spans="1:2" x14ac:dyDescent="0.25">
      <c r="A4972">
        <v>4943</v>
      </c>
      <c r="B4972">
        <v>0.22610938844800343</v>
      </c>
    </row>
    <row r="4973" spans="1:2" x14ac:dyDescent="0.25">
      <c r="A4973">
        <v>4944</v>
      </c>
      <c r="B4973">
        <v>0.16476127833675375</v>
      </c>
    </row>
    <row r="4974" spans="1:2" x14ac:dyDescent="0.25">
      <c r="A4974">
        <v>4945</v>
      </c>
      <c r="B4974">
        <v>0.36058959800097862</v>
      </c>
    </row>
    <row r="4975" spans="1:2" x14ac:dyDescent="0.25">
      <c r="A4975">
        <v>4946</v>
      </c>
      <c r="B4975">
        <v>0.12838165116819522</v>
      </c>
    </row>
    <row r="4976" spans="1:2" x14ac:dyDescent="0.25">
      <c r="A4976">
        <v>4947</v>
      </c>
      <c r="B4976">
        <v>0.34530454893713047</v>
      </c>
    </row>
    <row r="4977" spans="1:2" x14ac:dyDescent="0.25">
      <c r="A4977">
        <v>4948</v>
      </c>
      <c r="B4977">
        <v>0.16648717112867878</v>
      </c>
    </row>
    <row r="4978" spans="1:2" x14ac:dyDescent="0.25">
      <c r="A4978">
        <v>4949</v>
      </c>
      <c r="B4978">
        <v>0.16851387905180046</v>
      </c>
    </row>
    <row r="4979" spans="1:2" x14ac:dyDescent="0.25">
      <c r="A4979">
        <v>4950</v>
      </c>
      <c r="B4979">
        <v>0.19131664646070184</v>
      </c>
    </row>
    <row r="4980" spans="1:2" x14ac:dyDescent="0.25">
      <c r="A4980">
        <v>4951</v>
      </c>
      <c r="B4980">
        <v>0.12127167382733657</v>
      </c>
    </row>
    <row r="4981" spans="1:2" x14ac:dyDescent="0.25">
      <c r="A4981">
        <v>4952</v>
      </c>
      <c r="B4981">
        <v>0.24606171494736578</v>
      </c>
    </row>
    <row r="4982" spans="1:2" x14ac:dyDescent="0.25">
      <c r="A4982">
        <v>4953</v>
      </c>
      <c r="B4982">
        <v>4.2134238279449197E-2</v>
      </c>
    </row>
    <row r="4983" spans="1:2" x14ac:dyDescent="0.25">
      <c r="A4983">
        <v>4954</v>
      </c>
      <c r="B4983">
        <v>0.30882639610146573</v>
      </c>
    </row>
    <row r="4984" spans="1:2" x14ac:dyDescent="0.25">
      <c r="A4984">
        <v>4955</v>
      </c>
      <c r="B4984">
        <v>0.23153812452299005</v>
      </c>
    </row>
    <row r="4985" spans="1:2" x14ac:dyDescent="0.25">
      <c r="A4985">
        <v>4956</v>
      </c>
      <c r="B4985">
        <v>0.31944921796180509</v>
      </c>
    </row>
    <row r="4986" spans="1:2" x14ac:dyDescent="0.25">
      <c r="A4986">
        <v>4957</v>
      </c>
      <c r="B4986">
        <v>6.0585102753603945E-2</v>
      </c>
    </row>
    <row r="4987" spans="1:2" x14ac:dyDescent="0.25">
      <c r="A4987">
        <v>4958</v>
      </c>
      <c r="B4987">
        <v>0.17492674027112615</v>
      </c>
    </row>
    <row r="4988" spans="1:2" x14ac:dyDescent="0.25">
      <c r="A4988">
        <v>4959</v>
      </c>
      <c r="B4988">
        <v>0.14532893025197105</v>
      </c>
    </row>
    <row r="4989" spans="1:2" x14ac:dyDescent="0.25">
      <c r="A4989">
        <v>4960</v>
      </c>
      <c r="B4989">
        <v>0.59488982284290115</v>
      </c>
    </row>
    <row r="4990" spans="1:2" x14ac:dyDescent="0.25">
      <c r="A4990">
        <v>4961</v>
      </c>
      <c r="B4990">
        <v>0.3908338089994296</v>
      </c>
    </row>
    <row r="4991" spans="1:2" x14ac:dyDescent="0.25">
      <c r="A4991">
        <v>4962</v>
      </c>
      <c r="B4991">
        <v>0.14670221781455645</v>
      </c>
    </row>
    <row r="4992" spans="1:2" x14ac:dyDescent="0.25">
      <c r="A4992">
        <v>4963</v>
      </c>
      <c r="B4992">
        <v>8.8627322347370252E-2</v>
      </c>
    </row>
    <row r="4993" spans="1:2" x14ac:dyDescent="0.25">
      <c r="A4993">
        <v>4964</v>
      </c>
      <c r="B4993">
        <v>2.1872871859479996E-2</v>
      </c>
    </row>
    <row r="4994" spans="1:2" x14ac:dyDescent="0.25">
      <c r="A4994">
        <v>4965</v>
      </c>
      <c r="B4994">
        <v>0.16475824141468282</v>
      </c>
    </row>
    <row r="4995" spans="1:2" x14ac:dyDescent="0.25">
      <c r="A4995">
        <v>4966</v>
      </c>
      <c r="B4995">
        <v>8.1049708479630389E-2</v>
      </c>
    </row>
    <row r="4996" spans="1:2" x14ac:dyDescent="0.25">
      <c r="A4996">
        <v>4967</v>
      </c>
      <c r="B4996">
        <v>0.26813121768389048</v>
      </c>
    </row>
    <row r="4997" spans="1:2" x14ac:dyDescent="0.25">
      <c r="A4997">
        <v>4968</v>
      </c>
      <c r="B4997">
        <v>0.26518589847916729</v>
      </c>
    </row>
    <row r="4998" spans="1:2" x14ac:dyDescent="0.25">
      <c r="A4998">
        <v>4969</v>
      </c>
      <c r="B4998">
        <v>6.0657893792669296E-2</v>
      </c>
    </row>
    <row r="4999" spans="1:2" x14ac:dyDescent="0.25">
      <c r="A4999">
        <v>4970</v>
      </c>
      <c r="B4999">
        <v>0.11254610136034789</v>
      </c>
    </row>
    <row r="5000" spans="1:2" x14ac:dyDescent="0.25">
      <c r="A5000">
        <v>4971</v>
      </c>
      <c r="B5000">
        <v>0.48336677227178731</v>
      </c>
    </row>
    <row r="5001" spans="1:2" x14ac:dyDescent="0.25">
      <c r="A5001">
        <v>4972</v>
      </c>
      <c r="B5001">
        <v>0.16681248572961158</v>
      </c>
    </row>
    <row r="5002" spans="1:2" x14ac:dyDescent="0.25">
      <c r="A5002">
        <v>4973</v>
      </c>
      <c r="B5002">
        <v>0.14230949514190927</v>
      </c>
    </row>
    <row r="5003" spans="1:2" x14ac:dyDescent="0.25">
      <c r="A5003">
        <v>4974</v>
      </c>
      <c r="B5003">
        <v>3.188551233886993E-2</v>
      </c>
    </row>
    <row r="5004" spans="1:2" x14ac:dyDescent="0.25">
      <c r="A5004">
        <v>4975</v>
      </c>
      <c r="B5004">
        <v>0.69312888838273101</v>
      </c>
    </row>
    <row r="5005" spans="1:2" x14ac:dyDescent="0.25">
      <c r="A5005">
        <v>4976</v>
      </c>
      <c r="B5005">
        <v>0.17917693613423208</v>
      </c>
    </row>
    <row r="5006" spans="1:2" x14ac:dyDescent="0.25">
      <c r="A5006">
        <v>4977</v>
      </c>
      <c r="B5006">
        <v>0.13015428056584774</v>
      </c>
    </row>
    <row r="5007" spans="1:2" x14ac:dyDescent="0.25">
      <c r="A5007">
        <v>4978</v>
      </c>
      <c r="B5007">
        <v>4.3735376332602972E-2</v>
      </c>
    </row>
    <row r="5008" spans="1:2" x14ac:dyDescent="0.25">
      <c r="A5008">
        <v>4979</v>
      </c>
      <c r="B5008">
        <v>0.42234695166633601</v>
      </c>
    </row>
    <row r="5009" spans="1:2" x14ac:dyDescent="0.25">
      <c r="A5009">
        <v>4980</v>
      </c>
      <c r="B5009">
        <v>9.3947526310788565E-2</v>
      </c>
    </row>
    <row r="5010" spans="1:2" x14ac:dyDescent="0.25">
      <c r="A5010">
        <v>4981</v>
      </c>
      <c r="B5010">
        <v>0.48680088880108485</v>
      </c>
    </row>
    <row r="5011" spans="1:2" x14ac:dyDescent="0.25">
      <c r="A5011">
        <v>4982</v>
      </c>
      <c r="B5011">
        <v>8.2565675592907992E-2</v>
      </c>
    </row>
    <row r="5012" spans="1:2" x14ac:dyDescent="0.25">
      <c r="A5012">
        <v>4983</v>
      </c>
      <c r="B5012">
        <v>0.29453644797235079</v>
      </c>
    </row>
    <row r="5013" spans="1:2" x14ac:dyDescent="0.25">
      <c r="A5013">
        <v>4984</v>
      </c>
      <c r="B5013">
        <v>0.1839389295583384</v>
      </c>
    </row>
    <row r="5014" spans="1:2" x14ac:dyDescent="0.25">
      <c r="A5014">
        <v>4985</v>
      </c>
      <c r="B5014">
        <v>0.14569186290350494</v>
      </c>
    </row>
    <row r="5015" spans="1:2" x14ac:dyDescent="0.25">
      <c r="A5015">
        <v>4986</v>
      </c>
      <c r="B5015">
        <v>0.20525056966124389</v>
      </c>
    </row>
    <row r="5016" spans="1:2" x14ac:dyDescent="0.25">
      <c r="A5016">
        <v>4987</v>
      </c>
      <c r="B5016">
        <v>0.28517875765469364</v>
      </c>
    </row>
    <row r="5017" spans="1:2" x14ac:dyDescent="0.25">
      <c r="A5017">
        <v>4988</v>
      </c>
      <c r="B5017">
        <v>0.12784957532718466</v>
      </c>
    </row>
    <row r="5018" spans="1:2" x14ac:dyDescent="0.25">
      <c r="A5018">
        <v>4989</v>
      </c>
      <c r="B5018">
        <v>0.30943648418397246</v>
      </c>
    </row>
    <row r="5019" spans="1:2" x14ac:dyDescent="0.25">
      <c r="A5019">
        <v>4990</v>
      </c>
      <c r="B5019">
        <v>0.1564312335161929</v>
      </c>
    </row>
    <row r="5020" spans="1:2" x14ac:dyDescent="0.25">
      <c r="A5020">
        <v>4991</v>
      </c>
      <c r="B5020">
        <v>7.4399123262146968E-2</v>
      </c>
    </row>
    <row r="5021" spans="1:2" x14ac:dyDescent="0.25">
      <c r="A5021">
        <v>4992</v>
      </c>
      <c r="B5021">
        <v>0.48843355848349779</v>
      </c>
    </row>
    <row r="5022" spans="1:2" x14ac:dyDescent="0.25">
      <c r="A5022">
        <v>4993</v>
      </c>
      <c r="B5022">
        <v>0.22887878921614699</v>
      </c>
    </row>
    <row r="5023" spans="1:2" x14ac:dyDescent="0.25">
      <c r="A5023">
        <v>4994</v>
      </c>
      <c r="B5023">
        <v>0.14845085738293171</v>
      </c>
    </row>
    <row r="5024" spans="1:2" x14ac:dyDescent="0.25">
      <c r="A5024">
        <v>4995</v>
      </c>
      <c r="B5024">
        <v>0.11474295692695473</v>
      </c>
    </row>
    <row r="5025" spans="1:2" x14ac:dyDescent="0.25">
      <c r="A5025">
        <v>4996</v>
      </c>
      <c r="B5025">
        <v>0.11345515979335262</v>
      </c>
    </row>
    <row r="5026" spans="1:2" x14ac:dyDescent="0.25">
      <c r="A5026">
        <v>4997</v>
      </c>
      <c r="B5026">
        <v>3.607726813880914E-2</v>
      </c>
    </row>
    <row r="5027" spans="1:2" x14ac:dyDescent="0.25">
      <c r="A5027">
        <v>4998</v>
      </c>
      <c r="B5027">
        <v>0.11350609282367639</v>
      </c>
    </row>
    <row r="5028" spans="1:2" x14ac:dyDescent="0.25">
      <c r="A5028">
        <v>4999</v>
      </c>
      <c r="B5028">
        <v>6.8193289822488928E-2</v>
      </c>
    </row>
    <row r="5029" spans="1:2" x14ac:dyDescent="0.25">
      <c r="A5029">
        <v>5000</v>
      </c>
      <c r="B5029">
        <v>0.11049254950217172</v>
      </c>
    </row>
    <row r="5030" spans="1:2" x14ac:dyDescent="0.25">
      <c r="A5030">
        <v>5001</v>
      </c>
      <c r="B5030">
        <v>0.14148050703434289</v>
      </c>
    </row>
    <row r="5031" spans="1:2" x14ac:dyDescent="0.25">
      <c r="A5031">
        <v>5002</v>
      </c>
      <c r="B5031">
        <v>0.11170018055858486</v>
      </c>
    </row>
    <row r="5032" spans="1:2" x14ac:dyDescent="0.25">
      <c r="A5032">
        <v>5003</v>
      </c>
      <c r="B5032">
        <v>0.1737007854933765</v>
      </c>
    </row>
    <row r="5033" spans="1:2" x14ac:dyDescent="0.25">
      <c r="A5033">
        <v>5004</v>
      </c>
      <c r="B5033">
        <v>0.25302368360773847</v>
      </c>
    </row>
    <row r="5034" spans="1:2" x14ac:dyDescent="0.25">
      <c r="A5034">
        <v>5005</v>
      </c>
      <c r="B5034">
        <v>0.49446114255530588</v>
      </c>
    </row>
    <row r="5035" spans="1:2" x14ac:dyDescent="0.25">
      <c r="A5035">
        <v>5006</v>
      </c>
      <c r="B5035">
        <v>0.6053966768702268</v>
      </c>
    </row>
    <row r="5036" spans="1:2" x14ac:dyDescent="0.25">
      <c r="A5036">
        <v>5007</v>
      </c>
      <c r="B5036">
        <v>1.8886203727511458E-2</v>
      </c>
    </row>
    <row r="5037" spans="1:2" x14ac:dyDescent="0.25">
      <c r="A5037">
        <v>5008</v>
      </c>
      <c r="B5037">
        <v>0.29963286266233374</v>
      </c>
    </row>
    <row r="5038" spans="1:2" x14ac:dyDescent="0.25">
      <c r="A5038">
        <v>5009</v>
      </c>
      <c r="B5038">
        <v>0.18361214926328662</v>
      </c>
    </row>
    <row r="5039" spans="1:2" x14ac:dyDescent="0.25">
      <c r="A5039">
        <v>5010</v>
      </c>
      <c r="B5039">
        <v>0.13105228827181528</v>
      </c>
    </row>
    <row r="5040" spans="1:2" x14ac:dyDescent="0.25">
      <c r="A5040">
        <v>5011</v>
      </c>
      <c r="B5040">
        <v>0.19583833523179703</v>
      </c>
    </row>
    <row r="5041" spans="1:2" x14ac:dyDescent="0.25">
      <c r="A5041">
        <v>5012</v>
      </c>
      <c r="B5041">
        <v>0.17529268191518757</v>
      </c>
    </row>
    <row r="5042" spans="1:2" x14ac:dyDescent="0.25">
      <c r="A5042">
        <v>5013</v>
      </c>
      <c r="B5042">
        <v>0.34792014717691044</v>
      </c>
    </row>
    <row r="5043" spans="1:2" x14ac:dyDescent="0.25">
      <c r="A5043">
        <v>5014</v>
      </c>
      <c r="B5043">
        <v>0.32216621897483272</v>
      </c>
    </row>
    <row r="5044" spans="1:2" x14ac:dyDescent="0.25">
      <c r="A5044">
        <v>5015</v>
      </c>
      <c r="B5044">
        <v>0.4891748623306576</v>
      </c>
    </row>
    <row r="5045" spans="1:2" x14ac:dyDescent="0.25">
      <c r="A5045">
        <v>5016</v>
      </c>
      <c r="B5045">
        <v>0.15243443764611428</v>
      </c>
    </row>
    <row r="5046" spans="1:2" x14ac:dyDescent="0.25">
      <c r="A5046">
        <v>5017</v>
      </c>
      <c r="B5046">
        <v>5.1557776732624627E-2</v>
      </c>
    </row>
    <row r="5047" spans="1:2" x14ac:dyDescent="0.25">
      <c r="A5047">
        <v>5018</v>
      </c>
      <c r="B5047">
        <v>0.11917286259201787</v>
      </c>
    </row>
    <row r="5048" spans="1:2" x14ac:dyDescent="0.25">
      <c r="A5048">
        <v>5019</v>
      </c>
      <c r="B5048">
        <v>0.63094546298974563</v>
      </c>
    </row>
    <row r="5049" spans="1:2" x14ac:dyDescent="0.25">
      <c r="A5049">
        <v>5020</v>
      </c>
      <c r="B5049">
        <v>0.13971276042301703</v>
      </c>
    </row>
    <row r="5050" spans="1:2" x14ac:dyDescent="0.25">
      <c r="A5050">
        <v>5021</v>
      </c>
      <c r="B5050">
        <v>4.9120279302764511E-2</v>
      </c>
    </row>
    <row r="5051" spans="1:2" x14ac:dyDescent="0.25">
      <c r="A5051">
        <v>5022</v>
      </c>
      <c r="B5051">
        <v>0.17042959961722728</v>
      </c>
    </row>
    <row r="5052" spans="1:2" x14ac:dyDescent="0.25">
      <c r="A5052">
        <v>5023</v>
      </c>
      <c r="B5052">
        <v>0.18455914692359843</v>
      </c>
    </row>
    <row r="5053" spans="1:2" x14ac:dyDescent="0.25">
      <c r="A5053">
        <v>5024</v>
      </c>
      <c r="B5053">
        <v>0.50971148735022442</v>
      </c>
    </row>
    <row r="5054" spans="1:2" x14ac:dyDescent="0.25">
      <c r="A5054">
        <v>5025</v>
      </c>
      <c r="B5054">
        <v>0.19304340769300946</v>
      </c>
    </row>
    <row r="5055" spans="1:2" x14ac:dyDescent="0.25">
      <c r="A5055">
        <v>5026</v>
      </c>
      <c r="B5055">
        <v>0.1334249909927718</v>
      </c>
    </row>
    <row r="5056" spans="1:2" x14ac:dyDescent="0.25">
      <c r="A5056">
        <v>5027</v>
      </c>
      <c r="B5056">
        <v>0.18514191770923974</v>
      </c>
    </row>
    <row r="5057" spans="1:2" x14ac:dyDescent="0.25">
      <c r="A5057">
        <v>5028</v>
      </c>
      <c r="B5057">
        <v>0.18848049049158513</v>
      </c>
    </row>
    <row r="5058" spans="1:2" x14ac:dyDescent="0.25">
      <c r="A5058">
        <v>5029</v>
      </c>
      <c r="B5058">
        <v>0.19770609249511453</v>
      </c>
    </row>
    <row r="5059" spans="1:2" x14ac:dyDescent="0.25">
      <c r="A5059">
        <v>5030</v>
      </c>
      <c r="B5059">
        <v>0.25540377367364631</v>
      </c>
    </row>
    <row r="5060" spans="1:2" x14ac:dyDescent="0.25">
      <c r="A5060">
        <v>5031</v>
      </c>
      <c r="B5060">
        <v>0.12311493388430403</v>
      </c>
    </row>
    <row r="5061" spans="1:2" x14ac:dyDescent="0.25">
      <c r="A5061">
        <v>5032</v>
      </c>
      <c r="B5061">
        <v>0.20327470300848191</v>
      </c>
    </row>
    <row r="5062" spans="1:2" x14ac:dyDescent="0.25">
      <c r="A5062">
        <v>5033</v>
      </c>
      <c r="B5062">
        <v>0.17976901115787144</v>
      </c>
    </row>
    <row r="5063" spans="1:2" x14ac:dyDescent="0.25">
      <c r="A5063">
        <v>5034</v>
      </c>
      <c r="B5063">
        <v>0.1125327511409909</v>
      </c>
    </row>
    <row r="5064" spans="1:2" x14ac:dyDescent="0.25">
      <c r="A5064">
        <v>5035</v>
      </c>
      <c r="B5064">
        <v>0.20341282582494161</v>
      </c>
    </row>
    <row r="5065" spans="1:2" x14ac:dyDescent="0.25">
      <c r="A5065">
        <v>5036</v>
      </c>
      <c r="B5065">
        <v>0.13454761836673482</v>
      </c>
    </row>
    <row r="5066" spans="1:2" x14ac:dyDescent="0.25">
      <c r="A5066">
        <v>5037</v>
      </c>
      <c r="B5066">
        <v>0.17712989023869538</v>
      </c>
    </row>
    <row r="5067" spans="1:2" x14ac:dyDescent="0.25">
      <c r="A5067">
        <v>5038</v>
      </c>
      <c r="B5067">
        <v>9.327243961019703E-2</v>
      </c>
    </row>
    <row r="5068" spans="1:2" x14ac:dyDescent="0.25">
      <c r="A5068">
        <v>5039</v>
      </c>
      <c r="B5068">
        <v>0.25681626565231019</v>
      </c>
    </row>
    <row r="5069" spans="1:2" x14ac:dyDescent="0.25">
      <c r="A5069">
        <v>5040</v>
      </c>
      <c r="B5069">
        <v>0.16058150721923914</v>
      </c>
    </row>
    <row r="5070" spans="1:2" x14ac:dyDescent="0.25">
      <c r="A5070">
        <v>5041</v>
      </c>
      <c r="B5070">
        <v>7.5483234284044604E-2</v>
      </c>
    </row>
    <row r="5071" spans="1:2" x14ac:dyDescent="0.25">
      <c r="A5071">
        <v>5042</v>
      </c>
      <c r="B5071">
        <v>0.23928921356961391</v>
      </c>
    </row>
    <row r="5072" spans="1:2" x14ac:dyDescent="0.25">
      <c r="A5072">
        <v>5043</v>
      </c>
      <c r="B5072">
        <v>0.23465263869991962</v>
      </c>
    </row>
    <row r="5073" spans="1:2" x14ac:dyDescent="0.25">
      <c r="A5073">
        <v>5044</v>
      </c>
      <c r="B5073">
        <v>0.17063050913058095</v>
      </c>
    </row>
    <row r="5074" spans="1:2" x14ac:dyDescent="0.25">
      <c r="A5074">
        <v>5045</v>
      </c>
      <c r="B5074">
        <v>0.17979578102333596</v>
      </c>
    </row>
    <row r="5075" spans="1:2" x14ac:dyDescent="0.25">
      <c r="A5075">
        <v>5046</v>
      </c>
      <c r="B5075">
        <v>0.21073327643948664</v>
      </c>
    </row>
    <row r="5076" spans="1:2" x14ac:dyDescent="0.25">
      <c r="A5076">
        <v>5047</v>
      </c>
      <c r="B5076">
        <v>0.16974263221358249</v>
      </c>
    </row>
    <row r="5077" spans="1:2" x14ac:dyDescent="0.25">
      <c r="A5077">
        <v>5048</v>
      </c>
      <c r="B5077">
        <v>0.15010667132001151</v>
      </c>
    </row>
    <row r="5078" spans="1:2" x14ac:dyDescent="0.25">
      <c r="A5078">
        <v>5049</v>
      </c>
      <c r="B5078">
        <v>0.28990025160272898</v>
      </c>
    </row>
    <row r="5079" spans="1:2" x14ac:dyDescent="0.25">
      <c r="A5079">
        <v>5050</v>
      </c>
      <c r="B5079">
        <v>0.2176698395206057</v>
      </c>
    </row>
    <row r="5080" spans="1:2" x14ac:dyDescent="0.25">
      <c r="A5080">
        <v>5051</v>
      </c>
      <c r="B5080">
        <v>3.4477356267032341E-2</v>
      </c>
    </row>
    <row r="5081" spans="1:2" x14ac:dyDescent="0.25">
      <c r="A5081">
        <v>5052</v>
      </c>
      <c r="B5081">
        <v>0.25244800407529616</v>
      </c>
    </row>
    <row r="5082" spans="1:2" x14ac:dyDescent="0.25">
      <c r="A5082">
        <v>5053</v>
      </c>
      <c r="B5082">
        <v>0.17137418658624293</v>
      </c>
    </row>
    <row r="5083" spans="1:2" x14ac:dyDescent="0.25">
      <c r="A5083">
        <v>5054</v>
      </c>
      <c r="B5083">
        <v>0.23003905491836812</v>
      </c>
    </row>
    <row r="5084" spans="1:2" x14ac:dyDescent="0.25">
      <c r="A5084">
        <v>5055</v>
      </c>
      <c r="B5084">
        <v>0.23092758250226561</v>
      </c>
    </row>
    <row r="5085" spans="1:2" x14ac:dyDescent="0.25">
      <c r="A5085">
        <v>5056</v>
      </c>
      <c r="B5085">
        <v>0.27099560208104995</v>
      </c>
    </row>
    <row r="5086" spans="1:2" x14ac:dyDescent="0.25">
      <c r="A5086">
        <v>5057</v>
      </c>
      <c r="B5086">
        <v>8.4121022199150422E-2</v>
      </c>
    </row>
    <row r="5087" spans="1:2" x14ac:dyDescent="0.25">
      <c r="A5087">
        <v>5058</v>
      </c>
      <c r="B5087">
        <v>7.4320921784564578E-2</v>
      </c>
    </row>
    <row r="5088" spans="1:2" x14ac:dyDescent="0.25">
      <c r="A5088">
        <v>5059</v>
      </c>
      <c r="B5088">
        <v>0.14115008323104311</v>
      </c>
    </row>
    <row r="5089" spans="1:2" x14ac:dyDescent="0.25">
      <c r="A5089">
        <v>5060</v>
      </c>
      <c r="B5089">
        <v>7.0866736077273812E-2</v>
      </c>
    </row>
    <row r="5090" spans="1:2" x14ac:dyDescent="0.25">
      <c r="A5090">
        <v>5061</v>
      </c>
      <c r="B5090">
        <v>9.371636049044213E-2</v>
      </c>
    </row>
    <row r="5091" spans="1:2" x14ac:dyDescent="0.25">
      <c r="A5091">
        <v>5062</v>
      </c>
      <c r="B5091">
        <v>0.53077404002468154</v>
      </c>
    </row>
    <row r="5092" spans="1:2" x14ac:dyDescent="0.25">
      <c r="A5092">
        <v>5063</v>
      </c>
      <c r="B5092">
        <v>0.3174984139710415</v>
      </c>
    </row>
    <row r="5093" spans="1:2" x14ac:dyDescent="0.25">
      <c r="A5093">
        <v>5064</v>
      </c>
      <c r="B5093">
        <v>0.44556477221023721</v>
      </c>
    </row>
    <row r="5094" spans="1:2" x14ac:dyDescent="0.25">
      <c r="A5094">
        <v>5065</v>
      </c>
      <c r="B5094">
        <v>8.462633262207038E-2</v>
      </c>
    </row>
    <row r="5095" spans="1:2" x14ac:dyDescent="0.25">
      <c r="A5095">
        <v>5066</v>
      </c>
      <c r="B5095">
        <v>5.1251763263914112E-2</v>
      </c>
    </row>
    <row r="5096" spans="1:2" x14ac:dyDescent="0.25">
      <c r="A5096">
        <v>5067</v>
      </c>
      <c r="B5096">
        <v>6.6122144391783433E-2</v>
      </c>
    </row>
    <row r="5097" spans="1:2" x14ac:dyDescent="0.25">
      <c r="A5097">
        <v>5068</v>
      </c>
      <c r="B5097">
        <v>8.9260648667242162E-2</v>
      </c>
    </row>
    <row r="5098" spans="1:2" x14ac:dyDescent="0.25">
      <c r="A5098">
        <v>5069</v>
      </c>
      <c r="B5098">
        <v>0.20575620939561948</v>
      </c>
    </row>
    <row r="5099" spans="1:2" x14ac:dyDescent="0.25">
      <c r="A5099">
        <v>5070</v>
      </c>
      <c r="B5099">
        <v>0.30201462354437497</v>
      </c>
    </row>
    <row r="5100" spans="1:2" x14ac:dyDescent="0.25">
      <c r="A5100">
        <v>5071</v>
      </c>
      <c r="B5100">
        <v>0.23928710257790387</v>
      </c>
    </row>
    <row r="5101" spans="1:2" x14ac:dyDescent="0.25">
      <c r="A5101">
        <v>5072</v>
      </c>
      <c r="B5101">
        <v>0.60269560780343356</v>
      </c>
    </row>
    <row r="5102" spans="1:2" x14ac:dyDescent="0.25">
      <c r="A5102">
        <v>5073</v>
      </c>
      <c r="B5102">
        <v>0.22324747063727671</v>
      </c>
    </row>
    <row r="5103" spans="1:2" x14ac:dyDescent="0.25">
      <c r="A5103">
        <v>5074</v>
      </c>
      <c r="B5103">
        <v>8.9737735513168132E-2</v>
      </c>
    </row>
    <row r="5104" spans="1:2" x14ac:dyDescent="0.25">
      <c r="A5104">
        <v>5075</v>
      </c>
      <c r="B5104">
        <v>0.19588821606120205</v>
      </c>
    </row>
    <row r="5105" spans="1:2" x14ac:dyDescent="0.25">
      <c r="A5105">
        <v>5076</v>
      </c>
      <c r="B5105">
        <v>4.3801211315043734E-2</v>
      </c>
    </row>
    <row r="5106" spans="1:2" x14ac:dyDescent="0.25">
      <c r="A5106">
        <v>5077</v>
      </c>
      <c r="B5106">
        <v>0.12492964395006111</v>
      </c>
    </row>
    <row r="5107" spans="1:2" x14ac:dyDescent="0.25">
      <c r="A5107">
        <v>5078</v>
      </c>
      <c r="B5107">
        <v>0.18268527490171832</v>
      </c>
    </row>
    <row r="5108" spans="1:2" x14ac:dyDescent="0.25">
      <c r="A5108">
        <v>5079</v>
      </c>
      <c r="B5108">
        <v>0.10679494323684205</v>
      </c>
    </row>
    <row r="5109" spans="1:2" x14ac:dyDescent="0.25">
      <c r="A5109">
        <v>5080</v>
      </c>
      <c r="B5109">
        <v>0.19614138948665094</v>
      </c>
    </row>
    <row r="5110" spans="1:2" x14ac:dyDescent="0.25">
      <c r="A5110">
        <v>5081</v>
      </c>
      <c r="B5110">
        <v>0.30591097835834125</v>
      </c>
    </row>
    <row r="5111" spans="1:2" x14ac:dyDescent="0.25">
      <c r="A5111">
        <v>5082</v>
      </c>
      <c r="B5111">
        <v>7.405446701943659E-2</v>
      </c>
    </row>
    <row r="5112" spans="1:2" x14ac:dyDescent="0.25">
      <c r="A5112">
        <v>5083</v>
      </c>
      <c r="B5112">
        <v>0.38694692207768783</v>
      </c>
    </row>
    <row r="5113" spans="1:2" x14ac:dyDescent="0.25">
      <c r="A5113">
        <v>5084</v>
      </c>
      <c r="B5113">
        <v>0.22391551681577068</v>
      </c>
    </row>
    <row r="5114" spans="1:2" x14ac:dyDescent="0.25">
      <c r="A5114">
        <v>5085</v>
      </c>
      <c r="B5114">
        <v>0.18262065986210235</v>
      </c>
    </row>
    <row r="5115" spans="1:2" x14ac:dyDescent="0.25">
      <c r="A5115">
        <v>5086</v>
      </c>
      <c r="B5115">
        <v>0.11181798325648439</v>
      </c>
    </row>
    <row r="5116" spans="1:2" x14ac:dyDescent="0.25">
      <c r="A5116">
        <v>5087</v>
      </c>
      <c r="B5116">
        <v>0.16437139742689591</v>
      </c>
    </row>
    <row r="5117" spans="1:2" x14ac:dyDescent="0.25">
      <c r="A5117">
        <v>5088</v>
      </c>
      <c r="B5117">
        <v>0.71025788710605742</v>
      </c>
    </row>
    <row r="5118" spans="1:2" x14ac:dyDescent="0.25">
      <c r="A5118">
        <v>5089</v>
      </c>
      <c r="B5118">
        <v>0.21792154696041297</v>
      </c>
    </row>
    <row r="5119" spans="1:2" x14ac:dyDescent="0.25">
      <c r="A5119">
        <v>5090</v>
      </c>
      <c r="B5119">
        <v>0.11089289341308073</v>
      </c>
    </row>
    <row r="5120" spans="1:2" x14ac:dyDescent="0.25">
      <c r="A5120">
        <v>5091</v>
      </c>
      <c r="B5120">
        <v>0.13992636584015999</v>
      </c>
    </row>
    <row r="5121" spans="1:2" x14ac:dyDescent="0.25">
      <c r="A5121">
        <v>5092</v>
      </c>
      <c r="B5121">
        <v>7.129470997670162E-2</v>
      </c>
    </row>
    <row r="5122" spans="1:2" x14ac:dyDescent="0.25">
      <c r="A5122">
        <v>5093</v>
      </c>
      <c r="B5122">
        <v>0.44922200270657886</v>
      </c>
    </row>
    <row r="5123" spans="1:2" x14ac:dyDescent="0.25">
      <c r="A5123">
        <v>5094</v>
      </c>
      <c r="B5123">
        <v>0.14405072790714846</v>
      </c>
    </row>
    <row r="5124" spans="1:2" x14ac:dyDescent="0.25">
      <c r="A5124">
        <v>5095</v>
      </c>
      <c r="B5124">
        <v>0.27271599432601029</v>
      </c>
    </row>
    <row r="5125" spans="1:2" x14ac:dyDescent="0.25">
      <c r="A5125">
        <v>5096</v>
      </c>
      <c r="B5125">
        <v>9.9995651984996603E-2</v>
      </c>
    </row>
    <row r="5126" spans="1:2" x14ac:dyDescent="0.25">
      <c r="A5126">
        <v>5097</v>
      </c>
      <c r="B5126">
        <v>0.28619300217782551</v>
      </c>
    </row>
    <row r="5127" spans="1:2" x14ac:dyDescent="0.25">
      <c r="A5127">
        <v>5098</v>
      </c>
      <c r="B5127">
        <v>0.25152394796699745</v>
      </c>
    </row>
    <row r="5128" spans="1:2" x14ac:dyDescent="0.25">
      <c r="A5128">
        <v>5099</v>
      </c>
      <c r="B5128">
        <v>0.31725596436239178</v>
      </c>
    </row>
    <row r="5129" spans="1:2" x14ac:dyDescent="0.25">
      <c r="A5129">
        <v>5100</v>
      </c>
      <c r="B5129">
        <v>0.42202187212842174</v>
      </c>
    </row>
    <row r="5130" spans="1:2" x14ac:dyDescent="0.25">
      <c r="A5130">
        <v>5101</v>
      </c>
      <c r="B5130">
        <v>0.33820509308789037</v>
      </c>
    </row>
    <row r="5131" spans="1:2" x14ac:dyDescent="0.25">
      <c r="A5131">
        <v>5102</v>
      </c>
      <c r="B5131">
        <v>0.58485245664350916</v>
      </c>
    </row>
    <row r="5132" spans="1:2" x14ac:dyDescent="0.25">
      <c r="A5132">
        <v>5103</v>
      </c>
      <c r="B5132">
        <v>0.24920546236932026</v>
      </c>
    </row>
    <row r="5133" spans="1:2" x14ac:dyDescent="0.25">
      <c r="A5133">
        <v>5104</v>
      </c>
      <c r="B5133">
        <v>5.8357944040965927E-2</v>
      </c>
    </row>
    <row r="5134" spans="1:2" x14ac:dyDescent="0.25">
      <c r="A5134">
        <v>5105</v>
      </c>
      <c r="B5134">
        <v>0.14116969141026253</v>
      </c>
    </row>
    <row r="5135" spans="1:2" x14ac:dyDescent="0.25">
      <c r="A5135">
        <v>5106</v>
      </c>
      <c r="B5135">
        <v>0.28341841565219494</v>
      </c>
    </row>
    <row r="5136" spans="1:2" x14ac:dyDescent="0.25">
      <c r="A5136">
        <v>5107</v>
      </c>
      <c r="B5136">
        <v>0.19024357628726604</v>
      </c>
    </row>
    <row r="5137" spans="1:2" x14ac:dyDescent="0.25">
      <c r="A5137">
        <v>5108</v>
      </c>
      <c r="B5137">
        <v>0.25513584958902391</v>
      </c>
    </row>
    <row r="5138" spans="1:2" x14ac:dyDescent="0.25">
      <c r="A5138">
        <v>5109</v>
      </c>
      <c r="B5138">
        <v>0.3364877536762701</v>
      </c>
    </row>
    <row r="5139" spans="1:2" x14ac:dyDescent="0.25">
      <c r="A5139">
        <v>5110</v>
      </c>
      <c r="B5139">
        <v>9.7090284601227914E-2</v>
      </c>
    </row>
    <row r="5140" spans="1:2" x14ac:dyDescent="0.25">
      <c r="A5140">
        <v>5111</v>
      </c>
      <c r="B5140">
        <v>0.17972873328319564</v>
      </c>
    </row>
    <row r="5141" spans="1:2" x14ac:dyDescent="0.25">
      <c r="A5141">
        <v>5112</v>
      </c>
      <c r="B5141">
        <v>0.13340088757309312</v>
      </c>
    </row>
    <row r="5142" spans="1:2" x14ac:dyDescent="0.25">
      <c r="A5142">
        <v>5113</v>
      </c>
      <c r="B5142">
        <v>6.7411399682259149E-2</v>
      </c>
    </row>
    <row r="5143" spans="1:2" x14ac:dyDescent="0.25">
      <c r="A5143">
        <v>5114</v>
      </c>
      <c r="B5143">
        <v>0.28184716232193996</v>
      </c>
    </row>
    <row r="5144" spans="1:2" x14ac:dyDescent="0.25">
      <c r="A5144">
        <v>5115</v>
      </c>
      <c r="B5144">
        <v>0.17528125554197721</v>
      </c>
    </row>
    <row r="5145" spans="1:2" x14ac:dyDescent="0.25">
      <c r="A5145">
        <v>5116</v>
      </c>
      <c r="B5145">
        <v>0.32237067003655007</v>
      </c>
    </row>
    <row r="5146" spans="1:2" x14ac:dyDescent="0.25">
      <c r="A5146">
        <v>5117</v>
      </c>
      <c r="B5146">
        <v>9.8542470302043605E-2</v>
      </c>
    </row>
    <row r="5147" spans="1:2" x14ac:dyDescent="0.25">
      <c r="A5147">
        <v>5118</v>
      </c>
      <c r="B5147">
        <v>3.5947800762220983E-2</v>
      </c>
    </row>
    <row r="5148" spans="1:2" x14ac:dyDescent="0.25">
      <c r="A5148">
        <v>5119</v>
      </c>
      <c r="B5148">
        <v>0.26756370075951619</v>
      </c>
    </row>
    <row r="5149" spans="1:2" x14ac:dyDescent="0.25">
      <c r="A5149">
        <v>5120</v>
      </c>
      <c r="B5149">
        <v>0.303712385513142</v>
      </c>
    </row>
    <row r="5150" spans="1:2" x14ac:dyDescent="0.25">
      <c r="A5150">
        <v>5121</v>
      </c>
      <c r="B5150">
        <v>0.15637740757412091</v>
      </c>
    </row>
    <row r="5151" spans="1:2" x14ac:dyDescent="0.25">
      <c r="A5151">
        <v>5122</v>
      </c>
      <c r="B5151">
        <v>0.12143898822597106</v>
      </c>
    </row>
    <row r="5152" spans="1:2" x14ac:dyDescent="0.25">
      <c r="A5152">
        <v>5123</v>
      </c>
      <c r="B5152">
        <v>0.1960604835978321</v>
      </c>
    </row>
    <row r="5153" spans="1:2" x14ac:dyDescent="0.25">
      <c r="A5153">
        <v>5124</v>
      </c>
      <c r="B5153">
        <v>2.8844741754894439E-2</v>
      </c>
    </row>
    <row r="5154" spans="1:2" x14ac:dyDescent="0.25">
      <c r="A5154">
        <v>5125</v>
      </c>
      <c r="B5154">
        <v>5.7654332759307036E-2</v>
      </c>
    </row>
    <row r="5155" spans="1:2" x14ac:dyDescent="0.25">
      <c r="A5155">
        <v>5126</v>
      </c>
      <c r="B5155">
        <v>0.19377007829200069</v>
      </c>
    </row>
    <row r="5156" spans="1:2" x14ac:dyDescent="0.25">
      <c r="A5156">
        <v>5127</v>
      </c>
      <c r="B5156">
        <v>0.41857319183071778</v>
      </c>
    </row>
    <row r="5157" spans="1:2" x14ac:dyDescent="0.25">
      <c r="A5157">
        <v>5128</v>
      </c>
      <c r="B5157">
        <v>5.9892953403802601E-2</v>
      </c>
    </row>
    <row r="5158" spans="1:2" x14ac:dyDescent="0.25">
      <c r="A5158">
        <v>5129</v>
      </c>
      <c r="B5158">
        <v>0.21364882308313396</v>
      </c>
    </row>
    <row r="5159" spans="1:2" x14ac:dyDescent="0.25">
      <c r="A5159">
        <v>5130</v>
      </c>
      <c r="B5159">
        <v>0.15192278482240587</v>
      </c>
    </row>
    <row r="5160" spans="1:2" x14ac:dyDescent="0.25">
      <c r="A5160">
        <v>5131</v>
      </c>
      <c r="B5160">
        <v>0.37599469882115893</v>
      </c>
    </row>
    <row r="5161" spans="1:2" x14ac:dyDescent="0.25">
      <c r="A5161">
        <v>5132</v>
      </c>
      <c r="B5161">
        <v>0.2947633647609697</v>
      </c>
    </row>
    <row r="5162" spans="1:2" x14ac:dyDescent="0.25">
      <c r="A5162">
        <v>5133</v>
      </c>
      <c r="B5162">
        <v>0.1589590980788014</v>
      </c>
    </row>
    <row r="5163" spans="1:2" x14ac:dyDescent="0.25">
      <c r="A5163">
        <v>5134</v>
      </c>
      <c r="B5163">
        <v>0.22707298396780456</v>
      </c>
    </row>
    <row r="5164" spans="1:2" x14ac:dyDescent="0.25">
      <c r="A5164">
        <v>5135</v>
      </c>
      <c r="B5164">
        <v>0.26749278322646036</v>
      </c>
    </row>
    <row r="5165" spans="1:2" x14ac:dyDescent="0.25">
      <c r="A5165">
        <v>5136</v>
      </c>
      <c r="B5165">
        <v>0.15157188782436878</v>
      </c>
    </row>
    <row r="5166" spans="1:2" x14ac:dyDescent="0.25">
      <c r="A5166">
        <v>5137</v>
      </c>
      <c r="B5166">
        <v>0.12397242434299649</v>
      </c>
    </row>
    <row r="5167" spans="1:2" x14ac:dyDescent="0.25">
      <c r="A5167">
        <v>5138</v>
      </c>
      <c r="B5167">
        <v>0.14571226995228698</v>
      </c>
    </row>
    <row r="5168" spans="1:2" x14ac:dyDescent="0.25">
      <c r="A5168">
        <v>5139</v>
      </c>
      <c r="B5168">
        <v>0.28671851186215203</v>
      </c>
    </row>
    <row r="5169" spans="1:2" x14ac:dyDescent="0.25">
      <c r="A5169">
        <v>5140</v>
      </c>
      <c r="B5169">
        <v>0.12805191963567678</v>
      </c>
    </row>
    <row r="5170" spans="1:2" x14ac:dyDescent="0.25">
      <c r="A5170">
        <v>5141</v>
      </c>
      <c r="B5170">
        <v>0.1007329757872502</v>
      </c>
    </row>
    <row r="5171" spans="1:2" x14ac:dyDescent="0.25">
      <c r="A5171">
        <v>5142</v>
      </c>
      <c r="B5171">
        <v>0.12874556623358499</v>
      </c>
    </row>
    <row r="5172" spans="1:2" x14ac:dyDescent="0.25">
      <c r="A5172">
        <v>5143</v>
      </c>
      <c r="B5172">
        <v>0.22932091621869632</v>
      </c>
    </row>
    <row r="5173" spans="1:2" x14ac:dyDescent="0.25">
      <c r="A5173">
        <v>5144</v>
      </c>
      <c r="B5173">
        <v>0.1734490703265984</v>
      </c>
    </row>
    <row r="5174" spans="1:2" x14ac:dyDescent="0.25">
      <c r="A5174">
        <v>5145</v>
      </c>
      <c r="B5174">
        <v>0.19057511568713839</v>
      </c>
    </row>
    <row r="5175" spans="1:2" x14ac:dyDescent="0.25">
      <c r="A5175">
        <v>5146</v>
      </c>
      <c r="B5175">
        <v>7.8738113387131548E-2</v>
      </c>
    </row>
    <row r="5176" spans="1:2" x14ac:dyDescent="0.25">
      <c r="A5176">
        <v>5147</v>
      </c>
      <c r="B5176">
        <v>0.2131539565887558</v>
      </c>
    </row>
    <row r="5177" spans="1:2" x14ac:dyDescent="0.25">
      <c r="A5177">
        <v>5148</v>
      </c>
      <c r="B5177">
        <v>0.10649367096086575</v>
      </c>
    </row>
    <row r="5178" spans="1:2" x14ac:dyDescent="0.25">
      <c r="A5178">
        <v>5149</v>
      </c>
      <c r="B5178">
        <v>9.6131444295971188E-2</v>
      </c>
    </row>
    <row r="5179" spans="1:2" x14ac:dyDescent="0.25">
      <c r="A5179">
        <v>5150</v>
      </c>
      <c r="B5179">
        <v>0.1241674409692312</v>
      </c>
    </row>
    <row r="5180" spans="1:2" x14ac:dyDescent="0.25">
      <c r="A5180">
        <v>5151</v>
      </c>
      <c r="B5180">
        <v>0.193078679581699</v>
      </c>
    </row>
    <row r="5181" spans="1:2" x14ac:dyDescent="0.25">
      <c r="A5181">
        <v>5152</v>
      </c>
      <c r="B5181">
        <v>0.23512756577422508</v>
      </c>
    </row>
    <row r="5182" spans="1:2" x14ac:dyDescent="0.25">
      <c r="A5182">
        <v>5153</v>
      </c>
      <c r="B5182">
        <v>6.5923839682238722E-2</v>
      </c>
    </row>
    <row r="5183" spans="1:2" x14ac:dyDescent="0.25">
      <c r="A5183">
        <v>5154</v>
      </c>
      <c r="B5183">
        <v>0.21716982687232034</v>
      </c>
    </row>
    <row r="5184" spans="1:2" x14ac:dyDescent="0.25">
      <c r="A5184">
        <v>5155</v>
      </c>
      <c r="B5184">
        <v>0.14358482269892589</v>
      </c>
    </row>
    <row r="5185" spans="1:2" x14ac:dyDescent="0.25">
      <c r="A5185">
        <v>5156</v>
      </c>
      <c r="B5185">
        <v>0.48114084635310483</v>
      </c>
    </row>
    <row r="5186" spans="1:2" x14ac:dyDescent="0.25">
      <c r="A5186">
        <v>5157</v>
      </c>
      <c r="B5186">
        <v>0.13300171252546131</v>
      </c>
    </row>
    <row r="5187" spans="1:2" x14ac:dyDescent="0.25">
      <c r="A5187">
        <v>5158</v>
      </c>
      <c r="B5187">
        <v>7.2734780454424539E-2</v>
      </c>
    </row>
    <row r="5188" spans="1:2" x14ac:dyDescent="0.25">
      <c r="A5188">
        <v>5159</v>
      </c>
      <c r="B5188">
        <v>0.17002543390122637</v>
      </c>
    </row>
    <row r="5189" spans="1:2" x14ac:dyDescent="0.25">
      <c r="A5189">
        <v>5160</v>
      </c>
      <c r="B5189">
        <v>0.39228571648564964</v>
      </c>
    </row>
    <row r="5190" spans="1:2" x14ac:dyDescent="0.25">
      <c r="A5190">
        <v>5161</v>
      </c>
      <c r="B5190">
        <v>3.7388658761193919E-2</v>
      </c>
    </row>
    <row r="5191" spans="1:2" x14ac:dyDescent="0.25">
      <c r="A5191">
        <v>5162</v>
      </c>
      <c r="B5191">
        <v>0.21023299299516734</v>
      </c>
    </row>
    <row r="5192" spans="1:2" x14ac:dyDescent="0.25">
      <c r="A5192">
        <v>5163</v>
      </c>
      <c r="B5192">
        <v>0.72302404345845639</v>
      </c>
    </row>
    <row r="5193" spans="1:2" x14ac:dyDescent="0.25">
      <c r="A5193">
        <v>5164</v>
      </c>
      <c r="B5193">
        <v>0.14503470923838635</v>
      </c>
    </row>
    <row r="5194" spans="1:2" x14ac:dyDescent="0.25">
      <c r="A5194">
        <v>5165</v>
      </c>
      <c r="B5194">
        <v>0.27385002603799163</v>
      </c>
    </row>
    <row r="5195" spans="1:2" x14ac:dyDescent="0.25">
      <c r="A5195">
        <v>5166</v>
      </c>
      <c r="B5195">
        <v>0.19852480215840945</v>
      </c>
    </row>
    <row r="5196" spans="1:2" x14ac:dyDescent="0.25">
      <c r="A5196">
        <v>5167</v>
      </c>
      <c r="B5196">
        <v>0.11438230644787141</v>
      </c>
    </row>
    <row r="5197" spans="1:2" x14ac:dyDescent="0.25">
      <c r="A5197">
        <v>5168</v>
      </c>
      <c r="B5197">
        <v>0.18215187299125835</v>
      </c>
    </row>
    <row r="5198" spans="1:2" x14ac:dyDescent="0.25">
      <c r="A5198">
        <v>5169</v>
      </c>
      <c r="B5198">
        <v>0.18906331233623003</v>
      </c>
    </row>
    <row r="5199" spans="1:2" x14ac:dyDescent="0.25">
      <c r="A5199">
        <v>5170</v>
      </c>
      <c r="B5199">
        <v>0.19175073289952826</v>
      </c>
    </row>
    <row r="5200" spans="1:2" x14ac:dyDescent="0.25">
      <c r="A5200">
        <v>5171</v>
      </c>
      <c r="B5200">
        <v>0.2137523777779966</v>
      </c>
    </row>
    <row r="5201" spans="1:2" x14ac:dyDescent="0.25">
      <c r="A5201">
        <v>5172</v>
      </c>
      <c r="B5201">
        <v>8.3337921591097361E-2</v>
      </c>
    </row>
    <row r="5202" spans="1:2" x14ac:dyDescent="0.25">
      <c r="A5202">
        <v>5173</v>
      </c>
      <c r="B5202">
        <v>9.0334428838049832E-2</v>
      </c>
    </row>
    <row r="5203" spans="1:2" x14ac:dyDescent="0.25">
      <c r="A5203">
        <v>5174</v>
      </c>
      <c r="B5203">
        <v>8.9469204476242223E-2</v>
      </c>
    </row>
    <row r="5204" spans="1:2" x14ac:dyDescent="0.25">
      <c r="A5204">
        <v>5175</v>
      </c>
      <c r="B5204">
        <v>0.1779227991028588</v>
      </c>
    </row>
    <row r="5205" spans="1:2" x14ac:dyDescent="0.25">
      <c r="A5205">
        <v>5176</v>
      </c>
      <c r="B5205">
        <v>0.11542773232109196</v>
      </c>
    </row>
    <row r="5206" spans="1:2" x14ac:dyDescent="0.25">
      <c r="A5206">
        <v>5177</v>
      </c>
      <c r="B5206">
        <v>0.15768176924810717</v>
      </c>
    </row>
    <row r="5207" spans="1:2" x14ac:dyDescent="0.25">
      <c r="A5207">
        <v>5178</v>
      </c>
      <c r="B5207">
        <v>0.59706251515060083</v>
      </c>
    </row>
    <row r="5208" spans="1:2" x14ac:dyDescent="0.25">
      <c r="A5208">
        <v>5179</v>
      </c>
      <c r="B5208">
        <v>0.19472542047086572</v>
      </c>
    </row>
    <row r="5209" spans="1:2" x14ac:dyDescent="0.25">
      <c r="A5209">
        <v>5180</v>
      </c>
      <c r="B5209">
        <v>0.13272142396186284</v>
      </c>
    </row>
    <row r="5210" spans="1:2" x14ac:dyDescent="0.25">
      <c r="A5210">
        <v>5181</v>
      </c>
      <c r="B5210">
        <v>5.8639688578509902E-2</v>
      </c>
    </row>
    <row r="5211" spans="1:2" x14ac:dyDescent="0.25">
      <c r="A5211">
        <v>5182</v>
      </c>
      <c r="B5211">
        <v>0.1916041516197024</v>
      </c>
    </row>
    <row r="5212" spans="1:2" x14ac:dyDescent="0.25">
      <c r="A5212">
        <v>5183</v>
      </c>
      <c r="B5212">
        <v>4.9735228477065928E-2</v>
      </c>
    </row>
    <row r="5213" spans="1:2" x14ac:dyDescent="0.25">
      <c r="A5213">
        <v>5184</v>
      </c>
      <c r="B5213">
        <v>0.1524914387048554</v>
      </c>
    </row>
    <row r="5214" spans="1:2" x14ac:dyDescent="0.25">
      <c r="A5214">
        <v>5185</v>
      </c>
      <c r="B5214">
        <v>8.4237776439560236E-2</v>
      </c>
    </row>
    <row r="5215" spans="1:2" x14ac:dyDescent="0.25">
      <c r="A5215">
        <v>5186</v>
      </c>
      <c r="B5215">
        <v>4.9344059271768166E-2</v>
      </c>
    </row>
    <row r="5216" spans="1:2" x14ac:dyDescent="0.25">
      <c r="A5216">
        <v>5187</v>
      </c>
      <c r="B5216">
        <v>0.46611198253890274</v>
      </c>
    </row>
    <row r="5217" spans="1:2" x14ac:dyDescent="0.25">
      <c r="A5217">
        <v>5188</v>
      </c>
      <c r="B5217">
        <v>0.22021387511613147</v>
      </c>
    </row>
    <row r="5218" spans="1:2" x14ac:dyDescent="0.25">
      <c r="A5218">
        <v>5189</v>
      </c>
      <c r="B5218">
        <v>0.19752176669838634</v>
      </c>
    </row>
    <row r="5219" spans="1:2" x14ac:dyDescent="0.25">
      <c r="A5219">
        <v>5190</v>
      </c>
      <c r="B5219">
        <v>0.17584855365597579</v>
      </c>
    </row>
    <row r="5220" spans="1:2" x14ac:dyDescent="0.25">
      <c r="A5220">
        <v>5191</v>
      </c>
      <c r="B5220">
        <v>0.16869688986861281</v>
      </c>
    </row>
    <row r="5221" spans="1:2" x14ac:dyDescent="0.25">
      <c r="A5221">
        <v>5192</v>
      </c>
      <c r="B5221">
        <v>0.14662246490822034</v>
      </c>
    </row>
    <row r="5222" spans="1:2" x14ac:dyDescent="0.25">
      <c r="A5222">
        <v>5193</v>
      </c>
      <c r="B5222">
        <v>0.36676804831656107</v>
      </c>
    </row>
    <row r="5223" spans="1:2" x14ac:dyDescent="0.25">
      <c r="A5223">
        <v>5194</v>
      </c>
      <c r="B5223">
        <v>0.37446558714690564</v>
      </c>
    </row>
    <row r="5224" spans="1:2" x14ac:dyDescent="0.25">
      <c r="A5224">
        <v>5195</v>
      </c>
      <c r="B5224">
        <v>0.35727889495150178</v>
      </c>
    </row>
    <row r="5225" spans="1:2" x14ac:dyDescent="0.25">
      <c r="A5225">
        <v>5196</v>
      </c>
      <c r="B5225">
        <v>0.19734669613630859</v>
      </c>
    </row>
    <row r="5226" spans="1:2" x14ac:dyDescent="0.25">
      <c r="A5226">
        <v>5197</v>
      </c>
      <c r="B5226">
        <v>0.27540461756066764</v>
      </c>
    </row>
    <row r="5227" spans="1:2" x14ac:dyDescent="0.25">
      <c r="A5227">
        <v>5198</v>
      </c>
      <c r="B5227">
        <v>0.38947246697089011</v>
      </c>
    </row>
    <row r="5228" spans="1:2" x14ac:dyDescent="0.25">
      <c r="A5228">
        <v>5199</v>
      </c>
      <c r="B5228">
        <v>7.2675940673591094E-2</v>
      </c>
    </row>
    <row r="5229" spans="1:2" x14ac:dyDescent="0.25">
      <c r="A5229">
        <v>5200</v>
      </c>
      <c r="B5229">
        <v>0.2177091389083087</v>
      </c>
    </row>
    <row r="5230" spans="1:2" x14ac:dyDescent="0.25">
      <c r="A5230">
        <v>5201</v>
      </c>
      <c r="B5230">
        <v>0.10282905038237618</v>
      </c>
    </row>
    <row r="5231" spans="1:2" x14ac:dyDescent="0.25">
      <c r="A5231">
        <v>5202</v>
      </c>
      <c r="B5231">
        <v>0.50809156870187078</v>
      </c>
    </row>
    <row r="5232" spans="1:2" x14ac:dyDescent="0.25">
      <c r="A5232">
        <v>5203</v>
      </c>
      <c r="B5232">
        <v>0.64328512050784981</v>
      </c>
    </row>
    <row r="5233" spans="1:2" x14ac:dyDescent="0.25">
      <c r="A5233">
        <v>5204</v>
      </c>
      <c r="B5233">
        <v>0.13403776379907081</v>
      </c>
    </row>
    <row r="5234" spans="1:2" x14ac:dyDescent="0.25">
      <c r="A5234">
        <v>5205</v>
      </c>
      <c r="B5234">
        <v>0.29607816150631194</v>
      </c>
    </row>
    <row r="5235" spans="1:2" x14ac:dyDescent="0.25">
      <c r="A5235">
        <v>5206</v>
      </c>
      <c r="B5235">
        <v>0.37325941865538653</v>
      </c>
    </row>
    <row r="5236" spans="1:2" x14ac:dyDescent="0.25">
      <c r="A5236">
        <v>5207</v>
      </c>
      <c r="B5236">
        <v>0.10606136852164756</v>
      </c>
    </row>
    <row r="5237" spans="1:2" x14ac:dyDescent="0.25">
      <c r="A5237">
        <v>5208</v>
      </c>
      <c r="B5237">
        <v>0.28860222079903869</v>
      </c>
    </row>
    <row r="5238" spans="1:2" x14ac:dyDescent="0.25">
      <c r="A5238">
        <v>5209</v>
      </c>
      <c r="B5238">
        <v>0.19057510497169616</v>
      </c>
    </row>
    <row r="5239" spans="1:2" x14ac:dyDescent="0.25">
      <c r="A5239">
        <v>5210</v>
      </c>
      <c r="B5239">
        <v>0.10591245219004154</v>
      </c>
    </row>
    <row r="5240" spans="1:2" x14ac:dyDescent="0.25">
      <c r="A5240">
        <v>5211</v>
      </c>
      <c r="B5240">
        <v>0.88313910835094878</v>
      </c>
    </row>
    <row r="5241" spans="1:2" x14ac:dyDescent="0.25">
      <c r="A5241">
        <v>5212</v>
      </c>
      <c r="B5241">
        <v>0.430203802220331</v>
      </c>
    </row>
    <row r="5242" spans="1:2" x14ac:dyDescent="0.25">
      <c r="A5242">
        <v>5213</v>
      </c>
      <c r="B5242">
        <v>0.50104134474423678</v>
      </c>
    </row>
    <row r="5243" spans="1:2" x14ac:dyDescent="0.25">
      <c r="A5243">
        <v>5214</v>
      </c>
      <c r="B5243">
        <v>9.9076098877845992E-2</v>
      </c>
    </row>
    <row r="5244" spans="1:2" x14ac:dyDescent="0.25">
      <c r="A5244">
        <v>5215</v>
      </c>
      <c r="B5244">
        <v>0.22160925392371031</v>
      </c>
    </row>
    <row r="5245" spans="1:2" x14ac:dyDescent="0.25">
      <c r="A5245">
        <v>5216</v>
      </c>
      <c r="B5245">
        <v>0.38329250740123821</v>
      </c>
    </row>
    <row r="5246" spans="1:2" x14ac:dyDescent="0.25">
      <c r="A5246">
        <v>5217</v>
      </c>
      <c r="B5246">
        <v>0.13694444375169579</v>
      </c>
    </row>
    <row r="5247" spans="1:2" x14ac:dyDescent="0.25">
      <c r="A5247">
        <v>5218</v>
      </c>
      <c r="B5247">
        <v>0.16239160357088825</v>
      </c>
    </row>
    <row r="5248" spans="1:2" x14ac:dyDescent="0.25">
      <c r="A5248">
        <v>5219</v>
      </c>
      <c r="B5248">
        <v>0.11687225976758189</v>
      </c>
    </row>
    <row r="5249" spans="1:2" x14ac:dyDescent="0.25">
      <c r="A5249">
        <v>5220</v>
      </c>
      <c r="B5249">
        <v>0.22545673008757039</v>
      </c>
    </row>
    <row r="5250" spans="1:2" x14ac:dyDescent="0.25">
      <c r="A5250">
        <v>5221</v>
      </c>
      <c r="B5250">
        <v>0.28035316833017548</v>
      </c>
    </row>
    <row r="5251" spans="1:2" x14ac:dyDescent="0.25">
      <c r="A5251">
        <v>5222</v>
      </c>
      <c r="B5251">
        <v>0.32479045686204078</v>
      </c>
    </row>
    <row r="5252" spans="1:2" x14ac:dyDescent="0.25">
      <c r="A5252">
        <v>5223</v>
      </c>
      <c r="B5252">
        <v>0.15510601222395007</v>
      </c>
    </row>
    <row r="5253" spans="1:2" x14ac:dyDescent="0.25">
      <c r="A5253">
        <v>5224</v>
      </c>
      <c r="B5253">
        <v>0.4047816576171045</v>
      </c>
    </row>
    <row r="5254" spans="1:2" x14ac:dyDescent="0.25">
      <c r="A5254">
        <v>5225</v>
      </c>
      <c r="B5254">
        <v>0.45995846216852471</v>
      </c>
    </row>
    <row r="5255" spans="1:2" x14ac:dyDescent="0.25">
      <c r="A5255">
        <v>5226</v>
      </c>
      <c r="B5255">
        <v>0.14387306651566062</v>
      </c>
    </row>
    <row r="5256" spans="1:2" x14ac:dyDescent="0.25">
      <c r="A5256">
        <v>5227</v>
      </c>
      <c r="B5256">
        <v>0.40148409278338987</v>
      </c>
    </row>
    <row r="5257" spans="1:2" x14ac:dyDescent="0.25">
      <c r="A5257">
        <v>5228</v>
      </c>
      <c r="B5257">
        <v>0.14470310419698862</v>
      </c>
    </row>
    <row r="5258" spans="1:2" x14ac:dyDescent="0.25">
      <c r="A5258">
        <v>5229</v>
      </c>
      <c r="B5258">
        <v>0.32943894075164454</v>
      </c>
    </row>
    <row r="5259" spans="1:2" x14ac:dyDescent="0.25">
      <c r="A5259">
        <v>5230</v>
      </c>
      <c r="B5259">
        <v>9.0448399109155433E-2</v>
      </c>
    </row>
    <row r="5260" spans="1:2" x14ac:dyDescent="0.25">
      <c r="A5260">
        <v>5231</v>
      </c>
      <c r="B5260">
        <v>9.895673693290713E-2</v>
      </c>
    </row>
    <row r="5261" spans="1:2" x14ac:dyDescent="0.25">
      <c r="A5261">
        <v>5232</v>
      </c>
      <c r="B5261">
        <v>0.31164093775155688</v>
      </c>
    </row>
    <row r="5262" spans="1:2" x14ac:dyDescent="0.25">
      <c r="A5262">
        <v>5233</v>
      </c>
      <c r="B5262">
        <v>0.11644345093925626</v>
      </c>
    </row>
    <row r="5263" spans="1:2" x14ac:dyDescent="0.25">
      <c r="A5263">
        <v>5234</v>
      </c>
      <c r="B5263">
        <v>0.13357403738044571</v>
      </c>
    </row>
    <row r="5264" spans="1:2" x14ac:dyDescent="0.25">
      <c r="A5264">
        <v>5235</v>
      </c>
      <c r="B5264">
        <v>0.16791658707122523</v>
      </c>
    </row>
    <row r="5265" spans="1:2" x14ac:dyDescent="0.25">
      <c r="A5265">
        <v>5236</v>
      </c>
      <c r="B5265">
        <v>0.18154742337347884</v>
      </c>
    </row>
    <row r="5266" spans="1:2" x14ac:dyDescent="0.25">
      <c r="A5266">
        <v>5237</v>
      </c>
      <c r="B5266">
        <v>6.8901940795912622E-2</v>
      </c>
    </row>
    <row r="5267" spans="1:2" x14ac:dyDescent="0.25">
      <c r="A5267">
        <v>5238</v>
      </c>
      <c r="B5267">
        <v>9.9992031886654981E-2</v>
      </c>
    </row>
    <row r="5268" spans="1:2" x14ac:dyDescent="0.25">
      <c r="A5268">
        <v>5239</v>
      </c>
      <c r="B5268">
        <v>0.13815301439127803</v>
      </c>
    </row>
    <row r="5269" spans="1:2" x14ac:dyDescent="0.25">
      <c r="A5269">
        <v>5240</v>
      </c>
      <c r="B5269">
        <v>0.40306867542861147</v>
      </c>
    </row>
    <row r="5270" spans="1:2" x14ac:dyDescent="0.25">
      <c r="A5270">
        <v>5241</v>
      </c>
      <c r="B5270">
        <v>0.27338826202742705</v>
      </c>
    </row>
    <row r="5271" spans="1:2" x14ac:dyDescent="0.25">
      <c r="A5271">
        <v>5242</v>
      </c>
      <c r="B5271">
        <v>0.15850186363406865</v>
      </c>
    </row>
    <row r="5272" spans="1:2" x14ac:dyDescent="0.25">
      <c r="A5272">
        <v>5243</v>
      </c>
      <c r="B5272">
        <v>0.11566498562309989</v>
      </c>
    </row>
    <row r="5273" spans="1:2" x14ac:dyDescent="0.25">
      <c r="A5273">
        <v>5244</v>
      </c>
      <c r="B5273">
        <v>3.324395635327073E-2</v>
      </c>
    </row>
    <row r="5274" spans="1:2" x14ac:dyDescent="0.25">
      <c r="A5274">
        <v>5245</v>
      </c>
      <c r="B5274">
        <v>9.1313213737289636E-2</v>
      </c>
    </row>
    <row r="5275" spans="1:2" x14ac:dyDescent="0.25">
      <c r="A5275">
        <v>5246</v>
      </c>
      <c r="B5275">
        <v>0.29785423246876891</v>
      </c>
    </row>
    <row r="5276" spans="1:2" x14ac:dyDescent="0.25">
      <c r="A5276">
        <v>5247</v>
      </c>
      <c r="B5276">
        <v>9.4296701962592905E-2</v>
      </c>
    </row>
    <row r="5277" spans="1:2" x14ac:dyDescent="0.25">
      <c r="A5277">
        <v>5248</v>
      </c>
      <c r="B5277">
        <v>0.19113642087798954</v>
      </c>
    </row>
    <row r="5278" spans="1:2" x14ac:dyDescent="0.25">
      <c r="A5278">
        <v>5249</v>
      </c>
      <c r="B5278">
        <v>0.3061879782507172</v>
      </c>
    </row>
    <row r="5279" spans="1:2" x14ac:dyDescent="0.25">
      <c r="A5279">
        <v>5250</v>
      </c>
      <c r="B5279">
        <v>0.29370718156980474</v>
      </c>
    </row>
    <row r="5280" spans="1:2" x14ac:dyDescent="0.25">
      <c r="A5280">
        <v>5251</v>
      </c>
      <c r="B5280">
        <v>0.2287505099803491</v>
      </c>
    </row>
    <row r="5281" spans="1:2" x14ac:dyDescent="0.25">
      <c r="A5281">
        <v>5252</v>
      </c>
      <c r="B5281">
        <v>0.21367738130443908</v>
      </c>
    </row>
    <row r="5282" spans="1:2" x14ac:dyDescent="0.25">
      <c r="A5282">
        <v>5253</v>
      </c>
      <c r="B5282">
        <v>0.27433708133332951</v>
      </c>
    </row>
    <row r="5283" spans="1:2" x14ac:dyDescent="0.25">
      <c r="A5283">
        <v>5254</v>
      </c>
      <c r="B5283">
        <v>0.30637544253147936</v>
      </c>
    </row>
    <row r="5284" spans="1:2" x14ac:dyDescent="0.25">
      <c r="A5284">
        <v>5255</v>
      </c>
      <c r="B5284">
        <v>0.4067017920820491</v>
      </c>
    </row>
    <row r="5285" spans="1:2" x14ac:dyDescent="0.25">
      <c r="A5285">
        <v>5256</v>
      </c>
      <c r="B5285">
        <v>0.30823658944607868</v>
      </c>
    </row>
    <row r="5286" spans="1:2" x14ac:dyDescent="0.25">
      <c r="A5286">
        <v>5257</v>
      </c>
      <c r="B5286">
        <v>0.10701765032369322</v>
      </c>
    </row>
    <row r="5287" spans="1:2" x14ac:dyDescent="0.25">
      <c r="A5287">
        <v>5258</v>
      </c>
      <c r="B5287">
        <v>7.1754734034496614E-2</v>
      </c>
    </row>
    <row r="5288" spans="1:2" x14ac:dyDescent="0.25">
      <c r="A5288">
        <v>5259</v>
      </c>
      <c r="B5288">
        <v>0.26981912335277308</v>
      </c>
    </row>
    <row r="5289" spans="1:2" x14ac:dyDescent="0.25">
      <c r="A5289">
        <v>5260</v>
      </c>
      <c r="B5289">
        <v>4.2557739729278773E-2</v>
      </c>
    </row>
    <row r="5290" spans="1:2" x14ac:dyDescent="0.25">
      <c r="A5290">
        <v>5261</v>
      </c>
      <c r="B5290">
        <v>0.53683614522932466</v>
      </c>
    </row>
    <row r="5291" spans="1:2" x14ac:dyDescent="0.25">
      <c r="A5291">
        <v>5262</v>
      </c>
      <c r="B5291">
        <v>0.60364184076907279</v>
      </c>
    </row>
    <row r="5292" spans="1:2" x14ac:dyDescent="0.25">
      <c r="A5292">
        <v>5263</v>
      </c>
      <c r="B5292">
        <v>4.9571833473986464E-2</v>
      </c>
    </row>
    <row r="5293" spans="1:2" x14ac:dyDescent="0.25">
      <c r="A5293">
        <v>5264</v>
      </c>
      <c r="B5293">
        <v>0.14656138003794764</v>
      </c>
    </row>
    <row r="5294" spans="1:2" x14ac:dyDescent="0.25">
      <c r="A5294">
        <v>5265</v>
      </c>
      <c r="B5294">
        <v>0.3123697563955945</v>
      </c>
    </row>
    <row r="5295" spans="1:2" x14ac:dyDescent="0.25">
      <c r="A5295">
        <v>5266</v>
      </c>
      <c r="B5295">
        <v>0.24939612060569302</v>
      </c>
    </row>
    <row r="5296" spans="1:2" x14ac:dyDescent="0.25">
      <c r="A5296">
        <v>5267</v>
      </c>
      <c r="B5296">
        <v>0.12062587655120642</v>
      </c>
    </row>
    <row r="5297" spans="1:2" x14ac:dyDescent="0.25">
      <c r="A5297">
        <v>5268</v>
      </c>
      <c r="B5297">
        <v>0.27516261436337747</v>
      </c>
    </row>
    <row r="5298" spans="1:2" x14ac:dyDescent="0.25">
      <c r="A5298">
        <v>5269</v>
      </c>
      <c r="B5298">
        <v>3.4271918790057247E-2</v>
      </c>
    </row>
    <row r="5299" spans="1:2" x14ac:dyDescent="0.25">
      <c r="A5299">
        <v>5270</v>
      </c>
      <c r="B5299">
        <v>0.39981786550979276</v>
      </c>
    </row>
    <row r="5300" spans="1:2" x14ac:dyDescent="0.25">
      <c r="A5300">
        <v>5271</v>
      </c>
      <c r="B5300">
        <v>9.8200348459712206E-2</v>
      </c>
    </row>
    <row r="5301" spans="1:2" x14ac:dyDescent="0.25">
      <c r="A5301">
        <v>5272</v>
      </c>
      <c r="B5301">
        <v>0.16651830233071177</v>
      </c>
    </row>
    <row r="5302" spans="1:2" x14ac:dyDescent="0.25">
      <c r="A5302">
        <v>5273</v>
      </c>
      <c r="B5302">
        <v>6.6624434437564842E-2</v>
      </c>
    </row>
    <row r="5303" spans="1:2" x14ac:dyDescent="0.25">
      <c r="A5303">
        <v>5274</v>
      </c>
      <c r="B5303">
        <v>0.48360811552486127</v>
      </c>
    </row>
    <row r="5304" spans="1:2" x14ac:dyDescent="0.25">
      <c r="A5304">
        <v>5275</v>
      </c>
      <c r="B5304">
        <v>0.17480593351625176</v>
      </c>
    </row>
    <row r="5305" spans="1:2" x14ac:dyDescent="0.25">
      <c r="A5305">
        <v>5276</v>
      </c>
      <c r="B5305">
        <v>7.9868570699254127E-2</v>
      </c>
    </row>
    <row r="5306" spans="1:2" x14ac:dyDescent="0.25">
      <c r="A5306">
        <v>5277</v>
      </c>
      <c r="B5306">
        <v>0.13855318755861507</v>
      </c>
    </row>
    <row r="5307" spans="1:2" x14ac:dyDescent="0.25">
      <c r="A5307">
        <v>5278</v>
      </c>
      <c r="B5307">
        <v>0.15068889370769534</v>
      </c>
    </row>
    <row r="5308" spans="1:2" x14ac:dyDescent="0.25">
      <c r="A5308">
        <v>5279</v>
      </c>
      <c r="B5308">
        <v>0.35568615181213953</v>
      </c>
    </row>
    <row r="5309" spans="1:2" x14ac:dyDescent="0.25">
      <c r="A5309">
        <v>5280</v>
      </c>
      <c r="B5309">
        <v>0.17593853282451583</v>
      </c>
    </row>
    <row r="5310" spans="1:2" x14ac:dyDescent="0.25">
      <c r="A5310">
        <v>5281</v>
      </c>
      <c r="B5310">
        <v>0.35475952444321679</v>
      </c>
    </row>
    <row r="5311" spans="1:2" x14ac:dyDescent="0.25">
      <c r="A5311">
        <v>5282</v>
      </c>
      <c r="B5311">
        <v>0.22935101598812954</v>
      </c>
    </row>
    <row r="5312" spans="1:2" x14ac:dyDescent="0.25">
      <c r="A5312">
        <v>5283</v>
      </c>
      <c r="B5312">
        <v>0.11289371292702535</v>
      </c>
    </row>
    <row r="5313" spans="1:2" x14ac:dyDescent="0.25">
      <c r="A5313">
        <v>5284</v>
      </c>
      <c r="B5313">
        <v>7.4501054226554606E-2</v>
      </c>
    </row>
    <row r="5314" spans="1:2" x14ac:dyDescent="0.25">
      <c r="A5314">
        <v>5285</v>
      </c>
      <c r="B5314">
        <v>0.33932039087091936</v>
      </c>
    </row>
    <row r="5315" spans="1:2" x14ac:dyDescent="0.25">
      <c r="A5315">
        <v>5286</v>
      </c>
      <c r="B5315">
        <v>8.2223211986304751E-2</v>
      </c>
    </row>
    <row r="5316" spans="1:2" x14ac:dyDescent="0.25">
      <c r="A5316">
        <v>5287</v>
      </c>
      <c r="B5316">
        <v>0.10597717730555271</v>
      </c>
    </row>
    <row r="5317" spans="1:2" x14ac:dyDescent="0.25">
      <c r="A5317">
        <v>5288</v>
      </c>
      <c r="B5317">
        <v>0.13876457918413793</v>
      </c>
    </row>
    <row r="5318" spans="1:2" x14ac:dyDescent="0.25">
      <c r="A5318">
        <v>5289</v>
      </c>
      <c r="B5318">
        <v>4.0012030470824238E-2</v>
      </c>
    </row>
    <row r="5319" spans="1:2" x14ac:dyDescent="0.25">
      <c r="A5319">
        <v>5290</v>
      </c>
      <c r="B5319">
        <v>8.9289914736309317E-2</v>
      </c>
    </row>
    <row r="5320" spans="1:2" x14ac:dyDescent="0.25">
      <c r="A5320">
        <v>5291</v>
      </c>
      <c r="B5320">
        <v>0.12374888462087155</v>
      </c>
    </row>
    <row r="5321" spans="1:2" x14ac:dyDescent="0.25">
      <c r="A5321">
        <v>5292</v>
      </c>
      <c r="B5321">
        <v>0.22778867388317919</v>
      </c>
    </row>
    <row r="5322" spans="1:2" x14ac:dyDescent="0.25">
      <c r="A5322">
        <v>5293</v>
      </c>
      <c r="B5322">
        <v>0.24389439190134007</v>
      </c>
    </row>
    <row r="5323" spans="1:2" x14ac:dyDescent="0.25">
      <c r="A5323">
        <v>5294</v>
      </c>
      <c r="B5323">
        <v>3.5505993443628585E-2</v>
      </c>
    </row>
    <row r="5324" spans="1:2" x14ac:dyDescent="0.25">
      <c r="A5324">
        <v>5295</v>
      </c>
      <c r="B5324">
        <v>0.1995141152689007</v>
      </c>
    </row>
    <row r="5325" spans="1:2" x14ac:dyDescent="0.25">
      <c r="A5325">
        <v>5296</v>
      </c>
      <c r="B5325">
        <v>5.7753472339874511E-2</v>
      </c>
    </row>
    <row r="5326" spans="1:2" x14ac:dyDescent="0.25">
      <c r="A5326">
        <v>5297</v>
      </c>
      <c r="B5326">
        <v>7.9551490405964001E-2</v>
      </c>
    </row>
    <row r="5327" spans="1:2" x14ac:dyDescent="0.25">
      <c r="A5327">
        <v>5298</v>
      </c>
      <c r="B5327">
        <v>0.33433208686972776</v>
      </c>
    </row>
    <row r="5328" spans="1:2" x14ac:dyDescent="0.25">
      <c r="A5328">
        <v>5299</v>
      </c>
      <c r="B5328">
        <v>0.29412254469073462</v>
      </c>
    </row>
    <row r="5329" spans="1:2" x14ac:dyDescent="0.25">
      <c r="A5329">
        <v>5300</v>
      </c>
      <c r="B5329">
        <v>8.3158526191677795E-2</v>
      </c>
    </row>
    <row r="5330" spans="1:2" x14ac:dyDescent="0.25">
      <c r="A5330">
        <v>5301</v>
      </c>
      <c r="B5330">
        <v>0.13346664459309548</v>
      </c>
    </row>
    <row r="5331" spans="1:2" x14ac:dyDescent="0.25">
      <c r="A5331">
        <v>5302</v>
      </c>
      <c r="B5331">
        <v>6.4630498012109475E-2</v>
      </c>
    </row>
    <row r="5332" spans="1:2" x14ac:dyDescent="0.25">
      <c r="A5332">
        <v>5303</v>
      </c>
      <c r="B5332">
        <v>0.27550516796697283</v>
      </c>
    </row>
    <row r="5333" spans="1:2" x14ac:dyDescent="0.25">
      <c r="A5333">
        <v>5304</v>
      </c>
      <c r="B5333">
        <v>0.17240435415696678</v>
      </c>
    </row>
    <row r="5334" spans="1:2" x14ac:dyDescent="0.25">
      <c r="A5334">
        <v>5305</v>
      </c>
      <c r="B5334">
        <v>3.1098136244401213E-2</v>
      </c>
    </row>
    <row r="5335" spans="1:2" x14ac:dyDescent="0.25">
      <c r="A5335">
        <v>5306</v>
      </c>
      <c r="B5335">
        <v>0.24562265376618345</v>
      </c>
    </row>
    <row r="5336" spans="1:2" x14ac:dyDescent="0.25">
      <c r="A5336">
        <v>5307</v>
      </c>
      <c r="B5336">
        <v>0.1712737229665251</v>
      </c>
    </row>
    <row r="5337" spans="1:2" x14ac:dyDescent="0.25">
      <c r="A5337">
        <v>5308</v>
      </c>
      <c r="B5337">
        <v>0.21883293812986335</v>
      </c>
    </row>
    <row r="5338" spans="1:2" x14ac:dyDescent="0.25">
      <c r="A5338">
        <v>5309</v>
      </c>
      <c r="B5338">
        <v>0.31244095244996134</v>
      </c>
    </row>
    <row r="5339" spans="1:2" x14ac:dyDescent="0.25">
      <c r="A5339">
        <v>5310</v>
      </c>
      <c r="B5339">
        <v>0.25254480878585467</v>
      </c>
    </row>
    <row r="5340" spans="1:2" x14ac:dyDescent="0.25">
      <c r="A5340">
        <v>5311</v>
      </c>
      <c r="B5340">
        <v>8.8852182636923377E-2</v>
      </c>
    </row>
    <row r="5341" spans="1:2" x14ac:dyDescent="0.25">
      <c r="A5341">
        <v>5312</v>
      </c>
      <c r="B5341">
        <v>0.10673367867224934</v>
      </c>
    </row>
    <row r="5342" spans="1:2" x14ac:dyDescent="0.25">
      <c r="A5342">
        <v>5313</v>
      </c>
      <c r="B5342">
        <v>0.4931432791465869</v>
      </c>
    </row>
    <row r="5343" spans="1:2" x14ac:dyDescent="0.25">
      <c r="A5343">
        <v>5314</v>
      </c>
      <c r="B5343">
        <v>0.47736901493704365</v>
      </c>
    </row>
    <row r="5344" spans="1:2" x14ac:dyDescent="0.25">
      <c r="A5344">
        <v>5315</v>
      </c>
      <c r="B5344">
        <v>0.17063947980110525</v>
      </c>
    </row>
    <row r="5345" spans="1:2" x14ac:dyDescent="0.25">
      <c r="A5345">
        <v>5316</v>
      </c>
      <c r="B5345">
        <v>0.18355926148111151</v>
      </c>
    </row>
    <row r="5346" spans="1:2" x14ac:dyDescent="0.25">
      <c r="A5346">
        <v>5317</v>
      </c>
      <c r="B5346">
        <v>0.18845919912606068</v>
      </c>
    </row>
    <row r="5347" spans="1:2" x14ac:dyDescent="0.25">
      <c r="A5347">
        <v>5318</v>
      </c>
      <c r="B5347">
        <v>0.11001081930877921</v>
      </c>
    </row>
    <row r="5348" spans="1:2" x14ac:dyDescent="0.25">
      <c r="A5348">
        <v>5319</v>
      </c>
      <c r="B5348">
        <v>1.3208326971886926</v>
      </c>
    </row>
    <row r="5349" spans="1:2" x14ac:dyDescent="0.25">
      <c r="A5349">
        <v>5320</v>
      </c>
      <c r="B5349">
        <v>8.0258701832531809E-2</v>
      </c>
    </row>
    <row r="5350" spans="1:2" x14ac:dyDescent="0.25">
      <c r="A5350">
        <v>5321</v>
      </c>
      <c r="B5350">
        <v>0.3857815227823802</v>
      </c>
    </row>
    <row r="5351" spans="1:2" x14ac:dyDescent="0.25">
      <c r="A5351">
        <v>5322</v>
      </c>
      <c r="B5351">
        <v>7.3243414744190383E-2</v>
      </c>
    </row>
    <row r="5352" spans="1:2" x14ac:dyDescent="0.25">
      <c r="A5352">
        <v>5323</v>
      </c>
      <c r="B5352">
        <v>0.10712232583898748</v>
      </c>
    </row>
    <row r="5353" spans="1:2" x14ac:dyDescent="0.25">
      <c r="A5353">
        <v>5324</v>
      </c>
      <c r="B5353">
        <v>0.19030207658279549</v>
      </c>
    </row>
    <row r="5354" spans="1:2" x14ac:dyDescent="0.25">
      <c r="A5354">
        <v>5325</v>
      </c>
      <c r="B5354">
        <v>0.31534755994266317</v>
      </c>
    </row>
    <row r="5355" spans="1:2" x14ac:dyDescent="0.25">
      <c r="A5355">
        <v>5326</v>
      </c>
      <c r="B5355">
        <v>0.20078979424528998</v>
      </c>
    </row>
    <row r="5356" spans="1:2" x14ac:dyDescent="0.25">
      <c r="A5356">
        <v>5327</v>
      </c>
      <c r="B5356">
        <v>0.31508921740467283</v>
      </c>
    </row>
    <row r="5357" spans="1:2" x14ac:dyDescent="0.25">
      <c r="A5357">
        <v>5328</v>
      </c>
      <c r="B5357">
        <v>7.2788789175428179E-2</v>
      </c>
    </row>
    <row r="5358" spans="1:2" x14ac:dyDescent="0.25">
      <c r="A5358">
        <v>5329</v>
      </c>
      <c r="B5358">
        <v>0.21100084702945626</v>
      </c>
    </row>
    <row r="5359" spans="1:2" x14ac:dyDescent="0.25">
      <c r="A5359">
        <v>5330</v>
      </c>
      <c r="B5359">
        <v>6.6386042864665484E-2</v>
      </c>
    </row>
    <row r="5360" spans="1:2" x14ac:dyDescent="0.25">
      <c r="A5360">
        <v>5331</v>
      </c>
      <c r="B5360">
        <v>0.51187527466518223</v>
      </c>
    </row>
    <row r="5361" spans="1:2" x14ac:dyDescent="0.25">
      <c r="A5361">
        <v>5332</v>
      </c>
      <c r="B5361">
        <v>4.3362601127124506E-2</v>
      </c>
    </row>
    <row r="5362" spans="1:2" x14ac:dyDescent="0.25">
      <c r="A5362">
        <v>5333</v>
      </c>
      <c r="B5362">
        <v>8.5541684166106691E-2</v>
      </c>
    </row>
    <row r="5363" spans="1:2" x14ac:dyDescent="0.25">
      <c r="A5363">
        <v>5334</v>
      </c>
      <c r="B5363">
        <v>0.15975308376506347</v>
      </c>
    </row>
    <row r="5364" spans="1:2" x14ac:dyDescent="0.25">
      <c r="A5364">
        <v>5335</v>
      </c>
      <c r="B5364">
        <v>0.1368378000677028</v>
      </c>
    </row>
    <row r="5365" spans="1:2" x14ac:dyDescent="0.25">
      <c r="A5365">
        <v>5336</v>
      </c>
      <c r="B5365">
        <v>0.13217906026138865</v>
      </c>
    </row>
    <row r="5366" spans="1:2" x14ac:dyDescent="0.25">
      <c r="A5366">
        <v>5337</v>
      </c>
      <c r="B5366">
        <v>0.38656250189742503</v>
      </c>
    </row>
    <row r="5367" spans="1:2" x14ac:dyDescent="0.25">
      <c r="A5367">
        <v>5338</v>
      </c>
      <c r="B5367">
        <v>0.2442590256748127</v>
      </c>
    </row>
    <row r="5368" spans="1:2" x14ac:dyDescent="0.25">
      <c r="A5368">
        <v>5339</v>
      </c>
      <c r="B5368">
        <v>0.11304730896265132</v>
      </c>
    </row>
    <row r="5369" spans="1:2" x14ac:dyDescent="0.25">
      <c r="A5369">
        <v>5340</v>
      </c>
      <c r="B5369">
        <v>0.10773016324058929</v>
      </c>
    </row>
    <row r="5370" spans="1:2" x14ac:dyDescent="0.25">
      <c r="A5370">
        <v>5341</v>
      </c>
      <c r="B5370">
        <v>2.9964751809248784E-2</v>
      </c>
    </row>
    <row r="5371" spans="1:2" x14ac:dyDescent="0.25">
      <c r="A5371">
        <v>5342</v>
      </c>
      <c r="B5371">
        <v>0.20826703075946135</v>
      </c>
    </row>
    <row r="5372" spans="1:2" x14ac:dyDescent="0.25">
      <c r="A5372">
        <v>5343</v>
      </c>
      <c r="B5372">
        <v>0.10671006098408657</v>
      </c>
    </row>
    <row r="5373" spans="1:2" x14ac:dyDescent="0.25">
      <c r="A5373">
        <v>5344</v>
      </c>
      <c r="B5373">
        <v>0.1953057420990047</v>
      </c>
    </row>
    <row r="5374" spans="1:2" x14ac:dyDescent="0.25">
      <c r="A5374">
        <v>5345</v>
      </c>
      <c r="B5374">
        <v>8.8109582039929774E-2</v>
      </c>
    </row>
    <row r="5375" spans="1:2" x14ac:dyDescent="0.25">
      <c r="A5375">
        <v>5346</v>
      </c>
      <c r="B5375">
        <v>7.9963440344098219E-2</v>
      </c>
    </row>
    <row r="5376" spans="1:2" x14ac:dyDescent="0.25">
      <c r="A5376">
        <v>5347</v>
      </c>
      <c r="B5376">
        <v>3.4855798553163932E-2</v>
      </c>
    </row>
    <row r="5377" spans="1:2" x14ac:dyDescent="0.25">
      <c r="A5377">
        <v>5348</v>
      </c>
      <c r="B5377">
        <v>0.15653917559937361</v>
      </c>
    </row>
    <row r="5378" spans="1:2" x14ac:dyDescent="0.25">
      <c r="A5378">
        <v>5349</v>
      </c>
      <c r="B5378">
        <v>0.40923660236438253</v>
      </c>
    </row>
    <row r="5379" spans="1:2" x14ac:dyDescent="0.25">
      <c r="A5379">
        <v>5350</v>
      </c>
      <c r="B5379">
        <v>0.41423461604928613</v>
      </c>
    </row>
    <row r="5380" spans="1:2" x14ac:dyDescent="0.25">
      <c r="A5380">
        <v>5351</v>
      </c>
      <c r="B5380">
        <v>4.2049061166734264E-2</v>
      </c>
    </row>
    <row r="5381" spans="1:2" x14ac:dyDescent="0.25">
      <c r="A5381">
        <v>5352</v>
      </c>
      <c r="B5381">
        <v>0.21957853949477224</v>
      </c>
    </row>
    <row r="5382" spans="1:2" x14ac:dyDescent="0.25">
      <c r="A5382">
        <v>5353</v>
      </c>
      <c r="B5382">
        <v>0.16915703126973181</v>
      </c>
    </row>
    <row r="5383" spans="1:2" x14ac:dyDescent="0.25">
      <c r="A5383">
        <v>5354</v>
      </c>
      <c r="B5383">
        <v>0.13629060576899013</v>
      </c>
    </row>
    <row r="5384" spans="1:2" x14ac:dyDescent="0.25">
      <c r="A5384">
        <v>5355</v>
      </c>
      <c r="B5384">
        <v>5.3253677888343391E-2</v>
      </c>
    </row>
    <row r="5385" spans="1:2" x14ac:dyDescent="0.25">
      <c r="A5385">
        <v>5356</v>
      </c>
      <c r="B5385">
        <v>0.27585308365812589</v>
      </c>
    </row>
    <row r="5386" spans="1:2" x14ac:dyDescent="0.25">
      <c r="A5386">
        <v>5357</v>
      </c>
      <c r="B5386">
        <v>7.885670164535051E-2</v>
      </c>
    </row>
    <row r="5387" spans="1:2" x14ac:dyDescent="0.25">
      <c r="A5387">
        <v>5358</v>
      </c>
      <c r="B5387">
        <v>0.28116981258984591</v>
      </c>
    </row>
    <row r="5388" spans="1:2" x14ac:dyDescent="0.25">
      <c r="A5388">
        <v>5359</v>
      </c>
      <c r="B5388">
        <v>0.15865608146252769</v>
      </c>
    </row>
    <row r="5389" spans="1:2" x14ac:dyDescent="0.25">
      <c r="A5389">
        <v>5360</v>
      </c>
      <c r="B5389">
        <v>0.2227278098091986</v>
      </c>
    </row>
    <row r="5390" spans="1:2" x14ac:dyDescent="0.25">
      <c r="A5390">
        <v>5361</v>
      </c>
      <c r="B5390">
        <v>0.2624631782246406</v>
      </c>
    </row>
    <row r="5391" spans="1:2" x14ac:dyDescent="0.25">
      <c r="A5391">
        <v>5362</v>
      </c>
      <c r="B5391">
        <v>7.3592941197345163E-2</v>
      </c>
    </row>
    <row r="5392" spans="1:2" x14ac:dyDescent="0.25">
      <c r="A5392">
        <v>5363</v>
      </c>
      <c r="B5392">
        <v>0.28658971210842671</v>
      </c>
    </row>
    <row r="5393" spans="1:2" x14ac:dyDescent="0.25">
      <c r="A5393">
        <v>5364</v>
      </c>
      <c r="B5393">
        <v>0.10459285855575781</v>
      </c>
    </row>
    <row r="5394" spans="1:2" x14ac:dyDescent="0.25">
      <c r="A5394">
        <v>5365</v>
      </c>
      <c r="B5394">
        <v>0.24759270170715195</v>
      </c>
    </row>
    <row r="5395" spans="1:2" x14ac:dyDescent="0.25">
      <c r="A5395">
        <v>5366</v>
      </c>
      <c r="B5395">
        <v>0.16128379270385268</v>
      </c>
    </row>
    <row r="5396" spans="1:2" x14ac:dyDescent="0.25">
      <c r="A5396">
        <v>5367</v>
      </c>
      <c r="B5396">
        <v>0.36965732546942631</v>
      </c>
    </row>
    <row r="5397" spans="1:2" x14ac:dyDescent="0.25">
      <c r="A5397">
        <v>5368</v>
      </c>
      <c r="B5397">
        <v>0.24193567136064589</v>
      </c>
    </row>
    <row r="5398" spans="1:2" x14ac:dyDescent="0.25">
      <c r="A5398">
        <v>5369</v>
      </c>
      <c r="B5398">
        <v>0.39416270814811105</v>
      </c>
    </row>
    <row r="5399" spans="1:2" x14ac:dyDescent="0.25">
      <c r="A5399">
        <v>5370</v>
      </c>
      <c r="B5399">
        <v>0.29751752653464564</v>
      </c>
    </row>
    <row r="5400" spans="1:2" x14ac:dyDescent="0.25">
      <c r="A5400">
        <v>5371</v>
      </c>
      <c r="B5400">
        <v>0.38996293490195494</v>
      </c>
    </row>
    <row r="5401" spans="1:2" x14ac:dyDescent="0.25">
      <c r="A5401">
        <v>5372</v>
      </c>
      <c r="B5401">
        <v>0.37133865322567128</v>
      </c>
    </row>
    <row r="5402" spans="1:2" x14ac:dyDescent="0.25">
      <c r="A5402">
        <v>5373</v>
      </c>
      <c r="B5402">
        <v>8.6098176564999657E-2</v>
      </c>
    </row>
    <row r="5403" spans="1:2" x14ac:dyDescent="0.25">
      <c r="A5403">
        <v>5374</v>
      </c>
      <c r="B5403">
        <v>0.49209808968954249</v>
      </c>
    </row>
    <row r="5404" spans="1:2" x14ac:dyDescent="0.25">
      <c r="A5404">
        <v>5375</v>
      </c>
      <c r="B5404">
        <v>0.13576547571420711</v>
      </c>
    </row>
    <row r="5405" spans="1:2" x14ac:dyDescent="0.25">
      <c r="A5405">
        <v>5376</v>
      </c>
      <c r="B5405">
        <v>0.46715216912363561</v>
      </c>
    </row>
    <row r="5406" spans="1:2" x14ac:dyDescent="0.25">
      <c r="A5406">
        <v>5377</v>
      </c>
      <c r="B5406">
        <v>0.32060478803739312</v>
      </c>
    </row>
    <row r="5407" spans="1:2" x14ac:dyDescent="0.25">
      <c r="A5407">
        <v>5378</v>
      </c>
      <c r="B5407">
        <v>0.17213526634682197</v>
      </c>
    </row>
    <row r="5408" spans="1:2" x14ac:dyDescent="0.25">
      <c r="A5408">
        <v>5379</v>
      </c>
      <c r="B5408">
        <v>1.0915007076013541</v>
      </c>
    </row>
    <row r="5409" spans="1:2" x14ac:dyDescent="0.25">
      <c r="A5409">
        <v>5380</v>
      </c>
      <c r="B5409">
        <v>0.27373398632534501</v>
      </c>
    </row>
    <row r="5410" spans="1:2" x14ac:dyDescent="0.25">
      <c r="A5410">
        <v>5381</v>
      </c>
      <c r="B5410">
        <v>0.11828934651339844</v>
      </c>
    </row>
    <row r="5411" spans="1:2" x14ac:dyDescent="0.25">
      <c r="A5411">
        <v>5382</v>
      </c>
      <c r="B5411">
        <v>0.32643011412966239</v>
      </c>
    </row>
    <row r="5412" spans="1:2" x14ac:dyDescent="0.25">
      <c r="A5412">
        <v>5383</v>
      </c>
      <c r="B5412">
        <v>0.22445129651760762</v>
      </c>
    </row>
    <row r="5413" spans="1:2" x14ac:dyDescent="0.25">
      <c r="A5413">
        <v>5384</v>
      </c>
      <c r="B5413">
        <v>0.13897954541927299</v>
      </c>
    </row>
    <row r="5414" spans="1:2" x14ac:dyDescent="0.25">
      <c r="A5414">
        <v>5385</v>
      </c>
      <c r="B5414">
        <v>0.14258224150621343</v>
      </c>
    </row>
    <row r="5415" spans="1:2" x14ac:dyDescent="0.25">
      <c r="A5415">
        <v>5386</v>
      </c>
      <c r="B5415">
        <v>0.35847135814959763</v>
      </c>
    </row>
    <row r="5416" spans="1:2" x14ac:dyDescent="0.25">
      <c r="A5416">
        <v>5387</v>
      </c>
      <c r="B5416">
        <v>7.6502265686153162E-2</v>
      </c>
    </row>
    <row r="5417" spans="1:2" x14ac:dyDescent="0.25">
      <c r="A5417">
        <v>5388</v>
      </c>
      <c r="B5417">
        <v>9.2226604970574388E-2</v>
      </c>
    </row>
    <row r="5418" spans="1:2" x14ac:dyDescent="0.25">
      <c r="A5418">
        <v>5389</v>
      </c>
      <c r="B5418">
        <v>0.2419427734645363</v>
      </c>
    </row>
    <row r="5419" spans="1:2" x14ac:dyDescent="0.25">
      <c r="A5419">
        <v>5390</v>
      </c>
      <c r="B5419">
        <v>0.57281323231913783</v>
      </c>
    </row>
    <row r="5420" spans="1:2" x14ac:dyDescent="0.25">
      <c r="A5420">
        <v>5391</v>
      </c>
      <c r="B5420">
        <v>0.56343575787379208</v>
      </c>
    </row>
    <row r="5421" spans="1:2" x14ac:dyDescent="0.25">
      <c r="A5421">
        <v>5392</v>
      </c>
      <c r="B5421">
        <v>0.14207871198617794</v>
      </c>
    </row>
    <row r="5422" spans="1:2" x14ac:dyDescent="0.25">
      <c r="A5422">
        <v>5393</v>
      </c>
      <c r="B5422">
        <v>0.17900469898496313</v>
      </c>
    </row>
    <row r="5423" spans="1:2" x14ac:dyDescent="0.25">
      <c r="A5423">
        <v>5394</v>
      </c>
      <c r="B5423">
        <v>0.16825180606700349</v>
      </c>
    </row>
    <row r="5424" spans="1:2" x14ac:dyDescent="0.25">
      <c r="A5424">
        <v>5395</v>
      </c>
      <c r="B5424">
        <v>0.3365211393408834</v>
      </c>
    </row>
    <row r="5425" spans="1:2" x14ac:dyDescent="0.25">
      <c r="A5425">
        <v>5396</v>
      </c>
      <c r="B5425">
        <v>3.598335022548322E-2</v>
      </c>
    </row>
    <row r="5426" spans="1:2" x14ac:dyDescent="0.25">
      <c r="A5426">
        <v>5397</v>
      </c>
      <c r="B5426">
        <v>0.12685192354009481</v>
      </c>
    </row>
    <row r="5427" spans="1:2" x14ac:dyDescent="0.25">
      <c r="A5427">
        <v>5398</v>
      </c>
      <c r="B5427">
        <v>4.9295263551057455E-2</v>
      </c>
    </row>
    <row r="5428" spans="1:2" x14ac:dyDescent="0.25">
      <c r="A5428">
        <v>5399</v>
      </c>
      <c r="B5428">
        <v>0.17664960059235449</v>
      </c>
    </row>
    <row r="5429" spans="1:2" x14ac:dyDescent="0.25">
      <c r="A5429">
        <v>5400</v>
      </c>
      <c r="B5429">
        <v>7.6674592256952945E-2</v>
      </c>
    </row>
    <row r="5430" spans="1:2" x14ac:dyDescent="0.25">
      <c r="A5430">
        <v>5401</v>
      </c>
      <c r="B5430">
        <v>0.33628223985530736</v>
      </c>
    </row>
    <row r="5431" spans="1:2" x14ac:dyDescent="0.25">
      <c r="A5431">
        <v>5402</v>
      </c>
      <c r="B5431">
        <v>0.24787854430518635</v>
      </c>
    </row>
    <row r="5432" spans="1:2" x14ac:dyDescent="0.25">
      <c r="A5432">
        <v>5403</v>
      </c>
      <c r="B5432">
        <v>0.12176833385824738</v>
      </c>
    </row>
    <row r="5433" spans="1:2" x14ac:dyDescent="0.25">
      <c r="A5433">
        <v>5404</v>
      </c>
      <c r="B5433">
        <v>0.1329929830361401</v>
      </c>
    </row>
    <row r="5434" spans="1:2" x14ac:dyDescent="0.25">
      <c r="A5434">
        <v>5405</v>
      </c>
      <c r="B5434">
        <v>0.2167178412167968</v>
      </c>
    </row>
    <row r="5435" spans="1:2" x14ac:dyDescent="0.25">
      <c r="A5435">
        <v>5406</v>
      </c>
      <c r="B5435">
        <v>0.22905299600988446</v>
      </c>
    </row>
    <row r="5436" spans="1:2" x14ac:dyDescent="0.25">
      <c r="A5436">
        <v>5407</v>
      </c>
      <c r="B5436">
        <v>0.12410305797611923</v>
      </c>
    </row>
    <row r="5437" spans="1:2" x14ac:dyDescent="0.25">
      <c r="A5437">
        <v>5408</v>
      </c>
      <c r="B5437">
        <v>0.26569693615644602</v>
      </c>
    </row>
    <row r="5438" spans="1:2" x14ac:dyDescent="0.25">
      <c r="A5438">
        <v>5409</v>
      </c>
      <c r="B5438">
        <v>0.16103707461298075</v>
      </c>
    </row>
    <row r="5439" spans="1:2" x14ac:dyDescent="0.25">
      <c r="A5439">
        <v>5410</v>
      </c>
      <c r="B5439">
        <v>0.18401936142234249</v>
      </c>
    </row>
    <row r="5440" spans="1:2" x14ac:dyDescent="0.25">
      <c r="A5440">
        <v>5411</v>
      </c>
      <c r="B5440">
        <v>8.8217710326306306E-2</v>
      </c>
    </row>
    <row r="5441" spans="1:2" x14ac:dyDescent="0.25">
      <c r="A5441">
        <v>5412</v>
      </c>
      <c r="B5441">
        <v>7.8063354404195678E-2</v>
      </c>
    </row>
    <row r="5442" spans="1:2" x14ac:dyDescent="0.25">
      <c r="A5442">
        <v>5413</v>
      </c>
      <c r="B5442">
        <v>0.38397531037410015</v>
      </c>
    </row>
    <row r="5443" spans="1:2" x14ac:dyDescent="0.25">
      <c r="A5443">
        <v>5414</v>
      </c>
      <c r="B5443">
        <v>0.21283072892079408</v>
      </c>
    </row>
    <row r="5444" spans="1:2" x14ac:dyDescent="0.25">
      <c r="A5444">
        <v>5415</v>
      </c>
      <c r="B5444">
        <v>0.28780793072910216</v>
      </c>
    </row>
    <row r="5445" spans="1:2" x14ac:dyDescent="0.25">
      <c r="A5445">
        <v>5416</v>
      </c>
      <c r="B5445">
        <v>0.11216756575828667</v>
      </c>
    </row>
    <row r="5446" spans="1:2" x14ac:dyDescent="0.25">
      <c r="A5446">
        <v>5417</v>
      </c>
      <c r="B5446">
        <v>0.23047056563764182</v>
      </c>
    </row>
    <row r="5447" spans="1:2" x14ac:dyDescent="0.25">
      <c r="A5447">
        <v>5418</v>
      </c>
      <c r="B5447">
        <v>8.4065660670027215E-2</v>
      </c>
    </row>
    <row r="5448" spans="1:2" x14ac:dyDescent="0.25">
      <c r="A5448">
        <v>5419</v>
      </c>
      <c r="B5448">
        <v>0.25335853504112515</v>
      </c>
    </row>
    <row r="5449" spans="1:2" x14ac:dyDescent="0.25">
      <c r="A5449">
        <v>5420</v>
      </c>
      <c r="B5449">
        <v>4.7579689329983833E-2</v>
      </c>
    </row>
    <row r="5450" spans="1:2" x14ac:dyDescent="0.25">
      <c r="A5450">
        <v>5421</v>
      </c>
      <c r="B5450">
        <v>0.29636022125667738</v>
      </c>
    </row>
    <row r="5451" spans="1:2" x14ac:dyDescent="0.25">
      <c r="A5451">
        <v>5422</v>
      </c>
      <c r="B5451">
        <v>0.16233727245527779</v>
      </c>
    </row>
    <row r="5452" spans="1:2" x14ac:dyDescent="0.25">
      <c r="A5452">
        <v>5423</v>
      </c>
      <c r="B5452">
        <v>0.10934859111655271</v>
      </c>
    </row>
    <row r="5453" spans="1:2" x14ac:dyDescent="0.25">
      <c r="A5453">
        <v>5424</v>
      </c>
      <c r="B5453">
        <v>0.15217900711680749</v>
      </c>
    </row>
    <row r="5454" spans="1:2" x14ac:dyDescent="0.25">
      <c r="A5454">
        <v>5425</v>
      </c>
      <c r="B5454">
        <v>0.10268419897119063</v>
      </c>
    </row>
    <row r="5455" spans="1:2" x14ac:dyDescent="0.25">
      <c r="A5455">
        <v>5426</v>
      </c>
      <c r="B5455">
        <v>0.12501939758643493</v>
      </c>
    </row>
    <row r="5456" spans="1:2" x14ac:dyDescent="0.25">
      <c r="A5456">
        <v>5427</v>
      </c>
      <c r="B5456">
        <v>0.12442517092107332</v>
      </c>
    </row>
    <row r="5457" spans="1:2" x14ac:dyDescent="0.25">
      <c r="A5457">
        <v>5428</v>
      </c>
      <c r="B5457">
        <v>0.52182803242041265</v>
      </c>
    </row>
    <row r="5458" spans="1:2" x14ac:dyDescent="0.25">
      <c r="A5458">
        <v>5429</v>
      </c>
      <c r="B5458">
        <v>0.16450586341215501</v>
      </c>
    </row>
    <row r="5459" spans="1:2" x14ac:dyDescent="0.25">
      <c r="A5459">
        <v>5430</v>
      </c>
      <c r="B5459">
        <v>0.40080969549296735</v>
      </c>
    </row>
    <row r="5460" spans="1:2" x14ac:dyDescent="0.25">
      <c r="A5460">
        <v>5431</v>
      </c>
      <c r="B5460">
        <v>0.39542296370667218</v>
      </c>
    </row>
    <row r="5461" spans="1:2" x14ac:dyDescent="0.25">
      <c r="A5461">
        <v>5432</v>
      </c>
      <c r="B5461">
        <v>0.32091923757896529</v>
      </c>
    </row>
    <row r="5462" spans="1:2" x14ac:dyDescent="0.25">
      <c r="A5462">
        <v>5433</v>
      </c>
      <c r="B5462">
        <v>0.48182690092766733</v>
      </c>
    </row>
    <row r="5463" spans="1:2" x14ac:dyDescent="0.25">
      <c r="A5463">
        <v>5434</v>
      </c>
      <c r="B5463">
        <v>0.59912070516658766</v>
      </c>
    </row>
    <row r="5464" spans="1:2" x14ac:dyDescent="0.25">
      <c r="A5464">
        <v>5435</v>
      </c>
      <c r="B5464">
        <v>8.2837822930485083E-2</v>
      </c>
    </row>
    <row r="5465" spans="1:2" x14ac:dyDescent="0.25">
      <c r="A5465">
        <v>5436</v>
      </c>
      <c r="B5465">
        <v>9.993117514411734E-2</v>
      </c>
    </row>
    <row r="5466" spans="1:2" x14ac:dyDescent="0.25">
      <c r="A5466">
        <v>5437</v>
      </c>
      <c r="B5466">
        <v>0.13845496245048805</v>
      </c>
    </row>
    <row r="5467" spans="1:2" x14ac:dyDescent="0.25">
      <c r="A5467">
        <v>5438</v>
      </c>
      <c r="B5467">
        <v>0.36950611072927525</v>
      </c>
    </row>
    <row r="5468" spans="1:2" x14ac:dyDescent="0.25">
      <c r="A5468">
        <v>5439</v>
      </c>
      <c r="B5468">
        <v>0.42381192251527816</v>
      </c>
    </row>
    <row r="5469" spans="1:2" x14ac:dyDescent="0.25">
      <c r="A5469">
        <v>5440</v>
      </c>
      <c r="B5469">
        <v>0.2129755153319248</v>
      </c>
    </row>
    <row r="5470" spans="1:2" x14ac:dyDescent="0.25">
      <c r="A5470">
        <v>5441</v>
      </c>
      <c r="B5470">
        <v>0.17918837272644392</v>
      </c>
    </row>
    <row r="5471" spans="1:2" x14ac:dyDescent="0.25">
      <c r="A5471">
        <v>5442</v>
      </c>
      <c r="B5471">
        <v>0.45607771089963012</v>
      </c>
    </row>
    <row r="5472" spans="1:2" x14ac:dyDescent="0.25">
      <c r="A5472">
        <v>5443</v>
      </c>
      <c r="B5472">
        <v>7.5644023592292151E-2</v>
      </c>
    </row>
    <row r="5473" spans="1:2" x14ac:dyDescent="0.25">
      <c r="A5473">
        <v>5444</v>
      </c>
      <c r="B5473">
        <v>0.12656926532771545</v>
      </c>
    </row>
    <row r="5474" spans="1:2" x14ac:dyDescent="0.25">
      <c r="A5474">
        <v>5445</v>
      </c>
      <c r="B5474">
        <v>0.32990751073011682</v>
      </c>
    </row>
    <row r="5475" spans="1:2" x14ac:dyDescent="0.25">
      <c r="A5475">
        <v>5446</v>
      </c>
      <c r="B5475">
        <v>9.0323319295192772E-2</v>
      </c>
    </row>
    <row r="5476" spans="1:2" x14ac:dyDescent="0.25">
      <c r="A5476">
        <v>5447</v>
      </c>
      <c r="B5476">
        <v>0.38938329477674366</v>
      </c>
    </row>
    <row r="5477" spans="1:2" x14ac:dyDescent="0.25">
      <c r="A5477">
        <v>5448</v>
      </c>
      <c r="B5477">
        <v>0.13113103280796543</v>
      </c>
    </row>
    <row r="5478" spans="1:2" x14ac:dyDescent="0.25">
      <c r="A5478">
        <v>5449</v>
      </c>
      <c r="B5478">
        <v>0.24575307666259882</v>
      </c>
    </row>
    <row r="5479" spans="1:2" x14ac:dyDescent="0.25">
      <c r="A5479">
        <v>5450</v>
      </c>
      <c r="B5479">
        <v>0.10660852140210308</v>
      </c>
    </row>
    <row r="5480" spans="1:2" x14ac:dyDescent="0.25">
      <c r="A5480">
        <v>5451</v>
      </c>
      <c r="B5480">
        <v>0.29058461901703192</v>
      </c>
    </row>
    <row r="5481" spans="1:2" x14ac:dyDescent="0.25">
      <c r="A5481">
        <v>5452</v>
      </c>
      <c r="B5481">
        <v>0.32966254364022596</v>
      </c>
    </row>
    <row r="5482" spans="1:2" x14ac:dyDescent="0.25">
      <c r="A5482">
        <v>5453</v>
      </c>
      <c r="B5482">
        <v>0.38801593813807855</v>
      </c>
    </row>
    <row r="5483" spans="1:2" x14ac:dyDescent="0.25">
      <c r="A5483">
        <v>5454</v>
      </c>
      <c r="B5483">
        <v>0.13065013361450786</v>
      </c>
    </row>
    <row r="5484" spans="1:2" x14ac:dyDescent="0.25">
      <c r="A5484">
        <v>5455</v>
      </c>
      <c r="B5484">
        <v>0.27132075402174377</v>
      </c>
    </row>
    <row r="5485" spans="1:2" x14ac:dyDescent="0.25">
      <c r="A5485">
        <v>5456</v>
      </c>
      <c r="B5485">
        <v>0.13059718515818805</v>
      </c>
    </row>
    <row r="5486" spans="1:2" x14ac:dyDescent="0.25">
      <c r="A5486">
        <v>5457</v>
      </c>
      <c r="B5486">
        <v>0.26016130720427749</v>
      </c>
    </row>
    <row r="5487" spans="1:2" x14ac:dyDescent="0.25">
      <c r="A5487">
        <v>5458</v>
      </c>
      <c r="B5487">
        <v>0.2228607787838347</v>
      </c>
    </row>
    <row r="5488" spans="1:2" x14ac:dyDescent="0.25">
      <c r="A5488">
        <v>5459</v>
      </c>
      <c r="B5488">
        <v>0.11586028729935458</v>
      </c>
    </row>
    <row r="5489" spans="1:2" x14ac:dyDescent="0.25">
      <c r="A5489">
        <v>5460</v>
      </c>
      <c r="B5489">
        <v>1.3323507961849019</v>
      </c>
    </row>
    <row r="5490" spans="1:2" x14ac:dyDescent="0.25">
      <c r="A5490">
        <v>5461</v>
      </c>
      <c r="B5490">
        <v>0.151821739055927</v>
      </c>
    </row>
    <row r="5491" spans="1:2" x14ac:dyDescent="0.25">
      <c r="A5491">
        <v>5462</v>
      </c>
      <c r="B5491">
        <v>0.31543723510849564</v>
      </c>
    </row>
    <row r="5492" spans="1:2" x14ac:dyDescent="0.25">
      <c r="A5492">
        <v>5463</v>
      </c>
      <c r="B5492">
        <v>0.11811009341865839</v>
      </c>
    </row>
    <row r="5493" spans="1:2" x14ac:dyDescent="0.25">
      <c r="A5493">
        <v>5464</v>
      </c>
      <c r="B5493">
        <v>0.19726613290282197</v>
      </c>
    </row>
    <row r="5494" spans="1:2" x14ac:dyDescent="0.25">
      <c r="A5494">
        <v>5465</v>
      </c>
      <c r="B5494">
        <v>0.18412587392830618</v>
      </c>
    </row>
    <row r="5495" spans="1:2" x14ac:dyDescent="0.25">
      <c r="A5495">
        <v>5466</v>
      </c>
      <c r="B5495">
        <v>4.6738268936214841E-2</v>
      </c>
    </row>
    <row r="5496" spans="1:2" x14ac:dyDescent="0.25">
      <c r="A5496">
        <v>5467</v>
      </c>
      <c r="B5496">
        <v>0.23767395254722193</v>
      </c>
    </row>
    <row r="5497" spans="1:2" x14ac:dyDescent="0.25">
      <c r="A5497">
        <v>5468</v>
      </c>
      <c r="B5497">
        <v>0.47592919773123643</v>
      </c>
    </row>
    <row r="5498" spans="1:2" x14ac:dyDescent="0.25">
      <c r="A5498">
        <v>5469</v>
      </c>
      <c r="B5498">
        <v>0.53325884257655376</v>
      </c>
    </row>
    <row r="5499" spans="1:2" x14ac:dyDescent="0.25">
      <c r="A5499">
        <v>5470</v>
      </c>
      <c r="B5499">
        <v>0.82765017485281045</v>
      </c>
    </row>
    <row r="5500" spans="1:2" x14ac:dyDescent="0.25">
      <c r="A5500">
        <v>5471</v>
      </c>
      <c r="B5500">
        <v>0.14673706380729384</v>
      </c>
    </row>
    <row r="5501" spans="1:2" x14ac:dyDescent="0.25">
      <c r="A5501">
        <v>5472</v>
      </c>
      <c r="B5501">
        <v>2.872256106280088E-2</v>
      </c>
    </row>
    <row r="5502" spans="1:2" x14ac:dyDescent="0.25">
      <c r="A5502">
        <v>5473</v>
      </c>
      <c r="B5502">
        <v>5.7870989136389599E-2</v>
      </c>
    </row>
    <row r="5503" spans="1:2" x14ac:dyDescent="0.25">
      <c r="A5503">
        <v>5474</v>
      </c>
      <c r="B5503">
        <v>0.16637351590076871</v>
      </c>
    </row>
    <row r="5504" spans="1:2" x14ac:dyDescent="0.25">
      <c r="A5504">
        <v>5475</v>
      </c>
      <c r="B5504">
        <v>0.17662423894242693</v>
      </c>
    </row>
    <row r="5505" spans="1:2" x14ac:dyDescent="0.25">
      <c r="A5505">
        <v>5476</v>
      </c>
      <c r="B5505">
        <v>0.10842445842220189</v>
      </c>
    </row>
    <row r="5506" spans="1:2" x14ac:dyDescent="0.25">
      <c r="A5506">
        <v>5477</v>
      </c>
      <c r="B5506">
        <v>0.15756517713768348</v>
      </c>
    </row>
    <row r="5507" spans="1:2" x14ac:dyDescent="0.25">
      <c r="A5507">
        <v>5478</v>
      </c>
      <c r="B5507">
        <v>7.975866649083499E-2</v>
      </c>
    </row>
    <row r="5508" spans="1:2" x14ac:dyDescent="0.25">
      <c r="A5508">
        <v>5479</v>
      </c>
      <c r="B5508">
        <v>5.1071984915738465E-2</v>
      </c>
    </row>
    <row r="5509" spans="1:2" x14ac:dyDescent="0.25">
      <c r="A5509">
        <v>5480</v>
      </c>
      <c r="B5509">
        <v>1.3208326971886926</v>
      </c>
    </row>
    <row r="5510" spans="1:2" x14ac:dyDescent="0.25">
      <c r="A5510">
        <v>5481</v>
      </c>
      <c r="B5510">
        <v>0.24508667895789737</v>
      </c>
    </row>
    <row r="5511" spans="1:2" x14ac:dyDescent="0.25">
      <c r="A5511">
        <v>5482</v>
      </c>
      <c r="B5511">
        <v>0.27936919580327491</v>
      </c>
    </row>
    <row r="5512" spans="1:2" x14ac:dyDescent="0.25">
      <c r="A5512">
        <v>5483</v>
      </c>
      <c r="B5512">
        <v>0.13960667269258986</v>
      </c>
    </row>
    <row r="5513" spans="1:2" x14ac:dyDescent="0.25">
      <c r="A5513">
        <v>5484</v>
      </c>
      <c r="B5513">
        <v>0.11573552792200271</v>
      </c>
    </row>
    <row r="5514" spans="1:2" x14ac:dyDescent="0.25">
      <c r="A5514">
        <v>5485</v>
      </c>
      <c r="B5514">
        <v>0.24323160888508005</v>
      </c>
    </row>
    <row r="5515" spans="1:2" x14ac:dyDescent="0.25">
      <c r="A5515">
        <v>5486</v>
      </c>
      <c r="B5515">
        <v>0.15400325728810724</v>
      </c>
    </row>
    <row r="5516" spans="1:2" x14ac:dyDescent="0.25">
      <c r="A5516">
        <v>5487</v>
      </c>
      <c r="B5516">
        <v>0.11429355919461058</v>
      </c>
    </row>
    <row r="5517" spans="1:2" x14ac:dyDescent="0.25">
      <c r="A5517">
        <v>5488</v>
      </c>
      <c r="B5517">
        <v>0.42726707850224926</v>
      </c>
    </row>
    <row r="5518" spans="1:2" x14ac:dyDescent="0.25">
      <c r="A5518">
        <v>5489</v>
      </c>
      <c r="B5518">
        <v>0.10033241227645442</v>
      </c>
    </row>
    <row r="5519" spans="1:2" x14ac:dyDescent="0.25">
      <c r="A5519">
        <v>5490</v>
      </c>
      <c r="B5519">
        <v>0.27326654373529008</v>
      </c>
    </row>
    <row r="5520" spans="1:2" x14ac:dyDescent="0.25">
      <c r="A5520">
        <v>5491</v>
      </c>
      <c r="B5520">
        <v>0.10861763141589739</v>
      </c>
    </row>
    <row r="5521" spans="1:2" x14ac:dyDescent="0.25">
      <c r="A5521">
        <v>5492</v>
      </c>
      <c r="B5521">
        <v>9.4892121202006754E-2</v>
      </c>
    </row>
    <row r="5522" spans="1:2" x14ac:dyDescent="0.25">
      <c r="A5522">
        <v>5493</v>
      </c>
      <c r="B5522">
        <v>0.10254533558754193</v>
      </c>
    </row>
    <row r="5523" spans="1:2" x14ac:dyDescent="0.25">
      <c r="A5523">
        <v>5494</v>
      </c>
      <c r="B5523">
        <v>0.18960385793769907</v>
      </c>
    </row>
    <row r="5524" spans="1:2" x14ac:dyDescent="0.25">
      <c r="A5524">
        <v>5495</v>
      </c>
      <c r="B5524">
        <v>0.25976150513368873</v>
      </c>
    </row>
    <row r="5525" spans="1:2" x14ac:dyDescent="0.25">
      <c r="A5525">
        <v>5496</v>
      </c>
      <c r="B5525">
        <v>0.25645928466942691</v>
      </c>
    </row>
    <row r="5526" spans="1:2" x14ac:dyDescent="0.25">
      <c r="A5526">
        <v>5497</v>
      </c>
      <c r="B5526">
        <v>4.9288967744457943E-2</v>
      </c>
    </row>
    <row r="5527" spans="1:2" x14ac:dyDescent="0.25">
      <c r="A5527">
        <v>5498</v>
      </c>
      <c r="B5527">
        <v>0.14634160067858032</v>
      </c>
    </row>
    <row r="5528" spans="1:2" x14ac:dyDescent="0.25">
      <c r="A5528">
        <v>5499</v>
      </c>
      <c r="B5528">
        <v>0.32914119107348255</v>
      </c>
    </row>
    <row r="5529" spans="1:2" x14ac:dyDescent="0.25">
      <c r="A5529">
        <v>5500</v>
      </c>
      <c r="B5529">
        <v>6.7050812873459209E-2</v>
      </c>
    </row>
    <row r="5530" spans="1:2" x14ac:dyDescent="0.25">
      <c r="A5530">
        <v>5501</v>
      </c>
      <c r="B5530">
        <v>0.37099766764384667</v>
      </c>
    </row>
    <row r="5531" spans="1:2" x14ac:dyDescent="0.25">
      <c r="A5531">
        <v>5502</v>
      </c>
      <c r="B5531">
        <v>1.3244548398399543</v>
      </c>
    </row>
    <row r="5532" spans="1:2" x14ac:dyDescent="0.25">
      <c r="A5532">
        <v>5503</v>
      </c>
      <c r="B5532">
        <v>0.2999997570479932</v>
      </c>
    </row>
    <row r="5533" spans="1:2" x14ac:dyDescent="0.25">
      <c r="A5533">
        <v>5504</v>
      </c>
      <c r="B5533">
        <v>0.22066321617072224</v>
      </c>
    </row>
    <row r="5534" spans="1:2" x14ac:dyDescent="0.25">
      <c r="A5534">
        <v>5505</v>
      </c>
      <c r="B5534">
        <v>0.18962434453683888</v>
      </c>
    </row>
    <row r="5535" spans="1:2" x14ac:dyDescent="0.25">
      <c r="A5535">
        <v>5506</v>
      </c>
      <c r="B5535">
        <v>0.1125283299943971</v>
      </c>
    </row>
    <row r="5536" spans="1:2" x14ac:dyDescent="0.25">
      <c r="A5536">
        <v>5507</v>
      </c>
      <c r="B5536">
        <v>0.5292967215790535</v>
      </c>
    </row>
    <row r="5537" spans="1:2" x14ac:dyDescent="0.25">
      <c r="A5537">
        <v>5508</v>
      </c>
      <c r="B5537">
        <v>0.10279332926071769</v>
      </c>
    </row>
    <row r="5538" spans="1:2" x14ac:dyDescent="0.25">
      <c r="A5538">
        <v>5509</v>
      </c>
      <c r="B5538">
        <v>3.6110846764557128E-2</v>
      </c>
    </row>
    <row r="5539" spans="1:2" x14ac:dyDescent="0.25">
      <c r="A5539">
        <v>5510</v>
      </c>
      <c r="B5539">
        <v>3.6667071884516948E-2</v>
      </c>
    </row>
    <row r="5540" spans="1:2" x14ac:dyDescent="0.25">
      <c r="A5540">
        <v>5511</v>
      </c>
      <c r="B5540">
        <v>0.15514412461171412</v>
      </c>
    </row>
    <row r="5541" spans="1:2" x14ac:dyDescent="0.25">
      <c r="A5541">
        <v>5512</v>
      </c>
      <c r="B5541">
        <v>0.2142800929799068</v>
      </c>
    </row>
    <row r="5542" spans="1:2" x14ac:dyDescent="0.25">
      <c r="A5542">
        <v>5513</v>
      </c>
      <c r="B5542">
        <v>7.2473455872244075E-2</v>
      </c>
    </row>
    <row r="5543" spans="1:2" x14ac:dyDescent="0.25">
      <c r="A5543">
        <v>5514</v>
      </c>
      <c r="B5543">
        <v>0.26004159791348852</v>
      </c>
    </row>
    <row r="5544" spans="1:2" x14ac:dyDescent="0.25">
      <c r="A5544">
        <v>5515</v>
      </c>
      <c r="B5544">
        <v>0.16215414279964288</v>
      </c>
    </row>
    <row r="5545" spans="1:2" x14ac:dyDescent="0.25">
      <c r="A5545">
        <v>5516</v>
      </c>
      <c r="B5545">
        <v>8.7262588739918975E-2</v>
      </c>
    </row>
    <row r="5546" spans="1:2" x14ac:dyDescent="0.25">
      <c r="A5546">
        <v>5517</v>
      </c>
      <c r="B5546">
        <v>0.20090268274588072</v>
      </c>
    </row>
    <row r="5547" spans="1:2" x14ac:dyDescent="0.25">
      <c r="A5547">
        <v>5518</v>
      </c>
      <c r="B5547">
        <v>0.36006499702253975</v>
      </c>
    </row>
    <row r="5548" spans="1:2" x14ac:dyDescent="0.25">
      <c r="A5548">
        <v>5519</v>
      </c>
      <c r="B5548">
        <v>0.22630019093263368</v>
      </c>
    </row>
    <row r="5549" spans="1:2" x14ac:dyDescent="0.25">
      <c r="A5549">
        <v>5520</v>
      </c>
      <c r="B5549">
        <v>0.25045106302473014</v>
      </c>
    </row>
    <row r="5550" spans="1:2" x14ac:dyDescent="0.25">
      <c r="A5550">
        <v>5521</v>
      </c>
      <c r="B5550">
        <v>0.79094981766169048</v>
      </c>
    </row>
    <row r="5551" spans="1:2" x14ac:dyDescent="0.25">
      <c r="A5551">
        <v>5522</v>
      </c>
      <c r="B5551">
        <v>0.15084012781496309</v>
      </c>
    </row>
    <row r="5552" spans="1:2" x14ac:dyDescent="0.25">
      <c r="A5552">
        <v>5523</v>
      </c>
      <c r="B5552">
        <v>0.22615703090197734</v>
      </c>
    </row>
    <row r="5553" spans="1:2" x14ac:dyDescent="0.25">
      <c r="A5553">
        <v>5524</v>
      </c>
      <c r="B5553">
        <v>0.47480857947746191</v>
      </c>
    </row>
    <row r="5554" spans="1:2" x14ac:dyDescent="0.25">
      <c r="A5554">
        <v>5525</v>
      </c>
      <c r="B5554">
        <v>0.23811457488600335</v>
      </c>
    </row>
    <row r="5555" spans="1:2" x14ac:dyDescent="0.25">
      <c r="A5555">
        <v>5526</v>
      </c>
      <c r="B5555">
        <v>0.43634994764609891</v>
      </c>
    </row>
    <row r="5556" spans="1:2" x14ac:dyDescent="0.25">
      <c r="A5556">
        <v>5527</v>
      </c>
      <c r="B5556">
        <v>0.26081936264302391</v>
      </c>
    </row>
    <row r="5557" spans="1:2" x14ac:dyDescent="0.25">
      <c r="A5557">
        <v>5528</v>
      </c>
      <c r="B5557">
        <v>0.13206148412680369</v>
      </c>
    </row>
    <row r="5558" spans="1:2" x14ac:dyDescent="0.25">
      <c r="A5558">
        <v>5529</v>
      </c>
      <c r="B5558">
        <v>0.29214129242354658</v>
      </c>
    </row>
    <row r="5559" spans="1:2" x14ac:dyDescent="0.25">
      <c r="A5559">
        <v>5530</v>
      </c>
      <c r="B5559">
        <v>0.4732064304058376</v>
      </c>
    </row>
    <row r="5560" spans="1:2" x14ac:dyDescent="0.25">
      <c r="A5560">
        <v>5531</v>
      </c>
      <c r="B5560">
        <v>0.39263552750123354</v>
      </c>
    </row>
    <row r="5561" spans="1:2" x14ac:dyDescent="0.25">
      <c r="A5561">
        <v>5532</v>
      </c>
      <c r="B5561">
        <v>0.13634474161193505</v>
      </c>
    </row>
    <row r="5562" spans="1:2" x14ac:dyDescent="0.25">
      <c r="A5562">
        <v>5533</v>
      </c>
      <c r="B5562">
        <v>0.5108213271236659</v>
      </c>
    </row>
    <row r="5563" spans="1:2" x14ac:dyDescent="0.25">
      <c r="A5563">
        <v>5534</v>
      </c>
      <c r="B5563">
        <v>0.15593034817894288</v>
      </c>
    </row>
    <row r="5564" spans="1:2" x14ac:dyDescent="0.25">
      <c r="A5564">
        <v>5535</v>
      </c>
      <c r="B5564">
        <v>0.18265598428047777</v>
      </c>
    </row>
    <row r="5565" spans="1:2" x14ac:dyDescent="0.25">
      <c r="A5565">
        <v>5536</v>
      </c>
      <c r="B5565">
        <v>0.14291329936649438</v>
      </c>
    </row>
    <row r="5566" spans="1:2" x14ac:dyDescent="0.25">
      <c r="A5566">
        <v>5537</v>
      </c>
      <c r="B5566">
        <v>0.18781620148399708</v>
      </c>
    </row>
    <row r="5567" spans="1:2" x14ac:dyDescent="0.25">
      <c r="A5567">
        <v>5538</v>
      </c>
      <c r="B5567">
        <v>0.13511758122930331</v>
      </c>
    </row>
    <row r="5568" spans="1:2" x14ac:dyDescent="0.25">
      <c r="A5568">
        <v>5539</v>
      </c>
      <c r="B5568">
        <v>0.10885162877451479</v>
      </c>
    </row>
    <row r="5569" spans="1:2" x14ac:dyDescent="0.25">
      <c r="A5569">
        <v>5540</v>
      </c>
      <c r="B5569">
        <v>0.21031287828780307</v>
      </c>
    </row>
    <row r="5570" spans="1:2" x14ac:dyDescent="0.25">
      <c r="A5570">
        <v>5541</v>
      </c>
      <c r="B5570">
        <v>0.11839409674606773</v>
      </c>
    </row>
    <row r="5571" spans="1:2" x14ac:dyDescent="0.25">
      <c r="A5571">
        <v>5542</v>
      </c>
      <c r="B5571">
        <v>0.22893445608876009</v>
      </c>
    </row>
    <row r="5572" spans="1:2" x14ac:dyDescent="0.25">
      <c r="A5572">
        <v>5543</v>
      </c>
      <c r="B5572">
        <v>0.23252009338727236</v>
      </c>
    </row>
    <row r="5573" spans="1:2" x14ac:dyDescent="0.25">
      <c r="A5573">
        <v>5544</v>
      </c>
      <c r="B5573">
        <v>4.5169929063448931E-2</v>
      </c>
    </row>
    <row r="5574" spans="1:2" x14ac:dyDescent="0.25">
      <c r="A5574">
        <v>5545</v>
      </c>
      <c r="B5574">
        <v>0.11180259528555439</v>
      </c>
    </row>
    <row r="5575" spans="1:2" x14ac:dyDescent="0.25">
      <c r="A5575">
        <v>5546</v>
      </c>
      <c r="B5575">
        <v>9.5181924747982469E-2</v>
      </c>
    </row>
    <row r="5576" spans="1:2" x14ac:dyDescent="0.25">
      <c r="A5576">
        <v>5547</v>
      </c>
      <c r="B5576">
        <v>0.4674967281283926</v>
      </c>
    </row>
    <row r="5577" spans="1:2" x14ac:dyDescent="0.25">
      <c r="A5577">
        <v>5548</v>
      </c>
      <c r="B5577">
        <v>0.12380227169227651</v>
      </c>
    </row>
    <row r="5578" spans="1:2" x14ac:dyDescent="0.25">
      <c r="A5578">
        <v>5549</v>
      </c>
      <c r="B5578">
        <v>0.15494544347964379</v>
      </c>
    </row>
    <row r="5579" spans="1:2" x14ac:dyDescent="0.25">
      <c r="A5579">
        <v>5550</v>
      </c>
      <c r="B5579">
        <v>9.7417657142724309E-2</v>
      </c>
    </row>
    <row r="5580" spans="1:2" x14ac:dyDescent="0.25">
      <c r="A5580">
        <v>5551</v>
      </c>
      <c r="B5580">
        <v>5.0705617424258054E-2</v>
      </c>
    </row>
    <row r="5581" spans="1:2" x14ac:dyDescent="0.25">
      <c r="A5581">
        <v>5552</v>
      </c>
      <c r="B5581">
        <v>0.31230000674960745</v>
      </c>
    </row>
    <row r="5582" spans="1:2" x14ac:dyDescent="0.25">
      <c r="A5582">
        <v>5553</v>
      </c>
      <c r="B5582">
        <v>0.17656633996512833</v>
      </c>
    </row>
    <row r="5583" spans="1:2" x14ac:dyDescent="0.25">
      <c r="A5583">
        <v>5554</v>
      </c>
      <c r="B5583">
        <v>5.6747744128707582E-2</v>
      </c>
    </row>
    <row r="5584" spans="1:2" x14ac:dyDescent="0.25">
      <c r="A5584">
        <v>5555</v>
      </c>
      <c r="B5584">
        <v>0.15383877476918228</v>
      </c>
    </row>
    <row r="5585" spans="1:2" x14ac:dyDescent="0.25">
      <c r="A5585">
        <v>5556</v>
      </c>
      <c r="B5585">
        <v>0.12153302723750688</v>
      </c>
    </row>
    <row r="5586" spans="1:2" x14ac:dyDescent="0.25">
      <c r="A5586">
        <v>5557</v>
      </c>
      <c r="B5586">
        <v>0.28334927164661261</v>
      </c>
    </row>
    <row r="5587" spans="1:2" x14ac:dyDescent="0.25">
      <c r="A5587">
        <v>5558</v>
      </c>
      <c r="B5587">
        <v>0.10995402283763844</v>
      </c>
    </row>
    <row r="5588" spans="1:2" x14ac:dyDescent="0.25">
      <c r="A5588">
        <v>5559</v>
      </c>
      <c r="B5588">
        <v>0.10455338873752819</v>
      </c>
    </row>
    <row r="5589" spans="1:2" x14ac:dyDescent="0.25">
      <c r="A5589">
        <v>5560</v>
      </c>
      <c r="B5589">
        <v>9.1060503213271929E-2</v>
      </c>
    </row>
    <row r="5590" spans="1:2" x14ac:dyDescent="0.25">
      <c r="A5590">
        <v>5561</v>
      </c>
      <c r="B5590">
        <v>0.35230559538188361</v>
      </c>
    </row>
    <row r="5591" spans="1:2" x14ac:dyDescent="0.25">
      <c r="A5591">
        <v>5562</v>
      </c>
      <c r="B5591">
        <v>0.39640473143836219</v>
      </c>
    </row>
    <row r="5592" spans="1:2" x14ac:dyDescent="0.25">
      <c r="A5592">
        <v>5563</v>
      </c>
      <c r="B5592">
        <v>0.27704878913307152</v>
      </c>
    </row>
    <row r="5593" spans="1:2" x14ac:dyDescent="0.25">
      <c r="A5593">
        <v>5564</v>
      </c>
      <c r="B5593">
        <v>0.3185531770077612</v>
      </c>
    </row>
    <row r="5594" spans="1:2" x14ac:dyDescent="0.25">
      <c r="A5594">
        <v>5565</v>
      </c>
      <c r="B5594">
        <v>0.32691811479637128</v>
      </c>
    </row>
    <row r="5595" spans="1:2" x14ac:dyDescent="0.25">
      <c r="A5595">
        <v>5566</v>
      </c>
      <c r="B5595">
        <v>0.45855911256063892</v>
      </c>
    </row>
    <row r="5596" spans="1:2" x14ac:dyDescent="0.25">
      <c r="A5596">
        <v>5567</v>
      </c>
      <c r="B5596">
        <v>0.17354824380409486</v>
      </c>
    </row>
    <row r="5597" spans="1:2" x14ac:dyDescent="0.25">
      <c r="A5597">
        <v>5568</v>
      </c>
      <c r="B5597">
        <v>0.31185696249309808</v>
      </c>
    </row>
    <row r="5598" spans="1:2" x14ac:dyDescent="0.25">
      <c r="A5598">
        <v>5569</v>
      </c>
      <c r="B5598">
        <v>0.14542869663078745</v>
      </c>
    </row>
    <row r="5599" spans="1:2" x14ac:dyDescent="0.25">
      <c r="A5599">
        <v>5570</v>
      </c>
      <c r="B5599">
        <v>0.42546014941202775</v>
      </c>
    </row>
    <row r="5600" spans="1:2" x14ac:dyDescent="0.25">
      <c r="A5600">
        <v>5571</v>
      </c>
      <c r="B5600">
        <v>0.13862511416583292</v>
      </c>
    </row>
    <row r="5601" spans="1:2" x14ac:dyDescent="0.25">
      <c r="A5601">
        <v>5572</v>
      </c>
      <c r="B5601">
        <v>9.1461262163310256E-2</v>
      </c>
    </row>
    <row r="5602" spans="1:2" x14ac:dyDescent="0.25">
      <c r="A5602">
        <v>5573</v>
      </c>
      <c r="B5602">
        <v>0.14237516977807779</v>
      </c>
    </row>
    <row r="5603" spans="1:2" x14ac:dyDescent="0.25">
      <c r="A5603">
        <v>5574</v>
      </c>
      <c r="B5603">
        <v>0.12843941841278306</v>
      </c>
    </row>
    <row r="5604" spans="1:2" x14ac:dyDescent="0.25">
      <c r="A5604">
        <v>5575</v>
      </c>
      <c r="B5604">
        <v>0.17988152294700263</v>
      </c>
    </row>
    <row r="5605" spans="1:2" x14ac:dyDescent="0.25">
      <c r="A5605">
        <v>5576</v>
      </c>
      <c r="B5605">
        <v>0.18704170067937884</v>
      </c>
    </row>
    <row r="5606" spans="1:2" x14ac:dyDescent="0.25">
      <c r="A5606">
        <v>5577</v>
      </c>
      <c r="B5606">
        <v>4.5278915041442901E-2</v>
      </c>
    </row>
    <row r="5607" spans="1:2" x14ac:dyDescent="0.25">
      <c r="A5607">
        <v>5578</v>
      </c>
      <c r="B5607">
        <v>0.17137795937267411</v>
      </c>
    </row>
    <row r="5608" spans="1:2" x14ac:dyDescent="0.25">
      <c r="A5608">
        <v>5579</v>
      </c>
      <c r="B5608">
        <v>0.14523283765220943</v>
      </c>
    </row>
    <row r="5609" spans="1:2" x14ac:dyDescent="0.25">
      <c r="A5609">
        <v>5580</v>
      </c>
      <c r="B5609">
        <v>6.4243891323533253E-2</v>
      </c>
    </row>
    <row r="5610" spans="1:2" x14ac:dyDescent="0.25">
      <c r="A5610">
        <v>5581</v>
      </c>
      <c r="B5610">
        <v>0.56721133287446679</v>
      </c>
    </row>
    <row r="5611" spans="1:2" x14ac:dyDescent="0.25">
      <c r="A5611">
        <v>5582</v>
      </c>
      <c r="B5611">
        <v>0.48066402369110478</v>
      </c>
    </row>
    <row r="5612" spans="1:2" x14ac:dyDescent="0.25">
      <c r="A5612">
        <v>5583</v>
      </c>
      <c r="B5612">
        <v>0.80441130846594644</v>
      </c>
    </row>
    <row r="5613" spans="1:2" x14ac:dyDescent="0.25">
      <c r="A5613">
        <v>5584</v>
      </c>
      <c r="B5613">
        <v>0.26012755575189495</v>
      </c>
    </row>
    <row r="5614" spans="1:2" x14ac:dyDescent="0.25">
      <c r="A5614">
        <v>5585</v>
      </c>
      <c r="B5614">
        <v>6.046075000493191E-2</v>
      </c>
    </row>
    <row r="5615" spans="1:2" x14ac:dyDescent="0.25">
      <c r="A5615">
        <v>5586</v>
      </c>
      <c r="B5615">
        <v>0.19233357533626635</v>
      </c>
    </row>
    <row r="5616" spans="1:2" x14ac:dyDescent="0.25">
      <c r="A5616">
        <v>5587</v>
      </c>
      <c r="B5616">
        <v>0.22823298423605584</v>
      </c>
    </row>
    <row r="5617" spans="1:2" x14ac:dyDescent="0.25">
      <c r="A5617">
        <v>5588</v>
      </c>
      <c r="B5617">
        <v>0.29486794548377482</v>
      </c>
    </row>
    <row r="5618" spans="1:2" x14ac:dyDescent="0.25">
      <c r="A5618">
        <v>5589</v>
      </c>
      <c r="B5618">
        <v>0.22519063914660328</v>
      </c>
    </row>
    <row r="5619" spans="1:2" x14ac:dyDescent="0.25">
      <c r="A5619">
        <v>5590</v>
      </c>
      <c r="B5619">
        <v>0.25992751484995058</v>
      </c>
    </row>
    <row r="5620" spans="1:2" x14ac:dyDescent="0.25">
      <c r="A5620">
        <v>5591</v>
      </c>
      <c r="B5620">
        <v>8.0582319269818764E-2</v>
      </c>
    </row>
    <row r="5621" spans="1:2" x14ac:dyDescent="0.25">
      <c r="A5621">
        <v>5592</v>
      </c>
      <c r="B5621">
        <v>4.7661675224070124E-2</v>
      </c>
    </row>
    <row r="5622" spans="1:2" x14ac:dyDescent="0.25">
      <c r="A5622">
        <v>5593</v>
      </c>
      <c r="B5622">
        <v>0.35872180107257085</v>
      </c>
    </row>
    <row r="5623" spans="1:2" x14ac:dyDescent="0.25">
      <c r="A5623">
        <v>5594</v>
      </c>
      <c r="B5623">
        <v>5.1705653307258716E-2</v>
      </c>
    </row>
    <row r="5624" spans="1:2" x14ac:dyDescent="0.25">
      <c r="A5624">
        <v>5595</v>
      </c>
      <c r="B5624">
        <v>5.8137727062793257E-2</v>
      </c>
    </row>
    <row r="5625" spans="1:2" x14ac:dyDescent="0.25">
      <c r="A5625">
        <v>5596</v>
      </c>
      <c r="B5625">
        <v>8.1525323378367667E-2</v>
      </c>
    </row>
    <row r="5626" spans="1:2" x14ac:dyDescent="0.25">
      <c r="A5626">
        <v>5597</v>
      </c>
      <c r="B5626">
        <v>9.6283119136243073E-2</v>
      </c>
    </row>
    <row r="5627" spans="1:2" x14ac:dyDescent="0.25">
      <c r="A5627">
        <v>5598</v>
      </c>
      <c r="B5627">
        <v>0.19298784465977448</v>
      </c>
    </row>
    <row r="5628" spans="1:2" x14ac:dyDescent="0.25">
      <c r="A5628">
        <v>5599</v>
      </c>
      <c r="B5628">
        <v>5.4742118550874068E-2</v>
      </c>
    </row>
    <row r="5629" spans="1:2" x14ac:dyDescent="0.25">
      <c r="A5629">
        <v>5600</v>
      </c>
      <c r="B5629">
        <v>0.76487837820450577</v>
      </c>
    </row>
    <row r="5630" spans="1:2" x14ac:dyDescent="0.25">
      <c r="A5630">
        <v>5601</v>
      </c>
      <c r="B5630">
        <v>0.22340914513900956</v>
      </c>
    </row>
    <row r="5631" spans="1:2" x14ac:dyDescent="0.25">
      <c r="A5631">
        <v>5602</v>
      </c>
      <c r="B5631">
        <v>0.19049623535074248</v>
      </c>
    </row>
    <row r="5632" spans="1:2" x14ac:dyDescent="0.25">
      <c r="A5632">
        <v>5603</v>
      </c>
      <c r="B5632">
        <v>0.22744047505427215</v>
      </c>
    </row>
    <row r="5633" spans="1:2" x14ac:dyDescent="0.25">
      <c r="A5633">
        <v>5604</v>
      </c>
      <c r="B5633">
        <v>0.52845929021982085</v>
      </c>
    </row>
    <row r="5634" spans="1:2" x14ac:dyDescent="0.25">
      <c r="A5634">
        <v>5605</v>
      </c>
      <c r="B5634">
        <v>0.29173887463742448</v>
      </c>
    </row>
    <row r="5635" spans="1:2" x14ac:dyDescent="0.25">
      <c r="A5635">
        <v>5606</v>
      </c>
      <c r="B5635">
        <v>0.47497351941916083</v>
      </c>
    </row>
    <row r="5636" spans="1:2" x14ac:dyDescent="0.25">
      <c r="A5636">
        <v>5607</v>
      </c>
      <c r="B5636">
        <v>2.7703355451193266E-2</v>
      </c>
    </row>
    <row r="5637" spans="1:2" x14ac:dyDescent="0.25">
      <c r="A5637">
        <v>5608</v>
      </c>
      <c r="B5637">
        <v>0.24796670767451004</v>
      </c>
    </row>
    <row r="5638" spans="1:2" x14ac:dyDescent="0.25">
      <c r="A5638">
        <v>5609</v>
      </c>
      <c r="B5638">
        <v>0.1483193700378195</v>
      </c>
    </row>
    <row r="5639" spans="1:2" x14ac:dyDescent="0.25">
      <c r="A5639">
        <v>5610</v>
      </c>
      <c r="B5639">
        <v>0.28951380031500584</v>
      </c>
    </row>
    <row r="5640" spans="1:2" x14ac:dyDescent="0.25">
      <c r="A5640">
        <v>5611</v>
      </c>
      <c r="B5640">
        <v>0.39153257958902893</v>
      </c>
    </row>
    <row r="5641" spans="1:2" x14ac:dyDescent="0.25">
      <c r="A5641">
        <v>5612</v>
      </c>
      <c r="B5641">
        <v>0.10173923903281887</v>
      </c>
    </row>
    <row r="5642" spans="1:2" x14ac:dyDescent="0.25">
      <c r="A5642">
        <v>5613</v>
      </c>
      <c r="B5642">
        <v>0.17509091277552288</v>
      </c>
    </row>
    <row r="5643" spans="1:2" x14ac:dyDescent="0.25">
      <c r="A5643">
        <v>5614</v>
      </c>
      <c r="B5643">
        <v>0.32957301380291182</v>
      </c>
    </row>
    <row r="5644" spans="1:2" x14ac:dyDescent="0.25">
      <c r="A5644">
        <v>5615</v>
      </c>
      <c r="B5644">
        <v>5.7620898305229179E-2</v>
      </c>
    </row>
    <row r="5645" spans="1:2" x14ac:dyDescent="0.25">
      <c r="A5645">
        <v>5616</v>
      </c>
      <c r="B5645">
        <v>0.30296931992562304</v>
      </c>
    </row>
    <row r="5646" spans="1:2" x14ac:dyDescent="0.25">
      <c r="A5646">
        <v>5617</v>
      </c>
      <c r="B5646">
        <v>0.1742266483780486</v>
      </c>
    </row>
    <row r="5647" spans="1:2" x14ac:dyDescent="0.25">
      <c r="A5647">
        <v>5618</v>
      </c>
      <c r="B5647">
        <v>0.14634982258978799</v>
      </c>
    </row>
    <row r="5648" spans="1:2" x14ac:dyDescent="0.25">
      <c r="A5648">
        <v>5619</v>
      </c>
      <c r="B5648">
        <v>0.36850440740762741</v>
      </c>
    </row>
    <row r="5649" spans="1:2" x14ac:dyDescent="0.25">
      <c r="A5649">
        <v>5620</v>
      </c>
      <c r="B5649">
        <v>0.16436825788782181</v>
      </c>
    </row>
    <row r="5650" spans="1:2" x14ac:dyDescent="0.25">
      <c r="A5650">
        <v>5621</v>
      </c>
      <c r="B5650">
        <v>0.1453070677555344</v>
      </c>
    </row>
    <row r="5651" spans="1:2" x14ac:dyDescent="0.25">
      <c r="A5651">
        <v>5622</v>
      </c>
      <c r="B5651">
        <v>0.24146890586584441</v>
      </c>
    </row>
    <row r="5652" spans="1:2" x14ac:dyDescent="0.25">
      <c r="A5652">
        <v>5623</v>
      </c>
      <c r="B5652">
        <v>0.35206968892289958</v>
      </c>
    </row>
    <row r="5653" spans="1:2" x14ac:dyDescent="0.25">
      <c r="A5653">
        <v>5624</v>
      </c>
      <c r="B5653">
        <v>0.14534795437294715</v>
      </c>
    </row>
    <row r="5654" spans="1:2" x14ac:dyDescent="0.25">
      <c r="A5654">
        <v>5625</v>
      </c>
      <c r="B5654">
        <v>0.13612290153774773</v>
      </c>
    </row>
    <row r="5655" spans="1:2" x14ac:dyDescent="0.25">
      <c r="A5655">
        <v>5626</v>
      </c>
      <c r="B5655">
        <v>9.4078004905345833E-2</v>
      </c>
    </row>
    <row r="5656" spans="1:2" x14ac:dyDescent="0.25">
      <c r="A5656">
        <v>5627</v>
      </c>
      <c r="B5656">
        <v>0.22667567827983426</v>
      </c>
    </row>
    <row r="5657" spans="1:2" x14ac:dyDescent="0.25">
      <c r="A5657">
        <v>5628</v>
      </c>
      <c r="B5657">
        <v>0.28079590150015132</v>
      </c>
    </row>
    <row r="5658" spans="1:2" x14ac:dyDescent="0.25">
      <c r="A5658">
        <v>5629</v>
      </c>
      <c r="B5658">
        <v>0.13763767297405291</v>
      </c>
    </row>
    <row r="5659" spans="1:2" x14ac:dyDescent="0.25">
      <c r="A5659">
        <v>5630</v>
      </c>
      <c r="B5659">
        <v>0.34493503438205358</v>
      </c>
    </row>
    <row r="5660" spans="1:2" x14ac:dyDescent="0.25">
      <c r="A5660">
        <v>5631</v>
      </c>
      <c r="B5660">
        <v>0.50699954544314541</v>
      </c>
    </row>
    <row r="5661" spans="1:2" x14ac:dyDescent="0.25">
      <c r="A5661">
        <v>5632</v>
      </c>
      <c r="B5661">
        <v>0.17033857756480703</v>
      </c>
    </row>
    <row r="5662" spans="1:2" x14ac:dyDescent="0.25">
      <c r="A5662">
        <v>5633</v>
      </c>
      <c r="B5662">
        <v>0.1571795596068099</v>
      </c>
    </row>
    <row r="5663" spans="1:2" x14ac:dyDescent="0.25">
      <c r="A5663">
        <v>5634</v>
      </c>
      <c r="B5663">
        <v>0.14579105492409186</v>
      </c>
    </row>
    <row r="5664" spans="1:2" x14ac:dyDescent="0.25">
      <c r="A5664">
        <v>5635</v>
      </c>
      <c r="B5664">
        <v>0.2205172203530561</v>
      </c>
    </row>
    <row r="5665" spans="1:2" x14ac:dyDescent="0.25">
      <c r="A5665">
        <v>5636</v>
      </c>
      <c r="B5665">
        <v>0.26881121403855185</v>
      </c>
    </row>
    <row r="5666" spans="1:2" x14ac:dyDescent="0.25">
      <c r="A5666">
        <v>5637</v>
      </c>
      <c r="B5666">
        <v>9.5807325426432541E-2</v>
      </c>
    </row>
    <row r="5667" spans="1:2" x14ac:dyDescent="0.25">
      <c r="A5667">
        <v>5638</v>
      </c>
      <c r="B5667">
        <v>0.43844069972683741</v>
      </c>
    </row>
    <row r="5668" spans="1:2" x14ac:dyDescent="0.25">
      <c r="A5668">
        <v>5639</v>
      </c>
      <c r="B5668">
        <v>5.854712530428037E-2</v>
      </c>
    </row>
    <row r="5669" spans="1:2" x14ac:dyDescent="0.25">
      <c r="A5669">
        <v>5640</v>
      </c>
      <c r="B5669">
        <v>0.20512885328799665</v>
      </c>
    </row>
    <row r="5670" spans="1:2" x14ac:dyDescent="0.25">
      <c r="A5670">
        <v>5641</v>
      </c>
      <c r="B5670">
        <v>8.9362177202535989E-2</v>
      </c>
    </row>
    <row r="5671" spans="1:2" x14ac:dyDescent="0.25">
      <c r="A5671">
        <v>5642</v>
      </c>
      <c r="B5671">
        <v>0.10340604908196967</v>
      </c>
    </row>
    <row r="5672" spans="1:2" x14ac:dyDescent="0.25">
      <c r="A5672">
        <v>5643</v>
      </c>
      <c r="B5672">
        <v>0.23533378223837798</v>
      </c>
    </row>
    <row r="5673" spans="1:2" x14ac:dyDescent="0.25">
      <c r="A5673">
        <v>5644</v>
      </c>
      <c r="B5673">
        <v>0.11334530379742033</v>
      </c>
    </row>
    <row r="5674" spans="1:2" x14ac:dyDescent="0.25">
      <c r="A5674">
        <v>5645</v>
      </c>
      <c r="B5674">
        <v>9.7590566812354299E-2</v>
      </c>
    </row>
    <row r="5675" spans="1:2" x14ac:dyDescent="0.25">
      <c r="A5675">
        <v>5646</v>
      </c>
      <c r="B5675">
        <v>0.10062572231358136</v>
      </c>
    </row>
    <row r="5676" spans="1:2" x14ac:dyDescent="0.25">
      <c r="A5676">
        <v>5647</v>
      </c>
      <c r="B5676">
        <v>0.11241750431607229</v>
      </c>
    </row>
    <row r="5677" spans="1:2" x14ac:dyDescent="0.25">
      <c r="A5677">
        <v>5648</v>
      </c>
      <c r="B5677">
        <v>0.42467261032260861</v>
      </c>
    </row>
    <row r="5678" spans="1:2" x14ac:dyDescent="0.25">
      <c r="A5678">
        <v>5649</v>
      </c>
      <c r="B5678">
        <v>0.1180423655105531</v>
      </c>
    </row>
    <row r="5679" spans="1:2" x14ac:dyDescent="0.25">
      <c r="A5679">
        <v>5650</v>
      </c>
      <c r="B5679">
        <v>0.18381797716983492</v>
      </c>
    </row>
    <row r="5680" spans="1:2" x14ac:dyDescent="0.25">
      <c r="A5680">
        <v>5651</v>
      </c>
      <c r="B5680">
        <v>0.19074408546811611</v>
      </c>
    </row>
    <row r="5681" spans="1:2" x14ac:dyDescent="0.25">
      <c r="A5681">
        <v>5652</v>
      </c>
      <c r="B5681">
        <v>8.3592425893118869E-2</v>
      </c>
    </row>
    <row r="5682" spans="1:2" x14ac:dyDescent="0.25">
      <c r="A5682">
        <v>5653</v>
      </c>
      <c r="B5682">
        <v>0.12431274179264777</v>
      </c>
    </row>
    <row r="5683" spans="1:2" x14ac:dyDescent="0.25">
      <c r="A5683">
        <v>5654</v>
      </c>
      <c r="B5683">
        <v>0.27499396729549985</v>
      </c>
    </row>
    <row r="5684" spans="1:2" x14ac:dyDescent="0.25">
      <c r="A5684">
        <v>5655</v>
      </c>
      <c r="B5684">
        <v>0.19554906040434689</v>
      </c>
    </row>
    <row r="5685" spans="1:2" x14ac:dyDescent="0.25">
      <c r="A5685">
        <v>5656</v>
      </c>
      <c r="B5685">
        <v>0.32994507520783717</v>
      </c>
    </row>
    <row r="5686" spans="1:2" x14ac:dyDescent="0.25">
      <c r="A5686">
        <v>5657</v>
      </c>
      <c r="B5686">
        <v>0.17939982595869527</v>
      </c>
    </row>
    <row r="5687" spans="1:2" x14ac:dyDescent="0.25">
      <c r="A5687">
        <v>5658</v>
      </c>
      <c r="B5687">
        <v>0.41563105372567677</v>
      </c>
    </row>
    <row r="5688" spans="1:2" x14ac:dyDescent="0.25">
      <c r="A5688">
        <v>5659</v>
      </c>
      <c r="B5688">
        <v>0.16114396158255889</v>
      </c>
    </row>
    <row r="5689" spans="1:2" x14ac:dyDescent="0.25">
      <c r="A5689">
        <v>5660</v>
      </c>
      <c r="B5689">
        <v>0.34762806485539655</v>
      </c>
    </row>
    <row r="5690" spans="1:2" x14ac:dyDescent="0.25">
      <c r="A5690">
        <v>5661</v>
      </c>
      <c r="B5690">
        <v>0.14061923665155476</v>
      </c>
    </row>
    <row r="5691" spans="1:2" x14ac:dyDescent="0.25">
      <c r="A5691">
        <v>5662</v>
      </c>
      <c r="B5691">
        <v>0.12761362246028637</v>
      </c>
    </row>
    <row r="5692" spans="1:2" x14ac:dyDescent="0.25">
      <c r="A5692">
        <v>5663</v>
      </c>
      <c r="B5692">
        <v>0.77830496657628634</v>
      </c>
    </row>
    <row r="5693" spans="1:2" x14ac:dyDescent="0.25">
      <c r="A5693">
        <v>5664</v>
      </c>
      <c r="B5693">
        <v>0.4131436195387137</v>
      </c>
    </row>
    <row r="5694" spans="1:2" x14ac:dyDescent="0.25">
      <c r="A5694">
        <v>5665</v>
      </c>
      <c r="B5694">
        <v>0.23837076615648192</v>
      </c>
    </row>
    <row r="5695" spans="1:2" x14ac:dyDescent="0.25">
      <c r="A5695">
        <v>5666</v>
      </c>
      <c r="B5695">
        <v>0.34552640056342854</v>
      </c>
    </row>
    <row r="5696" spans="1:2" x14ac:dyDescent="0.25">
      <c r="A5696">
        <v>5667</v>
      </c>
      <c r="B5696">
        <v>0.26269074062098419</v>
      </c>
    </row>
    <row r="5697" spans="1:2" x14ac:dyDescent="0.25">
      <c r="A5697">
        <v>5668</v>
      </c>
      <c r="B5697">
        <v>0.32628555132862136</v>
      </c>
    </row>
    <row r="5698" spans="1:2" x14ac:dyDescent="0.25">
      <c r="A5698">
        <v>5669</v>
      </c>
      <c r="B5698">
        <v>0.13999460607255529</v>
      </c>
    </row>
    <row r="5699" spans="1:2" x14ac:dyDescent="0.25">
      <c r="A5699">
        <v>5670</v>
      </c>
      <c r="B5699">
        <v>9.6638301381287012E-2</v>
      </c>
    </row>
    <row r="5700" spans="1:2" x14ac:dyDescent="0.25">
      <c r="A5700">
        <v>5671</v>
      </c>
      <c r="B5700">
        <v>0.1727276018132996</v>
      </c>
    </row>
    <row r="5701" spans="1:2" x14ac:dyDescent="0.25">
      <c r="A5701">
        <v>5672</v>
      </c>
      <c r="B5701">
        <v>0.27421922229333084</v>
      </c>
    </row>
    <row r="5702" spans="1:2" x14ac:dyDescent="0.25">
      <c r="A5702">
        <v>5673</v>
      </c>
      <c r="B5702">
        <v>0.13774270905019342</v>
      </c>
    </row>
    <row r="5703" spans="1:2" x14ac:dyDescent="0.25">
      <c r="A5703">
        <v>5674</v>
      </c>
      <c r="B5703">
        <v>0.14981310654772589</v>
      </c>
    </row>
    <row r="5704" spans="1:2" x14ac:dyDescent="0.25">
      <c r="A5704">
        <v>5675</v>
      </c>
      <c r="B5704">
        <v>0.13619344049437043</v>
      </c>
    </row>
    <row r="5705" spans="1:2" x14ac:dyDescent="0.25">
      <c r="A5705">
        <v>5676</v>
      </c>
      <c r="B5705">
        <v>7.0537116836711267E-2</v>
      </c>
    </row>
    <row r="5706" spans="1:2" x14ac:dyDescent="0.25">
      <c r="A5706">
        <v>5677</v>
      </c>
      <c r="B5706">
        <v>0.14828527970430894</v>
      </c>
    </row>
    <row r="5707" spans="1:2" x14ac:dyDescent="0.25">
      <c r="A5707">
        <v>5678</v>
      </c>
      <c r="B5707">
        <v>0.33060678976663382</v>
      </c>
    </row>
    <row r="5708" spans="1:2" x14ac:dyDescent="0.25">
      <c r="A5708">
        <v>5679</v>
      </c>
      <c r="B5708">
        <v>0.17472701581761302</v>
      </c>
    </row>
    <row r="5709" spans="1:2" x14ac:dyDescent="0.25">
      <c r="A5709">
        <v>5680</v>
      </c>
      <c r="B5709">
        <v>0.12373678622336508</v>
      </c>
    </row>
    <row r="5710" spans="1:2" x14ac:dyDescent="0.25">
      <c r="A5710">
        <v>5681</v>
      </c>
      <c r="B5710">
        <v>0.13302883725294853</v>
      </c>
    </row>
    <row r="5711" spans="1:2" x14ac:dyDescent="0.25">
      <c r="A5711">
        <v>5682</v>
      </c>
      <c r="B5711">
        <v>0.2248452881139581</v>
      </c>
    </row>
    <row r="5712" spans="1:2" x14ac:dyDescent="0.25">
      <c r="A5712">
        <v>5683</v>
      </c>
      <c r="B5712">
        <v>0.18417640480121319</v>
      </c>
    </row>
    <row r="5713" spans="1:2" x14ac:dyDescent="0.25">
      <c r="A5713">
        <v>5684</v>
      </c>
      <c r="B5713">
        <v>0.1869556685832178</v>
      </c>
    </row>
    <row r="5714" spans="1:2" x14ac:dyDescent="0.25">
      <c r="A5714">
        <v>5685</v>
      </c>
      <c r="B5714">
        <v>0.15291412471929894</v>
      </c>
    </row>
    <row r="5715" spans="1:2" x14ac:dyDescent="0.25">
      <c r="A5715">
        <v>5686</v>
      </c>
      <c r="B5715">
        <v>0.41098359730781464</v>
      </c>
    </row>
    <row r="5716" spans="1:2" x14ac:dyDescent="0.25">
      <c r="A5716">
        <v>5687</v>
      </c>
      <c r="B5716">
        <v>0.13541123144055262</v>
      </c>
    </row>
    <row r="5717" spans="1:2" x14ac:dyDescent="0.25">
      <c r="A5717">
        <v>5688</v>
      </c>
      <c r="B5717">
        <v>0.40623322777394233</v>
      </c>
    </row>
    <row r="5718" spans="1:2" x14ac:dyDescent="0.25">
      <c r="A5718">
        <v>5689</v>
      </c>
      <c r="B5718">
        <v>0.25298861640038178</v>
      </c>
    </row>
    <row r="5719" spans="1:2" x14ac:dyDescent="0.25">
      <c r="A5719">
        <v>5690</v>
      </c>
      <c r="B5719">
        <v>0.21441552506412712</v>
      </c>
    </row>
    <row r="5720" spans="1:2" x14ac:dyDescent="0.25">
      <c r="A5720">
        <v>5691</v>
      </c>
      <c r="B5720">
        <v>0.11022458803818148</v>
      </c>
    </row>
    <row r="5721" spans="1:2" x14ac:dyDescent="0.25">
      <c r="A5721">
        <v>5692</v>
      </c>
      <c r="B5721">
        <v>0.20864743413071482</v>
      </c>
    </row>
    <row r="5722" spans="1:2" x14ac:dyDescent="0.25">
      <c r="A5722">
        <v>5693</v>
      </c>
      <c r="B5722">
        <v>0.18357063779326527</v>
      </c>
    </row>
    <row r="5723" spans="1:2" x14ac:dyDescent="0.25">
      <c r="A5723">
        <v>5694</v>
      </c>
      <c r="B5723">
        <v>0.23052851784085118</v>
      </c>
    </row>
    <row r="5724" spans="1:2" x14ac:dyDescent="0.25">
      <c r="A5724">
        <v>5695</v>
      </c>
      <c r="B5724">
        <v>0.15060713093473038</v>
      </c>
    </row>
    <row r="5725" spans="1:2" x14ac:dyDescent="0.25">
      <c r="A5725">
        <v>5696</v>
      </c>
      <c r="B5725">
        <v>0.18579401624472505</v>
      </c>
    </row>
    <row r="5726" spans="1:2" x14ac:dyDescent="0.25">
      <c r="A5726">
        <v>5697</v>
      </c>
      <c r="B5726">
        <v>0.103030673185493</v>
      </c>
    </row>
    <row r="5727" spans="1:2" x14ac:dyDescent="0.25">
      <c r="A5727">
        <v>5698</v>
      </c>
      <c r="B5727">
        <v>0.14854599621832112</v>
      </c>
    </row>
    <row r="5728" spans="1:2" x14ac:dyDescent="0.25">
      <c r="A5728">
        <v>5699</v>
      </c>
      <c r="B5728">
        <v>0.18341966850470609</v>
      </c>
    </row>
    <row r="5729" spans="1:2" x14ac:dyDescent="0.25">
      <c r="A5729">
        <v>5700</v>
      </c>
      <c r="B5729">
        <v>0.19656051224583793</v>
      </c>
    </row>
    <row r="5730" spans="1:2" x14ac:dyDescent="0.25">
      <c r="A5730">
        <v>5701</v>
      </c>
      <c r="B5730">
        <v>0.21593205933509441</v>
      </c>
    </row>
    <row r="5731" spans="1:2" x14ac:dyDescent="0.25">
      <c r="A5731">
        <v>5702</v>
      </c>
      <c r="B5731">
        <v>9.0216179791330717E-2</v>
      </c>
    </row>
    <row r="5732" spans="1:2" x14ac:dyDescent="0.25">
      <c r="A5732">
        <v>5703</v>
      </c>
      <c r="B5732">
        <v>0.2522176885761841</v>
      </c>
    </row>
    <row r="5733" spans="1:2" x14ac:dyDescent="0.25">
      <c r="A5733">
        <v>5704</v>
      </c>
      <c r="B5733">
        <v>0.28129068743883517</v>
      </c>
    </row>
    <row r="5734" spans="1:2" x14ac:dyDescent="0.25">
      <c r="A5734">
        <v>5705</v>
      </c>
      <c r="B5734">
        <v>0.23388575970920011</v>
      </c>
    </row>
    <row r="5735" spans="1:2" x14ac:dyDescent="0.25">
      <c r="A5735">
        <v>5706</v>
      </c>
      <c r="B5735">
        <v>0.16943239068350247</v>
      </c>
    </row>
    <row r="5736" spans="1:2" x14ac:dyDescent="0.25">
      <c r="A5736">
        <v>5707</v>
      </c>
      <c r="B5736">
        <v>0.14695062867342026</v>
      </c>
    </row>
    <row r="5737" spans="1:2" x14ac:dyDescent="0.25">
      <c r="A5737">
        <v>5708</v>
      </c>
      <c r="B5737">
        <v>0.24041407098350276</v>
      </c>
    </row>
    <row r="5738" spans="1:2" x14ac:dyDescent="0.25">
      <c r="A5738">
        <v>5709</v>
      </c>
      <c r="B5738">
        <v>0.11648625463426089</v>
      </c>
    </row>
    <row r="5739" spans="1:2" x14ac:dyDescent="0.25">
      <c r="A5739">
        <v>5710</v>
      </c>
      <c r="B5739">
        <v>0.65840212449220625</v>
      </c>
    </row>
    <row r="5740" spans="1:2" x14ac:dyDescent="0.25">
      <c r="A5740">
        <v>5711</v>
      </c>
      <c r="B5740">
        <v>0.3860131831730792</v>
      </c>
    </row>
    <row r="5741" spans="1:2" x14ac:dyDescent="0.25">
      <c r="A5741">
        <v>5712</v>
      </c>
      <c r="B5741">
        <v>7.4771601524098216E-2</v>
      </c>
    </row>
    <row r="5742" spans="1:2" x14ac:dyDescent="0.25">
      <c r="A5742">
        <v>5713</v>
      </c>
      <c r="B5742">
        <v>0.18742652290289116</v>
      </c>
    </row>
    <row r="5743" spans="1:2" x14ac:dyDescent="0.25">
      <c r="A5743">
        <v>5714</v>
      </c>
      <c r="B5743">
        <v>0.25598096224244982</v>
      </c>
    </row>
    <row r="5744" spans="1:2" x14ac:dyDescent="0.25">
      <c r="A5744">
        <v>5715</v>
      </c>
      <c r="B5744">
        <v>0.27079491912840897</v>
      </c>
    </row>
    <row r="5745" spans="1:2" x14ac:dyDescent="0.25">
      <c r="A5745">
        <v>5716</v>
      </c>
      <c r="B5745">
        <v>0.39640873292788686</v>
      </c>
    </row>
    <row r="5746" spans="1:2" x14ac:dyDescent="0.25">
      <c r="A5746">
        <v>5717</v>
      </c>
      <c r="B5746">
        <v>0.46590631358386947</v>
      </c>
    </row>
    <row r="5747" spans="1:2" x14ac:dyDescent="0.25">
      <c r="A5747">
        <v>5718</v>
      </c>
      <c r="B5747">
        <v>0.24470393984634531</v>
      </c>
    </row>
    <row r="5748" spans="1:2" x14ac:dyDescent="0.25">
      <c r="A5748">
        <v>5719</v>
      </c>
      <c r="B5748">
        <v>0.12873862730550556</v>
      </c>
    </row>
    <row r="5749" spans="1:2" x14ac:dyDescent="0.25">
      <c r="A5749">
        <v>5720</v>
      </c>
      <c r="B5749">
        <v>9.9098399742821794E-2</v>
      </c>
    </row>
    <row r="5750" spans="1:2" x14ac:dyDescent="0.25">
      <c r="A5750">
        <v>5721</v>
      </c>
      <c r="B5750">
        <v>9.6035118125765845E-2</v>
      </c>
    </row>
    <row r="5751" spans="1:2" x14ac:dyDescent="0.25">
      <c r="A5751">
        <v>5722</v>
      </c>
      <c r="B5751">
        <v>0.10450786581356669</v>
      </c>
    </row>
    <row r="5752" spans="1:2" x14ac:dyDescent="0.25">
      <c r="A5752">
        <v>5723</v>
      </c>
      <c r="B5752">
        <v>0.29502900035483415</v>
      </c>
    </row>
    <row r="5753" spans="1:2" x14ac:dyDescent="0.25">
      <c r="A5753">
        <v>5724</v>
      </c>
      <c r="B5753">
        <v>0.2119709106055804</v>
      </c>
    </row>
    <row r="5754" spans="1:2" x14ac:dyDescent="0.25">
      <c r="A5754">
        <v>5725</v>
      </c>
      <c r="B5754">
        <v>0.12079125385462802</v>
      </c>
    </row>
    <row r="5755" spans="1:2" x14ac:dyDescent="0.25">
      <c r="A5755">
        <v>5726</v>
      </c>
      <c r="B5755">
        <v>0.32348236733319113</v>
      </c>
    </row>
    <row r="5756" spans="1:2" x14ac:dyDescent="0.25">
      <c r="A5756">
        <v>5727</v>
      </c>
      <c r="B5756">
        <v>5.2333548099802653E-2</v>
      </c>
    </row>
    <row r="5757" spans="1:2" x14ac:dyDescent="0.25">
      <c r="A5757">
        <v>5728</v>
      </c>
      <c r="B5757">
        <v>0.64850555532122234</v>
      </c>
    </row>
    <row r="5758" spans="1:2" x14ac:dyDescent="0.25">
      <c r="A5758">
        <v>5729</v>
      </c>
      <c r="B5758">
        <v>0.18605610622288668</v>
      </c>
    </row>
    <row r="5759" spans="1:2" x14ac:dyDescent="0.25">
      <c r="A5759">
        <v>5730</v>
      </c>
      <c r="B5759">
        <v>0.29536939960314124</v>
      </c>
    </row>
    <row r="5760" spans="1:2" x14ac:dyDescent="0.25">
      <c r="A5760">
        <v>5731</v>
      </c>
      <c r="B5760">
        <v>0.17638784812317204</v>
      </c>
    </row>
    <row r="5761" spans="1:2" x14ac:dyDescent="0.25">
      <c r="A5761">
        <v>5732</v>
      </c>
      <c r="B5761">
        <v>0.20014918097032708</v>
      </c>
    </row>
    <row r="5762" spans="1:2" x14ac:dyDescent="0.25">
      <c r="A5762">
        <v>5733</v>
      </c>
      <c r="B5762">
        <v>0.12468292605157409</v>
      </c>
    </row>
    <row r="5763" spans="1:2" x14ac:dyDescent="0.25">
      <c r="A5763">
        <v>5734</v>
      </c>
      <c r="B5763">
        <v>0.65741965340051922</v>
      </c>
    </row>
    <row r="5764" spans="1:2" x14ac:dyDescent="0.25">
      <c r="A5764">
        <v>5735</v>
      </c>
      <c r="B5764">
        <v>0.38690265620677644</v>
      </c>
    </row>
    <row r="5765" spans="1:2" x14ac:dyDescent="0.25">
      <c r="A5765">
        <v>5736</v>
      </c>
      <c r="B5765">
        <v>0.11162073148302622</v>
      </c>
    </row>
    <row r="5766" spans="1:2" x14ac:dyDescent="0.25">
      <c r="A5766">
        <v>5737</v>
      </c>
      <c r="B5766">
        <v>0.12822750264665661</v>
      </c>
    </row>
    <row r="5767" spans="1:2" x14ac:dyDescent="0.25">
      <c r="A5767">
        <v>5738</v>
      </c>
      <c r="B5767">
        <v>7.5071188256013541E-2</v>
      </c>
    </row>
    <row r="5768" spans="1:2" x14ac:dyDescent="0.25">
      <c r="A5768">
        <v>5739</v>
      </c>
      <c r="B5768">
        <v>0.16375068477193919</v>
      </c>
    </row>
    <row r="5769" spans="1:2" x14ac:dyDescent="0.25">
      <c r="A5769">
        <v>5740</v>
      </c>
      <c r="B5769">
        <v>0.2462319798709714</v>
      </c>
    </row>
    <row r="5770" spans="1:2" x14ac:dyDescent="0.25">
      <c r="A5770">
        <v>5741</v>
      </c>
      <c r="B5770">
        <v>0.30752908003331986</v>
      </c>
    </row>
    <row r="5771" spans="1:2" x14ac:dyDescent="0.25">
      <c r="A5771">
        <v>5742</v>
      </c>
      <c r="B5771">
        <v>0.17928805796326883</v>
      </c>
    </row>
    <row r="5772" spans="1:2" x14ac:dyDescent="0.25">
      <c r="A5772">
        <v>5743</v>
      </c>
      <c r="B5772">
        <v>0.12100393402471857</v>
      </c>
    </row>
    <row r="5773" spans="1:2" x14ac:dyDescent="0.25">
      <c r="A5773">
        <v>5744</v>
      </c>
      <c r="B5773">
        <v>0.29441998108847051</v>
      </c>
    </row>
    <row r="5774" spans="1:2" x14ac:dyDescent="0.25">
      <c r="A5774">
        <v>5745</v>
      </c>
      <c r="B5774">
        <v>9.8707845773707822E-2</v>
      </c>
    </row>
    <row r="5775" spans="1:2" x14ac:dyDescent="0.25">
      <c r="A5775">
        <v>5746</v>
      </c>
      <c r="B5775">
        <v>0.24782187412404158</v>
      </c>
    </row>
    <row r="5776" spans="1:2" x14ac:dyDescent="0.25">
      <c r="A5776">
        <v>5747</v>
      </c>
      <c r="B5776">
        <v>0.26025259493860953</v>
      </c>
    </row>
    <row r="5777" spans="1:2" x14ac:dyDescent="0.25">
      <c r="A5777">
        <v>5748</v>
      </c>
      <c r="B5777">
        <v>0.17592949096944482</v>
      </c>
    </row>
    <row r="5778" spans="1:2" x14ac:dyDescent="0.25">
      <c r="A5778">
        <v>5749</v>
      </c>
      <c r="B5778">
        <v>0.15297300968346825</v>
      </c>
    </row>
    <row r="5779" spans="1:2" x14ac:dyDescent="0.25">
      <c r="A5779">
        <v>5750</v>
      </c>
      <c r="B5779">
        <v>0.2032123914054908</v>
      </c>
    </row>
    <row r="5780" spans="1:2" x14ac:dyDescent="0.25">
      <c r="A5780">
        <v>5751</v>
      </c>
      <c r="B5780">
        <v>0.30504037030495945</v>
      </c>
    </row>
    <row r="5781" spans="1:2" x14ac:dyDescent="0.25">
      <c r="A5781">
        <v>5752</v>
      </c>
      <c r="B5781">
        <v>0.20432143970988584</v>
      </c>
    </row>
    <row r="5782" spans="1:2" x14ac:dyDescent="0.25">
      <c r="A5782">
        <v>5753</v>
      </c>
      <c r="B5782">
        <v>0.16621167517297339</v>
      </c>
    </row>
    <row r="5783" spans="1:2" x14ac:dyDescent="0.25">
      <c r="A5783">
        <v>5754</v>
      </c>
      <c r="B5783">
        <v>0.31636296284762405</v>
      </c>
    </row>
    <row r="5784" spans="1:2" x14ac:dyDescent="0.25">
      <c r="A5784">
        <v>5755</v>
      </c>
      <c r="B5784">
        <v>0.11934690518581627</v>
      </c>
    </row>
    <row r="5785" spans="1:2" x14ac:dyDescent="0.25">
      <c r="A5785">
        <v>5756</v>
      </c>
      <c r="B5785">
        <v>0.11721245182081019</v>
      </c>
    </row>
    <row r="5786" spans="1:2" x14ac:dyDescent="0.25">
      <c r="A5786">
        <v>5757</v>
      </c>
      <c r="B5786">
        <v>0.29342999409766696</v>
      </c>
    </row>
    <row r="5787" spans="1:2" x14ac:dyDescent="0.25">
      <c r="A5787">
        <v>5758</v>
      </c>
      <c r="B5787">
        <v>0.21962642269875837</v>
      </c>
    </row>
    <row r="5788" spans="1:2" x14ac:dyDescent="0.25">
      <c r="A5788">
        <v>5759</v>
      </c>
      <c r="B5788">
        <v>0.19871772144593125</v>
      </c>
    </row>
    <row r="5789" spans="1:2" x14ac:dyDescent="0.25">
      <c r="A5789">
        <v>5760</v>
      </c>
      <c r="B5789">
        <v>0.29724817855715646</v>
      </c>
    </row>
    <row r="5790" spans="1:2" x14ac:dyDescent="0.25">
      <c r="A5790">
        <v>5761</v>
      </c>
      <c r="B5790">
        <v>0.10451993278362094</v>
      </c>
    </row>
    <row r="5791" spans="1:2" x14ac:dyDescent="0.25">
      <c r="A5791">
        <v>5762</v>
      </c>
      <c r="B5791">
        <v>9.8145549897822315E-2</v>
      </c>
    </row>
    <row r="5792" spans="1:2" x14ac:dyDescent="0.25">
      <c r="A5792">
        <v>5763</v>
      </c>
      <c r="B5792">
        <v>4.169283750470968E-2</v>
      </c>
    </row>
    <row r="5793" spans="1:2" x14ac:dyDescent="0.25">
      <c r="A5793">
        <v>5764</v>
      </c>
      <c r="B5793">
        <v>9.7567794673651148E-2</v>
      </c>
    </row>
    <row r="5794" spans="1:2" x14ac:dyDescent="0.25">
      <c r="A5794">
        <v>5765</v>
      </c>
      <c r="B5794">
        <v>8.1311913537573388E-2</v>
      </c>
    </row>
    <row r="5795" spans="1:2" x14ac:dyDescent="0.25">
      <c r="A5795">
        <v>5766</v>
      </c>
      <c r="B5795">
        <v>0.20127323244997553</v>
      </c>
    </row>
    <row r="5796" spans="1:2" x14ac:dyDescent="0.25">
      <c r="A5796">
        <v>5767</v>
      </c>
      <c r="B5796">
        <v>0.17772784676529202</v>
      </c>
    </row>
    <row r="5797" spans="1:2" x14ac:dyDescent="0.25">
      <c r="A5797">
        <v>5768</v>
      </c>
      <c r="B5797">
        <v>8.1613086561341835E-2</v>
      </c>
    </row>
    <row r="5798" spans="1:2" x14ac:dyDescent="0.25">
      <c r="A5798">
        <v>5769</v>
      </c>
      <c r="B5798">
        <v>8.6731320436094411E-2</v>
      </c>
    </row>
    <row r="5799" spans="1:2" x14ac:dyDescent="0.25">
      <c r="A5799">
        <v>5770</v>
      </c>
      <c r="B5799">
        <v>0.14300339337444351</v>
      </c>
    </row>
    <row r="5800" spans="1:2" x14ac:dyDescent="0.25">
      <c r="A5800">
        <v>5771</v>
      </c>
      <c r="B5800">
        <v>0.18325974027540201</v>
      </c>
    </row>
    <row r="5801" spans="1:2" x14ac:dyDescent="0.25">
      <c r="A5801">
        <v>5772</v>
      </c>
      <c r="B5801">
        <v>0.30992443681825987</v>
      </c>
    </row>
    <row r="5802" spans="1:2" x14ac:dyDescent="0.25">
      <c r="A5802">
        <v>5773</v>
      </c>
      <c r="B5802">
        <v>0.20011882599320158</v>
      </c>
    </row>
    <row r="5803" spans="1:2" x14ac:dyDescent="0.25">
      <c r="A5803">
        <v>5774</v>
      </c>
      <c r="B5803">
        <v>0.28996654978830805</v>
      </c>
    </row>
    <row r="5804" spans="1:2" x14ac:dyDescent="0.25">
      <c r="A5804">
        <v>5775</v>
      </c>
      <c r="B5804">
        <v>0.58874841305332837</v>
      </c>
    </row>
    <row r="5805" spans="1:2" x14ac:dyDescent="0.25">
      <c r="A5805">
        <v>5776</v>
      </c>
      <c r="B5805">
        <v>7.6436416664649259E-2</v>
      </c>
    </row>
    <row r="5806" spans="1:2" x14ac:dyDescent="0.25">
      <c r="A5806">
        <v>5777</v>
      </c>
      <c r="B5806">
        <v>0.15009150396088597</v>
      </c>
    </row>
    <row r="5807" spans="1:2" x14ac:dyDescent="0.25">
      <c r="A5807">
        <v>5778</v>
      </c>
      <c r="B5807">
        <v>0.29979849025281569</v>
      </c>
    </row>
    <row r="5808" spans="1:2" x14ac:dyDescent="0.25">
      <c r="A5808">
        <v>5779</v>
      </c>
      <c r="B5808">
        <v>0.26445351767678599</v>
      </c>
    </row>
    <row r="5809" spans="1:2" x14ac:dyDescent="0.25">
      <c r="A5809">
        <v>5780</v>
      </c>
      <c r="B5809">
        <v>0.24435413645326348</v>
      </c>
    </row>
    <row r="5810" spans="1:2" x14ac:dyDescent="0.25">
      <c r="A5810">
        <v>5781</v>
      </c>
      <c r="B5810">
        <v>0.20779177575437635</v>
      </c>
    </row>
    <row r="5811" spans="1:2" x14ac:dyDescent="0.25">
      <c r="A5811">
        <v>5782</v>
      </c>
      <c r="B5811">
        <v>0.21295551925771766</v>
      </c>
    </row>
    <row r="5812" spans="1:2" x14ac:dyDescent="0.25">
      <c r="A5812">
        <v>5783</v>
      </c>
      <c r="B5812">
        <v>0.35824673801806384</v>
      </c>
    </row>
    <row r="5813" spans="1:2" x14ac:dyDescent="0.25">
      <c r="A5813">
        <v>5784</v>
      </c>
      <c r="B5813">
        <v>5.5391026441279696E-2</v>
      </c>
    </row>
    <row r="5814" spans="1:2" x14ac:dyDescent="0.25">
      <c r="A5814">
        <v>5785</v>
      </c>
      <c r="B5814">
        <v>0.23902573180325384</v>
      </c>
    </row>
    <row r="5815" spans="1:2" x14ac:dyDescent="0.25">
      <c r="A5815">
        <v>5786</v>
      </c>
      <c r="B5815">
        <v>7.7541734635259846E-2</v>
      </c>
    </row>
    <row r="5816" spans="1:2" x14ac:dyDescent="0.25">
      <c r="A5816">
        <v>5787</v>
      </c>
      <c r="B5816">
        <v>0.20647688650312562</v>
      </c>
    </row>
    <row r="5817" spans="1:2" x14ac:dyDescent="0.25">
      <c r="A5817">
        <v>5788</v>
      </c>
      <c r="B5817">
        <v>5.1756692341773061E-2</v>
      </c>
    </row>
    <row r="5818" spans="1:2" x14ac:dyDescent="0.25">
      <c r="A5818">
        <v>5789</v>
      </c>
      <c r="B5818">
        <v>7.4966658246702164E-2</v>
      </c>
    </row>
    <row r="5819" spans="1:2" x14ac:dyDescent="0.25">
      <c r="A5819">
        <v>5790</v>
      </c>
      <c r="B5819">
        <v>0.16837361940736006</v>
      </c>
    </row>
    <row r="5820" spans="1:2" x14ac:dyDescent="0.25">
      <c r="A5820">
        <v>5791</v>
      </c>
      <c r="B5820">
        <v>0.19236647134754284</v>
      </c>
    </row>
    <row r="5821" spans="1:2" x14ac:dyDescent="0.25">
      <c r="A5821">
        <v>5792</v>
      </c>
      <c r="B5821">
        <v>0.13341257227704684</v>
      </c>
    </row>
    <row r="5822" spans="1:2" x14ac:dyDescent="0.25">
      <c r="A5822">
        <v>5793</v>
      </c>
      <c r="B5822">
        <v>5.1577485323702828E-2</v>
      </c>
    </row>
    <row r="5823" spans="1:2" x14ac:dyDescent="0.25">
      <c r="A5823">
        <v>5794</v>
      </c>
      <c r="B5823">
        <v>0.18101861408106201</v>
      </c>
    </row>
    <row r="5824" spans="1:2" x14ac:dyDescent="0.25">
      <c r="A5824">
        <v>5795</v>
      </c>
      <c r="B5824">
        <v>6.8429826594214219E-2</v>
      </c>
    </row>
    <row r="5825" spans="1:2" x14ac:dyDescent="0.25">
      <c r="A5825">
        <v>5796</v>
      </c>
      <c r="B5825">
        <v>1.3208326971886926</v>
      </c>
    </row>
    <row r="5826" spans="1:2" x14ac:dyDescent="0.25">
      <c r="A5826">
        <v>5797</v>
      </c>
      <c r="B5826">
        <v>0.13827222868487174</v>
      </c>
    </row>
    <row r="5827" spans="1:2" x14ac:dyDescent="0.25">
      <c r="A5827">
        <v>5798</v>
      </c>
      <c r="B5827">
        <v>0.1860723021583589</v>
      </c>
    </row>
    <row r="5828" spans="1:2" x14ac:dyDescent="0.25">
      <c r="A5828">
        <v>5799</v>
      </c>
      <c r="B5828">
        <v>4.4207522877409026E-2</v>
      </c>
    </row>
    <row r="5829" spans="1:2" x14ac:dyDescent="0.25">
      <c r="A5829">
        <v>5800</v>
      </c>
      <c r="B5829">
        <v>0.31486017442904157</v>
      </c>
    </row>
    <row r="5830" spans="1:2" x14ac:dyDescent="0.25">
      <c r="A5830">
        <v>5801</v>
      </c>
      <c r="B5830">
        <v>0.14096065485929227</v>
      </c>
    </row>
    <row r="5831" spans="1:2" x14ac:dyDescent="0.25">
      <c r="A5831">
        <v>5802</v>
      </c>
      <c r="B5831">
        <v>6.3304254853480735E-2</v>
      </c>
    </row>
    <row r="5832" spans="1:2" x14ac:dyDescent="0.25">
      <c r="A5832">
        <v>5803</v>
      </c>
      <c r="B5832">
        <v>0.22093099563883398</v>
      </c>
    </row>
    <row r="5833" spans="1:2" x14ac:dyDescent="0.25">
      <c r="A5833">
        <v>5804</v>
      </c>
      <c r="B5833">
        <v>9.3768053867291534E-2</v>
      </c>
    </row>
    <row r="5834" spans="1:2" x14ac:dyDescent="0.25">
      <c r="A5834">
        <v>5805</v>
      </c>
      <c r="B5834">
        <v>7.7142474992194052E-2</v>
      </c>
    </row>
    <row r="5835" spans="1:2" x14ac:dyDescent="0.25">
      <c r="A5835">
        <v>5806</v>
      </c>
      <c r="B5835">
        <v>0.1237659325323162</v>
      </c>
    </row>
    <row r="5836" spans="1:2" x14ac:dyDescent="0.25">
      <c r="A5836">
        <v>5807</v>
      </c>
      <c r="B5836">
        <v>5.5234098565525303E-2</v>
      </c>
    </row>
    <row r="5837" spans="1:2" x14ac:dyDescent="0.25">
      <c r="A5837">
        <v>5808</v>
      </c>
      <c r="B5837">
        <v>0.20825202128041284</v>
      </c>
    </row>
    <row r="5838" spans="1:2" x14ac:dyDescent="0.25">
      <c r="A5838">
        <v>5809</v>
      </c>
      <c r="B5838">
        <v>0.37090532138890447</v>
      </c>
    </row>
    <row r="5839" spans="1:2" x14ac:dyDescent="0.25">
      <c r="A5839">
        <v>5810</v>
      </c>
      <c r="B5839">
        <v>0.11843925362918943</v>
      </c>
    </row>
    <row r="5840" spans="1:2" x14ac:dyDescent="0.25">
      <c r="A5840">
        <v>5811</v>
      </c>
      <c r="B5840">
        <v>6.501628837815894E-2</v>
      </c>
    </row>
    <row r="5841" spans="1:2" x14ac:dyDescent="0.25">
      <c r="A5841">
        <v>5812</v>
      </c>
      <c r="B5841">
        <v>0.25710956867394485</v>
      </c>
    </row>
    <row r="5842" spans="1:2" x14ac:dyDescent="0.25">
      <c r="A5842">
        <v>5813</v>
      </c>
      <c r="B5842">
        <v>0.30340650669592745</v>
      </c>
    </row>
    <row r="5843" spans="1:2" x14ac:dyDescent="0.25">
      <c r="A5843">
        <v>5814</v>
      </c>
      <c r="B5843">
        <v>0.15108601933574622</v>
      </c>
    </row>
    <row r="5844" spans="1:2" x14ac:dyDescent="0.25">
      <c r="A5844">
        <v>5815</v>
      </c>
      <c r="B5844">
        <v>0.27420222644889553</v>
      </c>
    </row>
    <row r="5845" spans="1:2" x14ac:dyDescent="0.25">
      <c r="A5845">
        <v>5816</v>
      </c>
      <c r="B5845">
        <v>0.14538843810603616</v>
      </c>
    </row>
    <row r="5846" spans="1:2" x14ac:dyDescent="0.25">
      <c r="A5846">
        <v>5817</v>
      </c>
      <c r="B5846">
        <v>0.35781317587652284</v>
      </c>
    </row>
    <row r="5847" spans="1:2" x14ac:dyDescent="0.25">
      <c r="A5847">
        <v>5818</v>
      </c>
      <c r="B5847">
        <v>0.23922125295205743</v>
      </c>
    </row>
    <row r="5848" spans="1:2" x14ac:dyDescent="0.25">
      <c r="A5848">
        <v>5819</v>
      </c>
      <c r="B5848">
        <v>5.5610287208111064E-2</v>
      </c>
    </row>
    <row r="5849" spans="1:2" x14ac:dyDescent="0.25">
      <c r="A5849">
        <v>5820</v>
      </c>
      <c r="B5849">
        <v>0.31534538982766036</v>
      </c>
    </row>
    <row r="5850" spans="1:2" x14ac:dyDescent="0.25">
      <c r="A5850">
        <v>5821</v>
      </c>
      <c r="B5850">
        <v>2.4285310721089567E-2</v>
      </c>
    </row>
    <row r="5851" spans="1:2" x14ac:dyDescent="0.25">
      <c r="A5851">
        <v>5822</v>
      </c>
      <c r="B5851">
        <v>0.14554173058681585</v>
      </c>
    </row>
    <row r="5852" spans="1:2" x14ac:dyDescent="0.25">
      <c r="A5852">
        <v>5823</v>
      </c>
      <c r="B5852">
        <v>9.4967611951536773E-2</v>
      </c>
    </row>
    <row r="5853" spans="1:2" x14ac:dyDescent="0.25">
      <c r="A5853">
        <v>5824</v>
      </c>
      <c r="B5853">
        <v>0.13568375232558849</v>
      </c>
    </row>
    <row r="5854" spans="1:2" x14ac:dyDescent="0.25">
      <c r="A5854">
        <v>5825</v>
      </c>
      <c r="B5854">
        <v>0.20596608999992164</v>
      </c>
    </row>
    <row r="5855" spans="1:2" x14ac:dyDescent="0.25">
      <c r="A5855">
        <v>5826</v>
      </c>
      <c r="B5855">
        <v>0.15381936673748989</v>
      </c>
    </row>
    <row r="5856" spans="1:2" x14ac:dyDescent="0.25">
      <c r="A5856">
        <v>5827</v>
      </c>
      <c r="B5856">
        <v>0.22715022883372915</v>
      </c>
    </row>
    <row r="5857" spans="1:2" x14ac:dyDescent="0.25">
      <c r="A5857">
        <v>5828</v>
      </c>
      <c r="B5857">
        <v>0.28071069105651181</v>
      </c>
    </row>
    <row r="5858" spans="1:2" x14ac:dyDescent="0.25">
      <c r="A5858">
        <v>5829</v>
      </c>
      <c r="B5858">
        <v>0.15303887407690717</v>
      </c>
    </row>
    <row r="5859" spans="1:2" x14ac:dyDescent="0.25">
      <c r="A5859">
        <v>5830</v>
      </c>
      <c r="B5859">
        <v>0.30228074634206109</v>
      </c>
    </row>
    <row r="5860" spans="1:2" x14ac:dyDescent="0.25">
      <c r="A5860">
        <v>5831</v>
      </c>
      <c r="B5860">
        <v>0.12530096809799041</v>
      </c>
    </row>
    <row r="5861" spans="1:2" x14ac:dyDescent="0.25">
      <c r="A5861">
        <v>5832</v>
      </c>
      <c r="B5861">
        <v>0.14426877309973538</v>
      </c>
    </row>
    <row r="5862" spans="1:2" x14ac:dyDescent="0.25">
      <c r="A5862">
        <v>5833</v>
      </c>
      <c r="B5862">
        <v>0.35588440753956541</v>
      </c>
    </row>
    <row r="5863" spans="1:2" x14ac:dyDescent="0.25">
      <c r="A5863">
        <v>5834</v>
      </c>
      <c r="B5863">
        <v>0.25935217209396838</v>
      </c>
    </row>
    <row r="5864" spans="1:2" x14ac:dyDescent="0.25">
      <c r="A5864">
        <v>5835</v>
      </c>
      <c r="B5864">
        <v>3.7597817472370218E-2</v>
      </c>
    </row>
    <row r="5865" spans="1:2" x14ac:dyDescent="0.25">
      <c r="A5865">
        <v>5836</v>
      </c>
      <c r="B5865">
        <v>3.9973769077335103E-2</v>
      </c>
    </row>
    <row r="5866" spans="1:2" x14ac:dyDescent="0.25">
      <c r="A5866">
        <v>5837</v>
      </c>
      <c r="B5866">
        <v>0.41401010024978396</v>
      </c>
    </row>
    <row r="5867" spans="1:2" x14ac:dyDescent="0.25">
      <c r="A5867">
        <v>5838</v>
      </c>
      <c r="B5867">
        <v>0.12218318438973925</v>
      </c>
    </row>
    <row r="5868" spans="1:2" x14ac:dyDescent="0.25">
      <c r="A5868">
        <v>5839</v>
      </c>
      <c r="B5868">
        <v>0.28793782302043741</v>
      </c>
    </row>
    <row r="5869" spans="1:2" x14ac:dyDescent="0.25">
      <c r="A5869">
        <v>5840</v>
      </c>
      <c r="B5869">
        <v>0.77082832196008655</v>
      </c>
    </row>
    <row r="5870" spans="1:2" x14ac:dyDescent="0.25">
      <c r="A5870">
        <v>5841</v>
      </c>
      <c r="B5870">
        <v>0.13754669821120694</v>
      </c>
    </row>
    <row r="5871" spans="1:2" x14ac:dyDescent="0.25">
      <c r="A5871">
        <v>5842</v>
      </c>
      <c r="B5871">
        <v>0.44984309427672603</v>
      </c>
    </row>
    <row r="5872" spans="1:2" x14ac:dyDescent="0.25">
      <c r="A5872">
        <v>5843</v>
      </c>
      <c r="B5872">
        <v>9.3519237437612687E-2</v>
      </c>
    </row>
    <row r="5873" spans="1:2" x14ac:dyDescent="0.25">
      <c r="A5873">
        <v>5844</v>
      </c>
      <c r="B5873">
        <v>0.16596350509393651</v>
      </c>
    </row>
    <row r="5874" spans="1:2" x14ac:dyDescent="0.25">
      <c r="A5874">
        <v>5845</v>
      </c>
      <c r="B5874">
        <v>0.82098288135281383</v>
      </c>
    </row>
    <row r="5875" spans="1:2" x14ac:dyDescent="0.25">
      <c r="A5875">
        <v>5846</v>
      </c>
      <c r="B5875">
        <v>4.9345232294635714E-2</v>
      </c>
    </row>
    <row r="5876" spans="1:2" x14ac:dyDescent="0.25">
      <c r="A5876">
        <v>5847</v>
      </c>
      <c r="B5876">
        <v>0.41525286825336255</v>
      </c>
    </row>
    <row r="5877" spans="1:2" x14ac:dyDescent="0.25">
      <c r="A5877">
        <v>5848</v>
      </c>
      <c r="B5877">
        <v>0.13596555110479172</v>
      </c>
    </row>
    <row r="5878" spans="1:2" x14ac:dyDescent="0.25">
      <c r="A5878">
        <v>5849</v>
      </c>
      <c r="B5878">
        <v>0.14429779666475409</v>
      </c>
    </row>
    <row r="5879" spans="1:2" x14ac:dyDescent="0.25">
      <c r="A5879">
        <v>5850</v>
      </c>
      <c r="B5879">
        <v>0.21357310361410889</v>
      </c>
    </row>
    <row r="5880" spans="1:2" x14ac:dyDescent="0.25">
      <c r="A5880">
        <v>5851</v>
      </c>
      <c r="B5880">
        <v>0.13430674817421773</v>
      </c>
    </row>
    <row r="5881" spans="1:2" x14ac:dyDescent="0.25">
      <c r="A5881">
        <v>5852</v>
      </c>
      <c r="B5881">
        <v>0.11124243855654205</v>
      </c>
    </row>
    <row r="5882" spans="1:2" x14ac:dyDescent="0.25">
      <c r="A5882">
        <v>5853</v>
      </c>
      <c r="B5882">
        <v>0.23585507203032094</v>
      </c>
    </row>
    <row r="5883" spans="1:2" x14ac:dyDescent="0.25">
      <c r="A5883">
        <v>5854</v>
      </c>
      <c r="B5883">
        <v>9.1877401989781546E-2</v>
      </c>
    </row>
    <row r="5884" spans="1:2" x14ac:dyDescent="0.25">
      <c r="A5884">
        <v>5855</v>
      </c>
      <c r="B5884">
        <v>0.16334473082031115</v>
      </c>
    </row>
    <row r="5885" spans="1:2" x14ac:dyDescent="0.25">
      <c r="A5885">
        <v>5856</v>
      </c>
      <c r="B5885">
        <v>0.12009242126764137</v>
      </c>
    </row>
    <row r="5886" spans="1:2" x14ac:dyDescent="0.25">
      <c r="A5886">
        <v>5857</v>
      </c>
      <c r="B5886">
        <v>5.0884834448738175E-2</v>
      </c>
    </row>
    <row r="5887" spans="1:2" x14ac:dyDescent="0.25">
      <c r="A5887">
        <v>5858</v>
      </c>
      <c r="B5887">
        <v>0.14232062853629188</v>
      </c>
    </row>
    <row r="5888" spans="1:2" x14ac:dyDescent="0.25">
      <c r="A5888">
        <v>5859</v>
      </c>
      <c r="B5888">
        <v>0.20018654460233767</v>
      </c>
    </row>
    <row r="5889" spans="1:2" x14ac:dyDescent="0.25">
      <c r="A5889">
        <v>5860</v>
      </c>
      <c r="B5889">
        <v>4.6334586504381679E-2</v>
      </c>
    </row>
    <row r="5890" spans="1:2" x14ac:dyDescent="0.25">
      <c r="A5890">
        <v>5861</v>
      </c>
      <c r="B5890">
        <v>0.71017737759646771</v>
      </c>
    </row>
    <row r="5891" spans="1:2" x14ac:dyDescent="0.25">
      <c r="A5891">
        <v>5862</v>
      </c>
      <c r="B5891">
        <v>0.33726985171272039</v>
      </c>
    </row>
    <row r="5892" spans="1:2" x14ac:dyDescent="0.25">
      <c r="A5892">
        <v>5863</v>
      </c>
      <c r="B5892">
        <v>0.68852634171749449</v>
      </c>
    </row>
    <row r="5893" spans="1:2" x14ac:dyDescent="0.25">
      <c r="A5893">
        <v>5864</v>
      </c>
      <c r="B5893">
        <v>0.18260480470278279</v>
      </c>
    </row>
    <row r="5894" spans="1:2" x14ac:dyDescent="0.25">
      <c r="A5894">
        <v>5865</v>
      </c>
      <c r="B5894">
        <v>0.43059094831088757</v>
      </c>
    </row>
    <row r="5895" spans="1:2" x14ac:dyDescent="0.25">
      <c r="A5895">
        <v>5866</v>
      </c>
      <c r="B5895">
        <v>9.4180186301866808E-2</v>
      </c>
    </row>
    <row r="5896" spans="1:2" x14ac:dyDescent="0.25">
      <c r="A5896">
        <v>5867</v>
      </c>
      <c r="B5896">
        <v>0.41388483196961995</v>
      </c>
    </row>
    <row r="5897" spans="1:2" x14ac:dyDescent="0.25">
      <c r="A5897">
        <v>5868</v>
      </c>
      <c r="B5897">
        <v>0.12453658783580121</v>
      </c>
    </row>
    <row r="5898" spans="1:2" x14ac:dyDescent="0.25">
      <c r="A5898">
        <v>5869</v>
      </c>
      <c r="B5898">
        <v>0.43594968909171161</v>
      </c>
    </row>
    <row r="5899" spans="1:2" x14ac:dyDescent="0.25">
      <c r="A5899">
        <v>5870</v>
      </c>
      <c r="B5899">
        <v>0.22565319471518894</v>
      </c>
    </row>
    <row r="5900" spans="1:2" x14ac:dyDescent="0.25">
      <c r="A5900">
        <v>5871</v>
      </c>
      <c r="B5900">
        <v>4.7833643116272619E-2</v>
      </c>
    </row>
    <row r="5901" spans="1:2" x14ac:dyDescent="0.25">
      <c r="A5901">
        <v>5872</v>
      </c>
      <c r="B5901">
        <v>0.21560841043027348</v>
      </c>
    </row>
    <row r="5902" spans="1:2" x14ac:dyDescent="0.25">
      <c r="A5902">
        <v>5873</v>
      </c>
      <c r="B5902">
        <v>6.4640475257893362E-2</v>
      </c>
    </row>
    <row r="5903" spans="1:2" x14ac:dyDescent="0.25">
      <c r="A5903">
        <v>5874</v>
      </c>
      <c r="B5903">
        <v>0.14627132920812855</v>
      </c>
    </row>
    <row r="5904" spans="1:2" x14ac:dyDescent="0.25">
      <c r="A5904">
        <v>5875</v>
      </c>
      <c r="B5904">
        <v>0.47292777893333321</v>
      </c>
    </row>
    <row r="5905" spans="1:2" x14ac:dyDescent="0.25">
      <c r="A5905">
        <v>5876</v>
      </c>
      <c r="B5905">
        <v>0.18509268894324804</v>
      </c>
    </row>
    <row r="5906" spans="1:2" x14ac:dyDescent="0.25">
      <c r="A5906">
        <v>5877</v>
      </c>
      <c r="B5906">
        <v>7.1957004590652171E-2</v>
      </c>
    </row>
    <row r="5907" spans="1:2" x14ac:dyDescent="0.25">
      <c r="A5907">
        <v>5878</v>
      </c>
      <c r="B5907">
        <v>7.7496022464879744E-2</v>
      </c>
    </row>
    <row r="5908" spans="1:2" x14ac:dyDescent="0.25">
      <c r="A5908">
        <v>5879</v>
      </c>
      <c r="B5908">
        <v>0.28172048276109912</v>
      </c>
    </row>
    <row r="5909" spans="1:2" x14ac:dyDescent="0.25">
      <c r="A5909">
        <v>5880</v>
      </c>
      <c r="B5909">
        <v>0.72296889465518166</v>
      </c>
    </row>
    <row r="5910" spans="1:2" x14ac:dyDescent="0.25">
      <c r="A5910">
        <v>5881</v>
      </c>
      <c r="B5910">
        <v>0.1137422211133072</v>
      </c>
    </row>
    <row r="5911" spans="1:2" x14ac:dyDescent="0.25">
      <c r="A5911">
        <v>5882</v>
      </c>
      <c r="B5911">
        <v>0.16085958742503187</v>
      </c>
    </row>
    <row r="5912" spans="1:2" x14ac:dyDescent="0.25">
      <c r="A5912">
        <v>5883</v>
      </c>
      <c r="B5912">
        <v>0.1267775189391229</v>
      </c>
    </row>
    <row r="5913" spans="1:2" x14ac:dyDescent="0.25">
      <c r="A5913">
        <v>5884</v>
      </c>
      <c r="B5913">
        <v>0.10789960719800906</v>
      </c>
    </row>
    <row r="5914" spans="1:2" x14ac:dyDescent="0.25">
      <c r="A5914">
        <v>5885</v>
      </c>
      <c r="B5914">
        <v>0.14504770619634685</v>
      </c>
    </row>
    <row r="5915" spans="1:2" x14ac:dyDescent="0.25">
      <c r="A5915">
        <v>5886</v>
      </c>
      <c r="B5915">
        <v>3.3555651127941385E-2</v>
      </c>
    </row>
    <row r="5916" spans="1:2" x14ac:dyDescent="0.25">
      <c r="A5916">
        <v>5887</v>
      </c>
      <c r="B5916">
        <v>0.20569179905220336</v>
      </c>
    </row>
    <row r="5917" spans="1:2" x14ac:dyDescent="0.25">
      <c r="A5917">
        <v>5888</v>
      </c>
      <c r="B5917">
        <v>0.23318120814107024</v>
      </c>
    </row>
    <row r="5918" spans="1:2" x14ac:dyDescent="0.25">
      <c r="A5918">
        <v>5889</v>
      </c>
      <c r="B5918">
        <v>0.2043190010820925</v>
      </c>
    </row>
    <row r="5919" spans="1:2" x14ac:dyDescent="0.25">
      <c r="A5919">
        <v>5890</v>
      </c>
      <c r="B5919">
        <v>0.25277378489464492</v>
      </c>
    </row>
    <row r="5920" spans="1:2" x14ac:dyDescent="0.25">
      <c r="A5920">
        <v>5891</v>
      </c>
      <c r="B5920">
        <v>0.27379581161448635</v>
      </c>
    </row>
    <row r="5921" spans="1:2" x14ac:dyDescent="0.25">
      <c r="A5921">
        <v>5892</v>
      </c>
      <c r="B5921">
        <v>0.29873999410700697</v>
      </c>
    </row>
    <row r="5922" spans="1:2" x14ac:dyDescent="0.25">
      <c r="A5922">
        <v>5893</v>
      </c>
      <c r="B5922">
        <v>0.44415692208754853</v>
      </c>
    </row>
    <row r="5923" spans="1:2" x14ac:dyDescent="0.25">
      <c r="A5923">
        <v>5894</v>
      </c>
      <c r="B5923">
        <v>0.35768242858318661</v>
      </c>
    </row>
    <row r="5924" spans="1:2" x14ac:dyDescent="0.25">
      <c r="A5924">
        <v>5895</v>
      </c>
      <c r="B5924">
        <v>5.3529138567875202E-2</v>
      </c>
    </row>
    <row r="5925" spans="1:2" x14ac:dyDescent="0.25">
      <c r="A5925">
        <v>5896</v>
      </c>
      <c r="B5925">
        <v>0.21692464164734246</v>
      </c>
    </row>
    <row r="5926" spans="1:2" x14ac:dyDescent="0.25">
      <c r="A5926">
        <v>5897</v>
      </c>
      <c r="B5926">
        <v>0.12172822469063789</v>
      </c>
    </row>
    <row r="5927" spans="1:2" x14ac:dyDescent="0.25">
      <c r="A5927">
        <v>5898</v>
      </c>
      <c r="B5927">
        <v>0.14035676880741146</v>
      </c>
    </row>
    <row r="5928" spans="1:2" x14ac:dyDescent="0.25">
      <c r="A5928">
        <v>5899</v>
      </c>
      <c r="B5928">
        <v>6.6302075178288483E-2</v>
      </c>
    </row>
    <row r="5929" spans="1:2" x14ac:dyDescent="0.25">
      <c r="A5929">
        <v>5900</v>
      </c>
      <c r="B5929">
        <v>0.27730669247441614</v>
      </c>
    </row>
    <row r="5930" spans="1:2" x14ac:dyDescent="0.25">
      <c r="A5930">
        <v>5901</v>
      </c>
      <c r="B5930">
        <v>0.64059126734694649</v>
      </c>
    </row>
    <row r="5931" spans="1:2" x14ac:dyDescent="0.25">
      <c r="A5931">
        <v>5902</v>
      </c>
      <c r="B5931">
        <v>0.13184157536279192</v>
      </c>
    </row>
    <row r="5932" spans="1:2" x14ac:dyDescent="0.25">
      <c r="A5932">
        <v>5903</v>
      </c>
      <c r="B5932">
        <v>0.32331410555276724</v>
      </c>
    </row>
    <row r="5933" spans="1:2" x14ac:dyDescent="0.25">
      <c r="A5933">
        <v>5904</v>
      </c>
      <c r="B5933">
        <v>0.15205167054268218</v>
      </c>
    </row>
    <row r="5934" spans="1:2" x14ac:dyDescent="0.25">
      <c r="A5934">
        <v>5905</v>
      </c>
      <c r="B5934">
        <v>0.27929025249221595</v>
      </c>
    </row>
    <row r="5935" spans="1:2" x14ac:dyDescent="0.25">
      <c r="A5935">
        <v>5906</v>
      </c>
      <c r="B5935">
        <v>0.25425587777604819</v>
      </c>
    </row>
    <row r="5936" spans="1:2" x14ac:dyDescent="0.25">
      <c r="A5936">
        <v>5907</v>
      </c>
      <c r="B5936">
        <v>7.3073838491828927E-2</v>
      </c>
    </row>
    <row r="5937" spans="1:2" x14ac:dyDescent="0.25">
      <c r="A5937">
        <v>5908</v>
      </c>
      <c r="B5937">
        <v>7.6071992847266331E-2</v>
      </c>
    </row>
    <row r="5938" spans="1:2" x14ac:dyDescent="0.25">
      <c r="A5938">
        <v>5909</v>
      </c>
      <c r="B5938">
        <v>7.13506640158105E-2</v>
      </c>
    </row>
    <row r="5939" spans="1:2" x14ac:dyDescent="0.25">
      <c r="A5939">
        <v>5910</v>
      </c>
      <c r="B5939">
        <v>7.5390290114183772E-2</v>
      </c>
    </row>
    <row r="5940" spans="1:2" x14ac:dyDescent="0.25">
      <c r="A5940">
        <v>5911</v>
      </c>
      <c r="B5940">
        <v>0.34581530611241784</v>
      </c>
    </row>
    <row r="5941" spans="1:2" x14ac:dyDescent="0.25">
      <c r="A5941">
        <v>5912</v>
      </c>
      <c r="B5941">
        <v>0.12540156928047461</v>
      </c>
    </row>
    <row r="5942" spans="1:2" x14ac:dyDescent="0.25">
      <c r="A5942">
        <v>5913</v>
      </c>
      <c r="B5942">
        <v>0.39415129124629189</v>
      </c>
    </row>
    <row r="5943" spans="1:2" x14ac:dyDescent="0.25">
      <c r="A5943">
        <v>5914</v>
      </c>
      <c r="B5943">
        <v>0.59995148798467779</v>
      </c>
    </row>
    <row r="5944" spans="1:2" x14ac:dyDescent="0.25">
      <c r="A5944">
        <v>5915</v>
      </c>
      <c r="B5944">
        <v>0.20608121659166756</v>
      </c>
    </row>
    <row r="5945" spans="1:2" x14ac:dyDescent="0.25">
      <c r="A5945">
        <v>5916</v>
      </c>
      <c r="B5945">
        <v>0.12046803796499571</v>
      </c>
    </row>
    <row r="5946" spans="1:2" x14ac:dyDescent="0.25">
      <c r="A5946">
        <v>5917</v>
      </c>
      <c r="B5946">
        <v>0.12475063593288903</v>
      </c>
    </row>
    <row r="5947" spans="1:2" x14ac:dyDescent="0.25">
      <c r="A5947">
        <v>5918</v>
      </c>
      <c r="B5947">
        <v>0.15920719997489871</v>
      </c>
    </row>
    <row r="5948" spans="1:2" x14ac:dyDescent="0.25">
      <c r="A5948">
        <v>5919</v>
      </c>
      <c r="B5948">
        <v>0.25252080854837911</v>
      </c>
    </row>
    <row r="5949" spans="1:2" x14ac:dyDescent="0.25">
      <c r="A5949">
        <v>5920</v>
      </c>
      <c r="B5949">
        <v>0.34932993168735765</v>
      </c>
    </row>
    <row r="5950" spans="1:2" x14ac:dyDescent="0.25">
      <c r="A5950">
        <v>5921</v>
      </c>
      <c r="B5950">
        <v>6.8347486133623611E-2</v>
      </c>
    </row>
    <row r="5951" spans="1:2" x14ac:dyDescent="0.25">
      <c r="A5951">
        <v>5922</v>
      </c>
      <c r="B5951">
        <v>0.18353096647093894</v>
      </c>
    </row>
    <row r="5952" spans="1:2" x14ac:dyDescent="0.25">
      <c r="A5952">
        <v>5923</v>
      </c>
      <c r="B5952">
        <v>0.36659886257353053</v>
      </c>
    </row>
    <row r="5953" spans="1:2" x14ac:dyDescent="0.25">
      <c r="A5953">
        <v>5924</v>
      </c>
      <c r="B5953">
        <v>0.14240654882233558</v>
      </c>
    </row>
    <row r="5954" spans="1:2" x14ac:dyDescent="0.25">
      <c r="A5954">
        <v>5925</v>
      </c>
      <c r="B5954">
        <v>9.8627486574265927E-2</v>
      </c>
    </row>
    <row r="5955" spans="1:2" x14ac:dyDescent="0.25">
      <c r="A5955">
        <v>5926</v>
      </c>
      <c r="B5955">
        <v>0.18832512310794244</v>
      </c>
    </row>
    <row r="5956" spans="1:2" x14ac:dyDescent="0.25">
      <c r="A5956">
        <v>5927</v>
      </c>
      <c r="B5956">
        <v>0.27569476091825668</v>
      </c>
    </row>
    <row r="5957" spans="1:2" x14ac:dyDescent="0.25">
      <c r="A5957">
        <v>5928</v>
      </c>
      <c r="B5957">
        <v>0.12493017086881888</v>
      </c>
    </row>
    <row r="5958" spans="1:2" x14ac:dyDescent="0.25">
      <c r="A5958">
        <v>5929</v>
      </c>
      <c r="B5958">
        <v>0.22851980182686643</v>
      </c>
    </row>
    <row r="5959" spans="1:2" x14ac:dyDescent="0.25">
      <c r="A5959">
        <v>5930</v>
      </c>
      <c r="B5959">
        <v>0.13735059466019672</v>
      </c>
    </row>
    <row r="5960" spans="1:2" x14ac:dyDescent="0.25">
      <c r="A5960">
        <v>5931</v>
      </c>
      <c r="B5960">
        <v>0.1017924542909321</v>
      </c>
    </row>
    <row r="5961" spans="1:2" x14ac:dyDescent="0.25">
      <c r="A5961">
        <v>5932</v>
      </c>
      <c r="B5961">
        <v>5.0033244869719225E-2</v>
      </c>
    </row>
    <row r="5962" spans="1:2" x14ac:dyDescent="0.25">
      <c r="A5962">
        <v>5933</v>
      </c>
      <c r="B5962">
        <v>0.14191907096221762</v>
      </c>
    </row>
    <row r="5963" spans="1:2" x14ac:dyDescent="0.25">
      <c r="A5963">
        <v>5934</v>
      </c>
      <c r="B5963">
        <v>0.40302186692028619</v>
      </c>
    </row>
    <row r="5964" spans="1:2" x14ac:dyDescent="0.25">
      <c r="A5964">
        <v>5935</v>
      </c>
      <c r="B5964">
        <v>8.0556287058086054E-2</v>
      </c>
    </row>
    <row r="5965" spans="1:2" x14ac:dyDescent="0.25">
      <c r="A5965">
        <v>5936</v>
      </c>
      <c r="B5965">
        <v>0.16708066791516757</v>
      </c>
    </row>
    <row r="5966" spans="1:2" x14ac:dyDescent="0.25">
      <c r="A5966">
        <v>5937</v>
      </c>
      <c r="B5966">
        <v>0.14173456377292265</v>
      </c>
    </row>
    <row r="5967" spans="1:2" x14ac:dyDescent="0.25">
      <c r="A5967">
        <v>5938</v>
      </c>
      <c r="B5967">
        <v>0.3138146589579654</v>
      </c>
    </row>
    <row r="5968" spans="1:2" x14ac:dyDescent="0.25">
      <c r="A5968">
        <v>5939</v>
      </c>
      <c r="B5968">
        <v>0.49422734388447354</v>
      </c>
    </row>
    <row r="5969" spans="1:2" x14ac:dyDescent="0.25">
      <c r="A5969">
        <v>5940</v>
      </c>
      <c r="B5969">
        <v>7.1895578733703835E-2</v>
      </c>
    </row>
    <row r="5970" spans="1:2" x14ac:dyDescent="0.25">
      <c r="A5970">
        <v>5941</v>
      </c>
      <c r="B5970">
        <v>0.33967099443669946</v>
      </c>
    </row>
    <row r="5971" spans="1:2" x14ac:dyDescent="0.25">
      <c r="A5971">
        <v>5942</v>
      </c>
      <c r="B5971">
        <v>0.137927682468311</v>
      </c>
    </row>
    <row r="5972" spans="1:2" x14ac:dyDescent="0.25">
      <c r="A5972">
        <v>5943</v>
      </c>
      <c r="B5972">
        <v>0.22261961862484159</v>
      </c>
    </row>
    <row r="5973" spans="1:2" x14ac:dyDescent="0.25">
      <c r="A5973">
        <v>5944</v>
      </c>
      <c r="B5973">
        <v>1.3208326971886926</v>
      </c>
    </row>
    <row r="5974" spans="1:2" x14ac:dyDescent="0.25">
      <c r="A5974">
        <v>5945</v>
      </c>
      <c r="B5974">
        <v>0.19414349910505174</v>
      </c>
    </row>
    <row r="5975" spans="1:2" x14ac:dyDescent="0.25">
      <c r="A5975">
        <v>5946</v>
      </c>
      <c r="B5975">
        <v>0.26833333573123458</v>
      </c>
    </row>
    <row r="5976" spans="1:2" x14ac:dyDescent="0.25">
      <c r="A5976">
        <v>5947</v>
      </c>
      <c r="B5976">
        <v>0.39800522074075123</v>
      </c>
    </row>
    <row r="5977" spans="1:2" x14ac:dyDescent="0.25">
      <c r="A5977">
        <v>5948</v>
      </c>
      <c r="B5977">
        <v>0.12753019424616643</v>
      </c>
    </row>
    <row r="5978" spans="1:2" x14ac:dyDescent="0.25">
      <c r="A5978">
        <v>5949</v>
      </c>
      <c r="B5978">
        <v>0.17530310879300778</v>
      </c>
    </row>
    <row r="5979" spans="1:2" x14ac:dyDescent="0.25">
      <c r="A5979">
        <v>5950</v>
      </c>
      <c r="B5979">
        <v>0.18487836378172626</v>
      </c>
    </row>
    <row r="5980" spans="1:2" x14ac:dyDescent="0.25">
      <c r="A5980">
        <v>5951</v>
      </c>
      <c r="B5980">
        <v>0.17753594257479882</v>
      </c>
    </row>
    <row r="5981" spans="1:2" x14ac:dyDescent="0.25">
      <c r="A5981">
        <v>5952</v>
      </c>
      <c r="B5981">
        <v>0.25868509027478265</v>
      </c>
    </row>
    <row r="5982" spans="1:2" x14ac:dyDescent="0.25">
      <c r="A5982">
        <v>5953</v>
      </c>
      <c r="B5982">
        <v>7.3585200596782196E-2</v>
      </c>
    </row>
    <row r="5983" spans="1:2" x14ac:dyDescent="0.25">
      <c r="A5983">
        <v>5954</v>
      </c>
      <c r="B5983">
        <v>0.14408441980030134</v>
      </c>
    </row>
    <row r="5984" spans="1:2" x14ac:dyDescent="0.25">
      <c r="A5984">
        <v>5955</v>
      </c>
      <c r="B5984">
        <v>0.30970950423465765</v>
      </c>
    </row>
    <row r="5985" spans="1:2" x14ac:dyDescent="0.25">
      <c r="A5985">
        <v>5956</v>
      </c>
      <c r="B5985">
        <v>9.2698756470808122E-2</v>
      </c>
    </row>
    <row r="5986" spans="1:2" x14ac:dyDescent="0.25">
      <c r="A5986">
        <v>5957</v>
      </c>
      <c r="B5986">
        <v>0.17421797490552088</v>
      </c>
    </row>
    <row r="5987" spans="1:2" x14ac:dyDescent="0.25">
      <c r="A5987">
        <v>5958</v>
      </c>
      <c r="B5987">
        <v>0.20460286375445816</v>
      </c>
    </row>
    <row r="5988" spans="1:2" x14ac:dyDescent="0.25">
      <c r="A5988">
        <v>5959</v>
      </c>
      <c r="B5988">
        <v>0.19731525111694839</v>
      </c>
    </row>
    <row r="5989" spans="1:2" x14ac:dyDescent="0.25">
      <c r="A5989">
        <v>5960</v>
      </c>
      <c r="B5989">
        <v>0.13106579258144493</v>
      </c>
    </row>
    <row r="5990" spans="1:2" x14ac:dyDescent="0.25">
      <c r="A5990">
        <v>5961</v>
      </c>
      <c r="B5990">
        <v>0.15937055385102561</v>
      </c>
    </row>
    <row r="5991" spans="1:2" x14ac:dyDescent="0.25">
      <c r="A5991">
        <v>5962</v>
      </c>
      <c r="B5991">
        <v>0.24676692455303634</v>
      </c>
    </row>
    <row r="5992" spans="1:2" x14ac:dyDescent="0.25">
      <c r="A5992">
        <v>5963</v>
      </c>
      <c r="B5992">
        <v>0.23110317036989997</v>
      </c>
    </row>
    <row r="5993" spans="1:2" x14ac:dyDescent="0.25">
      <c r="A5993">
        <v>5964</v>
      </c>
      <c r="B5993">
        <v>0.39045581516909583</v>
      </c>
    </row>
    <row r="5994" spans="1:2" x14ac:dyDescent="0.25">
      <c r="A5994">
        <v>5965</v>
      </c>
      <c r="B5994">
        <v>8.3056300390883464E-2</v>
      </c>
    </row>
    <row r="5995" spans="1:2" x14ac:dyDescent="0.25">
      <c r="A5995">
        <v>5966</v>
      </c>
      <c r="B5995">
        <v>0.24299136773296931</v>
      </c>
    </row>
    <row r="5996" spans="1:2" x14ac:dyDescent="0.25">
      <c r="A5996">
        <v>5967</v>
      </c>
      <c r="B5996">
        <v>8.9827537376038852E-2</v>
      </c>
    </row>
    <row r="5997" spans="1:2" x14ac:dyDescent="0.25">
      <c r="A5997">
        <v>5968</v>
      </c>
      <c r="B5997">
        <v>3.717316161173187E-2</v>
      </c>
    </row>
    <row r="5998" spans="1:2" x14ac:dyDescent="0.25">
      <c r="A5998">
        <v>5969</v>
      </c>
      <c r="B5998">
        <v>0.29333366258430144</v>
      </c>
    </row>
    <row r="5999" spans="1:2" x14ac:dyDescent="0.25">
      <c r="A5999">
        <v>5970</v>
      </c>
      <c r="B5999">
        <v>0.13148317721425307</v>
      </c>
    </row>
    <row r="6000" spans="1:2" x14ac:dyDescent="0.25">
      <c r="A6000">
        <v>5971</v>
      </c>
      <c r="B6000">
        <v>0.11857242012750123</v>
      </c>
    </row>
    <row r="6001" spans="1:2" x14ac:dyDescent="0.25">
      <c r="A6001">
        <v>5972</v>
      </c>
      <c r="B6001">
        <v>0.18644079032268979</v>
      </c>
    </row>
    <row r="6002" spans="1:2" x14ac:dyDescent="0.25">
      <c r="A6002">
        <v>5973</v>
      </c>
      <c r="B6002">
        <v>0.15808400060171393</v>
      </c>
    </row>
    <row r="6003" spans="1:2" x14ac:dyDescent="0.25">
      <c r="A6003">
        <v>5974</v>
      </c>
      <c r="B6003">
        <v>0.1973947652785116</v>
      </c>
    </row>
    <row r="6004" spans="1:2" x14ac:dyDescent="0.25">
      <c r="A6004">
        <v>5975</v>
      </c>
      <c r="B6004">
        <v>0.1134975948304955</v>
      </c>
    </row>
    <row r="6005" spans="1:2" x14ac:dyDescent="0.25">
      <c r="A6005">
        <v>5976</v>
      </c>
      <c r="B6005">
        <v>0.17025024217480922</v>
      </c>
    </row>
    <row r="6006" spans="1:2" x14ac:dyDescent="0.25">
      <c r="A6006">
        <v>5977</v>
      </c>
      <c r="B6006">
        <v>0.16702609954491787</v>
      </c>
    </row>
    <row r="6007" spans="1:2" x14ac:dyDescent="0.25">
      <c r="A6007">
        <v>5978</v>
      </c>
      <c r="B6007">
        <v>0.1801932034663303</v>
      </c>
    </row>
    <row r="6008" spans="1:2" x14ac:dyDescent="0.25">
      <c r="A6008">
        <v>5979</v>
      </c>
      <c r="B6008">
        <v>9.0240823102564385E-2</v>
      </c>
    </row>
    <row r="6009" spans="1:2" x14ac:dyDescent="0.25">
      <c r="A6009">
        <v>5980</v>
      </c>
      <c r="B6009">
        <v>0.15361796343824641</v>
      </c>
    </row>
    <row r="6010" spans="1:2" x14ac:dyDescent="0.25">
      <c r="A6010">
        <v>5981</v>
      </c>
      <c r="B6010">
        <v>0.21549442958106915</v>
      </c>
    </row>
    <row r="6011" spans="1:2" x14ac:dyDescent="0.25">
      <c r="A6011">
        <v>5982</v>
      </c>
      <c r="B6011">
        <v>0.24099567342886613</v>
      </c>
    </row>
    <row r="6012" spans="1:2" x14ac:dyDescent="0.25">
      <c r="A6012">
        <v>5983</v>
      </c>
      <c r="B6012">
        <v>0.70258506655411401</v>
      </c>
    </row>
    <row r="6013" spans="1:2" x14ac:dyDescent="0.25">
      <c r="A6013">
        <v>5984</v>
      </c>
      <c r="B6013">
        <v>0.12871695559442803</v>
      </c>
    </row>
    <row r="6014" spans="1:2" x14ac:dyDescent="0.25">
      <c r="A6014">
        <v>5985</v>
      </c>
      <c r="B6014">
        <v>0.17359911481839094</v>
      </c>
    </row>
    <row r="6015" spans="1:2" x14ac:dyDescent="0.25">
      <c r="A6015">
        <v>5986</v>
      </c>
      <c r="B6015">
        <v>0.17348605230083239</v>
      </c>
    </row>
    <row r="6016" spans="1:2" x14ac:dyDescent="0.25">
      <c r="A6016">
        <v>5987</v>
      </c>
      <c r="B6016">
        <v>0.15474334425445094</v>
      </c>
    </row>
    <row r="6017" spans="1:2" x14ac:dyDescent="0.25">
      <c r="A6017">
        <v>5988</v>
      </c>
      <c r="B6017">
        <v>0.1190365743692081</v>
      </c>
    </row>
    <row r="6018" spans="1:2" x14ac:dyDescent="0.25">
      <c r="A6018">
        <v>5989</v>
      </c>
      <c r="B6018">
        <v>0.11994844503807352</v>
      </c>
    </row>
    <row r="6019" spans="1:2" x14ac:dyDescent="0.25">
      <c r="A6019">
        <v>5990</v>
      </c>
      <c r="B6019">
        <v>9.2895562152204347E-2</v>
      </c>
    </row>
    <row r="6020" spans="1:2" x14ac:dyDescent="0.25">
      <c r="A6020">
        <v>5991</v>
      </c>
      <c r="B6020">
        <v>0.23959985194474734</v>
      </c>
    </row>
    <row r="6021" spans="1:2" x14ac:dyDescent="0.25">
      <c r="A6021">
        <v>5992</v>
      </c>
      <c r="B6021">
        <v>0.44783267820837219</v>
      </c>
    </row>
    <row r="6022" spans="1:2" x14ac:dyDescent="0.25">
      <c r="A6022">
        <v>5993</v>
      </c>
      <c r="B6022">
        <v>0.2035734794348503</v>
      </c>
    </row>
    <row r="6023" spans="1:2" x14ac:dyDescent="0.25">
      <c r="A6023">
        <v>5994</v>
      </c>
      <c r="B6023">
        <v>0.20642337878578992</v>
      </c>
    </row>
    <row r="6024" spans="1:2" x14ac:dyDescent="0.25">
      <c r="A6024">
        <v>5995</v>
      </c>
      <c r="B6024">
        <v>9.3748724237017314E-2</v>
      </c>
    </row>
    <row r="6025" spans="1:2" x14ac:dyDescent="0.25">
      <c r="A6025">
        <v>5996</v>
      </c>
      <c r="B6025">
        <v>6.8304613430429956E-2</v>
      </c>
    </row>
    <row r="6026" spans="1:2" x14ac:dyDescent="0.25">
      <c r="A6026">
        <v>5997</v>
      </c>
      <c r="B6026">
        <v>9.0327302335546117E-2</v>
      </c>
    </row>
    <row r="6027" spans="1:2" x14ac:dyDescent="0.25">
      <c r="A6027">
        <v>5998</v>
      </c>
      <c r="B6027">
        <v>7.1966502922295353E-2</v>
      </c>
    </row>
    <row r="6028" spans="1:2" x14ac:dyDescent="0.25">
      <c r="A6028">
        <v>5999</v>
      </c>
      <c r="B6028">
        <v>0.17988302294310216</v>
      </c>
    </row>
    <row r="6029" spans="1:2" x14ac:dyDescent="0.25">
      <c r="A6029">
        <v>6000</v>
      </c>
      <c r="B6029">
        <v>0.17009255358129455</v>
      </c>
    </row>
    <row r="6030" spans="1:2" x14ac:dyDescent="0.25">
      <c r="A6030">
        <v>6001</v>
      </c>
      <c r="B6030">
        <v>0.23569117198194195</v>
      </c>
    </row>
    <row r="6031" spans="1:2" x14ac:dyDescent="0.25">
      <c r="A6031">
        <v>6002</v>
      </c>
      <c r="B6031">
        <v>0.17555548579275129</v>
      </c>
    </row>
    <row r="6032" spans="1:2" x14ac:dyDescent="0.25">
      <c r="A6032">
        <v>6003</v>
      </c>
      <c r="B6032">
        <v>0.15836399173287924</v>
      </c>
    </row>
    <row r="6033" spans="1:2" x14ac:dyDescent="0.25">
      <c r="A6033">
        <v>6004</v>
      </c>
      <c r="B6033">
        <v>6.7189797900621934E-2</v>
      </c>
    </row>
    <row r="6034" spans="1:2" x14ac:dyDescent="0.25">
      <c r="A6034">
        <v>6005</v>
      </c>
      <c r="B6034">
        <v>6.0689060064066915E-2</v>
      </c>
    </row>
    <row r="6035" spans="1:2" x14ac:dyDescent="0.25">
      <c r="A6035">
        <v>6006</v>
      </c>
      <c r="B6035">
        <v>4.6197852201703728E-2</v>
      </c>
    </row>
    <row r="6036" spans="1:2" x14ac:dyDescent="0.25">
      <c r="A6036">
        <v>6007</v>
      </c>
      <c r="B6036">
        <v>5.8424560435983756E-2</v>
      </c>
    </row>
    <row r="6037" spans="1:2" x14ac:dyDescent="0.25">
      <c r="A6037">
        <v>6008</v>
      </c>
      <c r="B6037">
        <v>0.12227950462706447</v>
      </c>
    </row>
    <row r="6038" spans="1:2" x14ac:dyDescent="0.25">
      <c r="A6038">
        <v>6009</v>
      </c>
      <c r="B6038">
        <v>0.32239423597581979</v>
      </c>
    </row>
    <row r="6039" spans="1:2" x14ac:dyDescent="0.25">
      <c r="A6039">
        <v>6010</v>
      </c>
      <c r="B6039">
        <v>0.15165289621519112</v>
      </c>
    </row>
    <row r="6040" spans="1:2" x14ac:dyDescent="0.25">
      <c r="A6040">
        <v>6011</v>
      </c>
      <c r="B6040">
        <v>8.9591107515518686E-2</v>
      </c>
    </row>
    <row r="6041" spans="1:2" x14ac:dyDescent="0.25">
      <c r="A6041">
        <v>6012</v>
      </c>
      <c r="B6041">
        <v>0.19306814416327311</v>
      </c>
    </row>
    <row r="6042" spans="1:2" x14ac:dyDescent="0.25">
      <c r="A6042">
        <v>6013</v>
      </c>
      <c r="B6042">
        <v>2.7496807784222459E-2</v>
      </c>
    </row>
    <row r="6043" spans="1:2" x14ac:dyDescent="0.25">
      <c r="A6043">
        <v>6014</v>
      </c>
      <c r="B6043">
        <v>0.2474302353526826</v>
      </c>
    </row>
    <row r="6044" spans="1:2" x14ac:dyDescent="0.25">
      <c r="A6044">
        <v>6015</v>
      </c>
      <c r="B6044">
        <v>9.7407339698984352E-2</v>
      </c>
    </row>
    <row r="6045" spans="1:2" x14ac:dyDescent="0.25">
      <c r="A6045">
        <v>6016</v>
      </c>
      <c r="B6045">
        <v>0.10460998124012422</v>
      </c>
    </row>
    <row r="6046" spans="1:2" x14ac:dyDescent="0.25">
      <c r="A6046">
        <v>6017</v>
      </c>
      <c r="B6046">
        <v>0.25861551008190709</v>
      </c>
    </row>
    <row r="6047" spans="1:2" x14ac:dyDescent="0.25">
      <c r="A6047">
        <v>6018</v>
      </c>
      <c r="B6047">
        <v>0.48013458571152812</v>
      </c>
    </row>
    <row r="6048" spans="1:2" x14ac:dyDescent="0.25">
      <c r="A6048">
        <v>6019</v>
      </c>
      <c r="B6048">
        <v>9.9081631987732233E-2</v>
      </c>
    </row>
    <row r="6049" spans="1:2" x14ac:dyDescent="0.25">
      <c r="A6049">
        <v>6020</v>
      </c>
      <c r="B6049">
        <v>0.1314775327387184</v>
      </c>
    </row>
    <row r="6050" spans="1:2" x14ac:dyDescent="0.25">
      <c r="A6050">
        <v>6021</v>
      </c>
      <c r="B6050">
        <v>4.6438375021877039E-2</v>
      </c>
    </row>
    <row r="6051" spans="1:2" x14ac:dyDescent="0.25">
      <c r="A6051">
        <v>6022</v>
      </c>
      <c r="B6051">
        <v>0.26403948236756775</v>
      </c>
    </row>
    <row r="6052" spans="1:2" x14ac:dyDescent="0.25">
      <c r="A6052">
        <v>6023</v>
      </c>
      <c r="B6052">
        <v>0.12001387546810315</v>
      </c>
    </row>
    <row r="6053" spans="1:2" x14ac:dyDescent="0.25">
      <c r="A6053">
        <v>6024</v>
      </c>
      <c r="B6053">
        <v>0.19562949116641098</v>
      </c>
    </row>
    <row r="6054" spans="1:2" x14ac:dyDescent="0.25">
      <c r="A6054">
        <v>6025</v>
      </c>
      <c r="B6054">
        <v>0.12397082259270813</v>
      </c>
    </row>
    <row r="6055" spans="1:2" x14ac:dyDescent="0.25">
      <c r="A6055">
        <v>6026</v>
      </c>
      <c r="B6055">
        <v>0.21238845364445985</v>
      </c>
    </row>
    <row r="6056" spans="1:2" x14ac:dyDescent="0.25">
      <c r="A6056">
        <v>6027</v>
      </c>
      <c r="B6056">
        <v>0.24770776269446956</v>
      </c>
    </row>
    <row r="6057" spans="1:2" x14ac:dyDescent="0.25">
      <c r="A6057">
        <v>6028</v>
      </c>
      <c r="B6057">
        <v>0.21473611025452513</v>
      </c>
    </row>
    <row r="6058" spans="1:2" x14ac:dyDescent="0.25">
      <c r="A6058">
        <v>6029</v>
      </c>
      <c r="B6058">
        <v>2.4616676699385366E-2</v>
      </c>
    </row>
    <row r="6059" spans="1:2" x14ac:dyDescent="0.25">
      <c r="A6059">
        <v>6030</v>
      </c>
      <c r="B6059">
        <v>6.5381943237020526E-2</v>
      </c>
    </row>
    <row r="6060" spans="1:2" x14ac:dyDescent="0.25">
      <c r="A6060">
        <v>6031</v>
      </c>
      <c r="B6060">
        <v>0.22127902382161133</v>
      </c>
    </row>
    <row r="6061" spans="1:2" x14ac:dyDescent="0.25">
      <c r="A6061">
        <v>6032</v>
      </c>
      <c r="B6061">
        <v>0.36059516084050552</v>
      </c>
    </row>
    <row r="6062" spans="1:2" x14ac:dyDescent="0.25">
      <c r="A6062">
        <v>6033</v>
      </c>
      <c r="B6062">
        <v>0.17877927541815214</v>
      </c>
    </row>
    <row r="6063" spans="1:2" x14ac:dyDescent="0.25">
      <c r="A6063">
        <v>6034</v>
      </c>
      <c r="B6063">
        <v>3.1470429096109871E-2</v>
      </c>
    </row>
    <row r="6064" spans="1:2" x14ac:dyDescent="0.25">
      <c r="A6064">
        <v>6035</v>
      </c>
      <c r="B6064">
        <v>0.86330975658174958</v>
      </c>
    </row>
    <row r="6065" spans="1:2" x14ac:dyDescent="0.25">
      <c r="A6065">
        <v>6036</v>
      </c>
      <c r="B6065">
        <v>0.2750916842948124</v>
      </c>
    </row>
    <row r="6066" spans="1:2" x14ac:dyDescent="0.25">
      <c r="A6066">
        <v>6037</v>
      </c>
      <c r="B6066">
        <v>0.10412821041584842</v>
      </c>
    </row>
    <row r="6067" spans="1:2" x14ac:dyDescent="0.25">
      <c r="A6067">
        <v>6038</v>
      </c>
      <c r="B6067">
        <v>8.2224300898091851E-2</v>
      </c>
    </row>
    <row r="6068" spans="1:2" x14ac:dyDescent="0.25">
      <c r="A6068">
        <v>6039</v>
      </c>
      <c r="B6068">
        <v>0.14978098384755653</v>
      </c>
    </row>
    <row r="6069" spans="1:2" x14ac:dyDescent="0.25">
      <c r="A6069">
        <v>6040</v>
      </c>
      <c r="B6069">
        <v>0.31944622013297741</v>
      </c>
    </row>
    <row r="6070" spans="1:2" x14ac:dyDescent="0.25">
      <c r="A6070">
        <v>6041</v>
      </c>
      <c r="B6070">
        <v>0.14422269294833984</v>
      </c>
    </row>
    <row r="6071" spans="1:2" x14ac:dyDescent="0.25">
      <c r="A6071">
        <v>6042</v>
      </c>
      <c r="B6071">
        <v>0.19531779607414221</v>
      </c>
    </row>
    <row r="6072" spans="1:2" x14ac:dyDescent="0.25">
      <c r="A6072">
        <v>6043</v>
      </c>
      <c r="B6072">
        <v>0.11041845459048907</v>
      </c>
    </row>
    <row r="6073" spans="1:2" x14ac:dyDescent="0.25">
      <c r="A6073">
        <v>6044</v>
      </c>
      <c r="B6073">
        <v>0.10762442029926489</v>
      </c>
    </row>
    <row r="6074" spans="1:2" x14ac:dyDescent="0.25">
      <c r="A6074">
        <v>6045</v>
      </c>
      <c r="B6074">
        <v>0.12335472458532687</v>
      </c>
    </row>
    <row r="6075" spans="1:2" x14ac:dyDescent="0.25">
      <c r="A6075">
        <v>6046</v>
      </c>
      <c r="B6075">
        <v>0.12240466639261863</v>
      </c>
    </row>
    <row r="6076" spans="1:2" x14ac:dyDescent="0.25">
      <c r="A6076">
        <v>6047</v>
      </c>
      <c r="B6076">
        <v>5.1705897738578158E-2</v>
      </c>
    </row>
    <row r="6077" spans="1:2" x14ac:dyDescent="0.25">
      <c r="A6077">
        <v>6048</v>
      </c>
      <c r="B6077">
        <v>0.1033279320238782</v>
      </c>
    </row>
    <row r="6078" spans="1:2" x14ac:dyDescent="0.25">
      <c r="A6078">
        <v>6049</v>
      </c>
      <c r="B6078">
        <v>0.17601317219347379</v>
      </c>
    </row>
    <row r="6079" spans="1:2" x14ac:dyDescent="0.25">
      <c r="A6079">
        <v>6050</v>
      </c>
      <c r="B6079">
        <v>0.10457204513322012</v>
      </c>
    </row>
    <row r="6080" spans="1:2" x14ac:dyDescent="0.25">
      <c r="A6080">
        <v>6051</v>
      </c>
      <c r="B6080">
        <v>0.31511254750971601</v>
      </c>
    </row>
    <row r="6081" spans="1:2" x14ac:dyDescent="0.25">
      <c r="A6081">
        <v>6052</v>
      </c>
      <c r="B6081">
        <v>0.63314048184232952</v>
      </c>
    </row>
    <row r="6082" spans="1:2" x14ac:dyDescent="0.25">
      <c r="A6082">
        <v>6053</v>
      </c>
      <c r="B6082">
        <v>0.21328375637493721</v>
      </c>
    </row>
    <row r="6083" spans="1:2" x14ac:dyDescent="0.25">
      <c r="A6083">
        <v>6054</v>
      </c>
      <c r="B6083">
        <v>7.9078214137674255E-2</v>
      </c>
    </row>
    <row r="6084" spans="1:2" x14ac:dyDescent="0.25">
      <c r="A6084">
        <v>6055</v>
      </c>
      <c r="B6084">
        <v>0.17325527293463908</v>
      </c>
    </row>
    <row r="6085" spans="1:2" x14ac:dyDescent="0.25">
      <c r="A6085">
        <v>6056</v>
      </c>
      <c r="B6085">
        <v>0.11499216684372082</v>
      </c>
    </row>
    <row r="6086" spans="1:2" x14ac:dyDescent="0.25">
      <c r="A6086">
        <v>6057</v>
      </c>
      <c r="B6086">
        <v>0.17997672652602628</v>
      </c>
    </row>
    <row r="6087" spans="1:2" x14ac:dyDescent="0.25">
      <c r="A6087">
        <v>6058</v>
      </c>
      <c r="B6087">
        <v>0.48844610491177304</v>
      </c>
    </row>
    <row r="6088" spans="1:2" x14ac:dyDescent="0.25">
      <c r="A6088">
        <v>6059</v>
      </c>
      <c r="B6088">
        <v>0.27205279100890778</v>
      </c>
    </row>
    <row r="6089" spans="1:2" x14ac:dyDescent="0.25">
      <c r="A6089">
        <v>6060</v>
      </c>
      <c r="B6089">
        <v>0.14351648831220762</v>
      </c>
    </row>
    <row r="6090" spans="1:2" x14ac:dyDescent="0.25">
      <c r="A6090">
        <v>6061</v>
      </c>
      <c r="B6090">
        <v>0.25830639417682</v>
      </c>
    </row>
    <row r="6091" spans="1:2" x14ac:dyDescent="0.25">
      <c r="A6091">
        <v>6062</v>
      </c>
      <c r="B6091">
        <v>5.5236578166122124E-2</v>
      </c>
    </row>
    <row r="6092" spans="1:2" x14ac:dyDescent="0.25">
      <c r="A6092">
        <v>6063</v>
      </c>
      <c r="B6092">
        <v>0.35971856578746836</v>
      </c>
    </row>
    <row r="6093" spans="1:2" x14ac:dyDescent="0.25">
      <c r="A6093">
        <v>6064</v>
      </c>
      <c r="B6093">
        <v>0.23904591826103472</v>
      </c>
    </row>
    <row r="6094" spans="1:2" x14ac:dyDescent="0.25">
      <c r="A6094">
        <v>6065</v>
      </c>
      <c r="B6094">
        <v>0.28031724924808832</v>
      </c>
    </row>
    <row r="6095" spans="1:2" x14ac:dyDescent="0.25">
      <c r="A6095">
        <v>6066</v>
      </c>
      <c r="B6095">
        <v>0.12862158460834405</v>
      </c>
    </row>
    <row r="6096" spans="1:2" x14ac:dyDescent="0.25">
      <c r="A6096">
        <v>6067</v>
      </c>
      <c r="B6096">
        <v>0.20050088133121743</v>
      </c>
    </row>
    <row r="6097" spans="1:2" x14ac:dyDescent="0.25">
      <c r="A6097">
        <v>6068</v>
      </c>
      <c r="B6097">
        <v>0.24295650803104279</v>
      </c>
    </row>
    <row r="6098" spans="1:2" x14ac:dyDescent="0.25">
      <c r="A6098">
        <v>6069</v>
      </c>
      <c r="B6098">
        <v>0.230897372261676</v>
      </c>
    </row>
    <row r="6099" spans="1:2" x14ac:dyDescent="0.25">
      <c r="A6099">
        <v>6070</v>
      </c>
      <c r="B6099">
        <v>0.25785352306176673</v>
      </c>
    </row>
    <row r="6100" spans="1:2" x14ac:dyDescent="0.25">
      <c r="A6100">
        <v>6071</v>
      </c>
      <c r="B6100">
        <v>0.27012243223156718</v>
      </c>
    </row>
    <row r="6101" spans="1:2" x14ac:dyDescent="0.25">
      <c r="A6101">
        <v>6072</v>
      </c>
      <c r="B6101">
        <v>0.1530978147041003</v>
      </c>
    </row>
    <row r="6102" spans="1:2" x14ac:dyDescent="0.25">
      <c r="A6102">
        <v>6073</v>
      </c>
      <c r="B6102">
        <v>0.49680899709545862</v>
      </c>
    </row>
    <row r="6103" spans="1:2" x14ac:dyDescent="0.25">
      <c r="A6103">
        <v>6074</v>
      </c>
      <c r="B6103">
        <v>0.27685011710897256</v>
      </c>
    </row>
    <row r="6104" spans="1:2" x14ac:dyDescent="0.25">
      <c r="A6104">
        <v>6075</v>
      </c>
      <c r="B6104">
        <v>0.18271659550734065</v>
      </c>
    </row>
    <row r="6105" spans="1:2" x14ac:dyDescent="0.25">
      <c r="A6105">
        <v>6076</v>
      </c>
      <c r="B6105">
        <v>0.19331626233293983</v>
      </c>
    </row>
    <row r="6106" spans="1:2" x14ac:dyDescent="0.25">
      <c r="A6106">
        <v>6077</v>
      </c>
      <c r="B6106">
        <v>0.13741348954372146</v>
      </c>
    </row>
    <row r="6107" spans="1:2" x14ac:dyDescent="0.25">
      <c r="A6107">
        <v>6078</v>
      </c>
      <c r="B6107">
        <v>0.1824062716598886</v>
      </c>
    </row>
    <row r="6108" spans="1:2" x14ac:dyDescent="0.25">
      <c r="A6108">
        <v>6079</v>
      </c>
      <c r="B6108">
        <v>0.12634117033252171</v>
      </c>
    </row>
    <row r="6109" spans="1:2" x14ac:dyDescent="0.25">
      <c r="A6109">
        <v>6080</v>
      </c>
      <c r="B6109">
        <v>0.12617068989612723</v>
      </c>
    </row>
    <row r="6110" spans="1:2" x14ac:dyDescent="0.25">
      <c r="A6110">
        <v>6081</v>
      </c>
      <c r="B6110">
        <v>0.22529538823888351</v>
      </c>
    </row>
    <row r="6111" spans="1:2" x14ac:dyDescent="0.25">
      <c r="A6111">
        <v>6082</v>
      </c>
      <c r="B6111">
        <v>0.13875057709744623</v>
      </c>
    </row>
    <row r="6112" spans="1:2" x14ac:dyDescent="0.25">
      <c r="A6112">
        <v>6083</v>
      </c>
      <c r="B6112">
        <v>8.7441624588221703E-2</v>
      </c>
    </row>
    <row r="6113" spans="1:2" x14ac:dyDescent="0.25">
      <c r="A6113">
        <v>6084</v>
      </c>
      <c r="B6113">
        <v>0.16480952123703746</v>
      </c>
    </row>
    <row r="6114" spans="1:2" x14ac:dyDescent="0.25">
      <c r="A6114">
        <v>6085</v>
      </c>
      <c r="B6114">
        <v>0.2554911112788435</v>
      </c>
    </row>
    <row r="6115" spans="1:2" x14ac:dyDescent="0.25">
      <c r="A6115">
        <v>6086</v>
      </c>
      <c r="B6115">
        <v>0.42345536018211116</v>
      </c>
    </row>
    <row r="6116" spans="1:2" x14ac:dyDescent="0.25">
      <c r="A6116">
        <v>6087</v>
      </c>
      <c r="B6116">
        <v>0.17469119076340334</v>
      </c>
    </row>
    <row r="6117" spans="1:2" x14ac:dyDescent="0.25">
      <c r="A6117">
        <v>6088</v>
      </c>
      <c r="B6117">
        <v>0.28785215536917275</v>
      </c>
    </row>
    <row r="6118" spans="1:2" x14ac:dyDescent="0.25">
      <c r="A6118">
        <v>6089</v>
      </c>
      <c r="B6118">
        <v>0.34779715812010564</v>
      </c>
    </row>
    <row r="6119" spans="1:2" x14ac:dyDescent="0.25">
      <c r="A6119">
        <v>6090</v>
      </c>
      <c r="B6119">
        <v>0.22350357919526298</v>
      </c>
    </row>
    <row r="6120" spans="1:2" x14ac:dyDescent="0.25">
      <c r="A6120">
        <v>6091</v>
      </c>
      <c r="B6120">
        <v>0.1865140258986536</v>
      </c>
    </row>
    <row r="6121" spans="1:2" x14ac:dyDescent="0.25">
      <c r="A6121">
        <v>6092</v>
      </c>
      <c r="B6121">
        <v>0.10028365351593951</v>
      </c>
    </row>
    <row r="6122" spans="1:2" x14ac:dyDescent="0.25">
      <c r="A6122">
        <v>6093</v>
      </c>
      <c r="B6122">
        <v>0.19526619309695648</v>
      </c>
    </row>
    <row r="6123" spans="1:2" x14ac:dyDescent="0.25">
      <c r="A6123">
        <v>6094</v>
      </c>
      <c r="B6123">
        <v>0.11594575109080453</v>
      </c>
    </row>
    <row r="6124" spans="1:2" x14ac:dyDescent="0.25">
      <c r="A6124">
        <v>6095</v>
      </c>
      <c r="B6124">
        <v>0.11429658575367245</v>
      </c>
    </row>
    <row r="6125" spans="1:2" x14ac:dyDescent="0.25">
      <c r="A6125">
        <v>6096</v>
      </c>
      <c r="B6125">
        <v>0.26228346081870102</v>
      </c>
    </row>
    <row r="6126" spans="1:2" x14ac:dyDescent="0.25">
      <c r="A6126">
        <v>6097</v>
      </c>
      <c r="B6126">
        <v>0.18042670684690068</v>
      </c>
    </row>
    <row r="6127" spans="1:2" x14ac:dyDescent="0.25">
      <c r="A6127">
        <v>6098</v>
      </c>
      <c r="B6127">
        <v>0.2219142808871214</v>
      </c>
    </row>
    <row r="6128" spans="1:2" x14ac:dyDescent="0.25">
      <c r="A6128">
        <v>6099</v>
      </c>
      <c r="B6128">
        <v>0.16000006157801677</v>
      </c>
    </row>
    <row r="6129" spans="1:2" x14ac:dyDescent="0.25">
      <c r="A6129">
        <v>6100</v>
      </c>
      <c r="B6129">
        <v>0.24751717762224038</v>
      </c>
    </row>
    <row r="6130" spans="1:2" x14ac:dyDescent="0.25">
      <c r="A6130">
        <v>6101</v>
      </c>
      <c r="B6130">
        <v>0.15894802586791185</v>
      </c>
    </row>
    <row r="6131" spans="1:2" x14ac:dyDescent="0.25">
      <c r="A6131">
        <v>6102</v>
      </c>
      <c r="B6131">
        <v>6.4550184949724906E-2</v>
      </c>
    </row>
    <row r="6132" spans="1:2" x14ac:dyDescent="0.25">
      <c r="A6132">
        <v>6103</v>
      </c>
      <c r="B6132">
        <v>0.18619994409933749</v>
      </c>
    </row>
    <row r="6133" spans="1:2" x14ac:dyDescent="0.25">
      <c r="A6133">
        <v>6104</v>
      </c>
      <c r="B6133">
        <v>9.1173922626270595E-2</v>
      </c>
    </row>
    <row r="6134" spans="1:2" x14ac:dyDescent="0.25">
      <c r="A6134">
        <v>6105</v>
      </c>
      <c r="B6134">
        <v>0.11922455651281889</v>
      </c>
    </row>
    <row r="6135" spans="1:2" x14ac:dyDescent="0.25">
      <c r="A6135">
        <v>6106</v>
      </c>
      <c r="B6135">
        <v>0.16293400622809034</v>
      </c>
    </row>
    <row r="6136" spans="1:2" x14ac:dyDescent="0.25">
      <c r="A6136">
        <v>6107</v>
      </c>
      <c r="B6136">
        <v>0.11876404681270548</v>
      </c>
    </row>
    <row r="6137" spans="1:2" x14ac:dyDescent="0.25">
      <c r="A6137">
        <v>6108</v>
      </c>
      <c r="B6137">
        <v>0.18949421780850592</v>
      </c>
    </row>
    <row r="6138" spans="1:2" x14ac:dyDescent="0.25">
      <c r="A6138">
        <v>6109</v>
      </c>
      <c r="B6138">
        <v>0.15167527651170043</v>
      </c>
    </row>
    <row r="6139" spans="1:2" x14ac:dyDescent="0.25">
      <c r="A6139">
        <v>6110</v>
      </c>
      <c r="B6139">
        <v>0.22557565483674213</v>
      </c>
    </row>
    <row r="6140" spans="1:2" x14ac:dyDescent="0.25">
      <c r="A6140">
        <v>6111</v>
      </c>
      <c r="B6140">
        <v>0.13869958709873587</v>
      </c>
    </row>
    <row r="6141" spans="1:2" x14ac:dyDescent="0.25">
      <c r="A6141">
        <v>6112</v>
      </c>
      <c r="B6141">
        <v>0.27821725920228019</v>
      </c>
    </row>
    <row r="6142" spans="1:2" x14ac:dyDescent="0.25">
      <c r="A6142">
        <v>6113</v>
      </c>
      <c r="B6142">
        <v>0.28139969171352147</v>
      </c>
    </row>
    <row r="6143" spans="1:2" x14ac:dyDescent="0.25">
      <c r="A6143">
        <v>6114</v>
      </c>
      <c r="B6143">
        <v>0.20702436542336031</v>
      </c>
    </row>
    <row r="6144" spans="1:2" x14ac:dyDescent="0.25">
      <c r="A6144">
        <v>6115</v>
      </c>
      <c r="B6144">
        <v>0.13621860949896827</v>
      </c>
    </row>
    <row r="6145" spans="1:2" x14ac:dyDescent="0.25">
      <c r="A6145">
        <v>6116</v>
      </c>
      <c r="B6145">
        <v>0.48795444007055189</v>
      </c>
    </row>
    <row r="6146" spans="1:2" x14ac:dyDescent="0.25">
      <c r="A6146">
        <v>6117</v>
      </c>
      <c r="B6146">
        <v>0.21590197859630755</v>
      </c>
    </row>
    <row r="6147" spans="1:2" x14ac:dyDescent="0.25">
      <c r="A6147">
        <v>6118</v>
      </c>
      <c r="B6147">
        <v>0.46842425377618624</v>
      </c>
    </row>
    <row r="6148" spans="1:2" x14ac:dyDescent="0.25">
      <c r="A6148">
        <v>6119</v>
      </c>
      <c r="B6148">
        <v>0.11267642606906775</v>
      </c>
    </row>
    <row r="6149" spans="1:2" x14ac:dyDescent="0.25">
      <c r="A6149">
        <v>6120</v>
      </c>
      <c r="B6149">
        <v>6.8319090294667512E-2</v>
      </c>
    </row>
    <row r="6150" spans="1:2" x14ac:dyDescent="0.25">
      <c r="A6150">
        <v>6121</v>
      </c>
      <c r="B6150">
        <v>0.20683166779930623</v>
      </c>
    </row>
    <row r="6151" spans="1:2" x14ac:dyDescent="0.25">
      <c r="A6151">
        <v>6122</v>
      </c>
      <c r="B6151">
        <v>0.23926969356383984</v>
      </c>
    </row>
    <row r="6152" spans="1:2" x14ac:dyDescent="0.25">
      <c r="A6152">
        <v>6123</v>
      </c>
      <c r="B6152">
        <v>0.52201145800738913</v>
      </c>
    </row>
    <row r="6153" spans="1:2" x14ac:dyDescent="0.25">
      <c r="A6153">
        <v>6124</v>
      </c>
      <c r="B6153">
        <v>0.17050034697820685</v>
      </c>
    </row>
    <row r="6154" spans="1:2" x14ac:dyDescent="0.25">
      <c r="A6154">
        <v>6125</v>
      </c>
      <c r="B6154">
        <v>0.20491300870452145</v>
      </c>
    </row>
    <row r="6155" spans="1:2" x14ac:dyDescent="0.25">
      <c r="A6155">
        <v>6126</v>
      </c>
      <c r="B6155">
        <v>0.17583319997445451</v>
      </c>
    </row>
    <row r="6156" spans="1:2" x14ac:dyDescent="0.25">
      <c r="A6156">
        <v>6127</v>
      </c>
      <c r="B6156">
        <v>6.5917763559900408E-2</v>
      </c>
    </row>
    <row r="6157" spans="1:2" x14ac:dyDescent="0.25">
      <c r="A6157">
        <v>6128</v>
      </c>
      <c r="B6157">
        <v>0.26800048472295779</v>
      </c>
    </row>
    <row r="6158" spans="1:2" x14ac:dyDescent="0.25">
      <c r="A6158">
        <v>6129</v>
      </c>
      <c r="B6158">
        <v>0.35210492471229232</v>
      </c>
    </row>
    <row r="6159" spans="1:2" x14ac:dyDescent="0.25">
      <c r="A6159">
        <v>6130</v>
      </c>
      <c r="B6159">
        <v>1.3208326971886926</v>
      </c>
    </row>
    <row r="6160" spans="1:2" x14ac:dyDescent="0.25">
      <c r="A6160">
        <v>6131</v>
      </c>
      <c r="B6160">
        <v>9.394782687929934E-2</v>
      </c>
    </row>
    <row r="6161" spans="1:2" x14ac:dyDescent="0.25">
      <c r="A6161">
        <v>6132</v>
      </c>
      <c r="B6161">
        <v>9.4656423167790688E-2</v>
      </c>
    </row>
    <row r="6162" spans="1:2" x14ac:dyDescent="0.25">
      <c r="A6162">
        <v>6133</v>
      </c>
      <c r="B6162">
        <v>8.268936249371299E-2</v>
      </c>
    </row>
    <row r="6163" spans="1:2" x14ac:dyDescent="0.25">
      <c r="A6163">
        <v>6134</v>
      </c>
      <c r="B6163">
        <v>0.19202088806039952</v>
      </c>
    </row>
    <row r="6164" spans="1:2" x14ac:dyDescent="0.25">
      <c r="A6164">
        <v>6135</v>
      </c>
      <c r="B6164">
        <v>9.0162930718181239E-2</v>
      </c>
    </row>
    <row r="6165" spans="1:2" x14ac:dyDescent="0.25">
      <c r="A6165">
        <v>6136</v>
      </c>
      <c r="B6165">
        <v>0.1903966357608933</v>
      </c>
    </row>
    <row r="6166" spans="1:2" x14ac:dyDescent="0.25">
      <c r="A6166">
        <v>6137</v>
      </c>
      <c r="B6166">
        <v>0.2617386912443504</v>
      </c>
    </row>
    <row r="6167" spans="1:2" x14ac:dyDescent="0.25">
      <c r="A6167">
        <v>6138</v>
      </c>
      <c r="B6167">
        <v>3.4256450560762708E-2</v>
      </c>
    </row>
    <row r="6168" spans="1:2" x14ac:dyDescent="0.25">
      <c r="A6168">
        <v>6139</v>
      </c>
      <c r="B6168">
        <v>0.25798676768150242</v>
      </c>
    </row>
    <row r="6169" spans="1:2" x14ac:dyDescent="0.25">
      <c r="A6169">
        <v>6140</v>
      </c>
      <c r="B6169">
        <v>1.2131734074259186</v>
      </c>
    </row>
    <row r="6170" spans="1:2" x14ac:dyDescent="0.25">
      <c r="A6170">
        <v>6141</v>
      </c>
      <c r="B6170">
        <v>7.9409558809304781E-2</v>
      </c>
    </row>
    <row r="6171" spans="1:2" x14ac:dyDescent="0.25">
      <c r="A6171">
        <v>6142</v>
      </c>
      <c r="B6171">
        <v>0.2887152371999579</v>
      </c>
    </row>
    <row r="6172" spans="1:2" x14ac:dyDescent="0.25">
      <c r="A6172">
        <v>6143</v>
      </c>
      <c r="B6172">
        <v>8.5278656164819069E-2</v>
      </c>
    </row>
    <row r="6173" spans="1:2" x14ac:dyDescent="0.25">
      <c r="A6173">
        <v>6144</v>
      </c>
      <c r="B6173">
        <v>9.3796550594843972E-2</v>
      </c>
    </row>
    <row r="6174" spans="1:2" x14ac:dyDescent="0.25">
      <c r="A6174">
        <v>6145</v>
      </c>
      <c r="B6174">
        <v>0.16402478145682514</v>
      </c>
    </row>
    <row r="6175" spans="1:2" x14ac:dyDescent="0.25">
      <c r="A6175">
        <v>6146</v>
      </c>
      <c r="B6175">
        <v>0.1995906802111857</v>
      </c>
    </row>
    <row r="6176" spans="1:2" x14ac:dyDescent="0.25">
      <c r="A6176">
        <v>6147</v>
      </c>
      <c r="B6176">
        <v>8.6349205470448942E-2</v>
      </c>
    </row>
    <row r="6177" spans="1:2" x14ac:dyDescent="0.25">
      <c r="A6177">
        <v>6148</v>
      </c>
      <c r="B6177">
        <v>6.4010839258572899E-2</v>
      </c>
    </row>
    <row r="6178" spans="1:2" x14ac:dyDescent="0.25">
      <c r="A6178">
        <v>6149</v>
      </c>
      <c r="B6178">
        <v>5.8403665121074012E-2</v>
      </c>
    </row>
    <row r="6179" spans="1:2" x14ac:dyDescent="0.25">
      <c r="A6179">
        <v>6150</v>
      </c>
      <c r="B6179">
        <v>0.27864962042020469</v>
      </c>
    </row>
    <row r="6180" spans="1:2" x14ac:dyDescent="0.25">
      <c r="A6180">
        <v>6151</v>
      </c>
      <c r="B6180">
        <v>0.19791006760560817</v>
      </c>
    </row>
    <row r="6181" spans="1:2" x14ac:dyDescent="0.25">
      <c r="A6181">
        <v>6152</v>
      </c>
      <c r="B6181">
        <v>0.53648086223653169</v>
      </c>
    </row>
    <row r="6182" spans="1:2" x14ac:dyDescent="0.25">
      <c r="A6182">
        <v>6153</v>
      </c>
      <c r="B6182">
        <v>3.3067219924296794E-2</v>
      </c>
    </row>
    <row r="6183" spans="1:2" x14ac:dyDescent="0.25">
      <c r="A6183">
        <v>6154</v>
      </c>
      <c r="B6183">
        <v>0.23845078033930953</v>
      </c>
    </row>
    <row r="6184" spans="1:2" x14ac:dyDescent="0.25">
      <c r="A6184">
        <v>6155</v>
      </c>
      <c r="B6184">
        <v>0.16259450238937057</v>
      </c>
    </row>
    <row r="6185" spans="1:2" x14ac:dyDescent="0.25">
      <c r="A6185">
        <v>6156</v>
      </c>
      <c r="B6185">
        <v>0.14199844900761066</v>
      </c>
    </row>
    <row r="6186" spans="1:2" x14ac:dyDescent="0.25">
      <c r="A6186">
        <v>6157</v>
      </c>
      <c r="B6186">
        <v>0.35573128285049799</v>
      </c>
    </row>
    <row r="6187" spans="1:2" x14ac:dyDescent="0.25">
      <c r="A6187">
        <v>6158</v>
      </c>
      <c r="B6187">
        <v>7.3951682970226737E-2</v>
      </c>
    </row>
    <row r="6188" spans="1:2" x14ac:dyDescent="0.25">
      <c r="A6188">
        <v>6159</v>
      </c>
      <c r="B6188">
        <v>0.29537213053711681</v>
      </c>
    </row>
    <row r="6189" spans="1:2" x14ac:dyDescent="0.25">
      <c r="A6189">
        <v>6160</v>
      </c>
      <c r="B6189">
        <v>0.60126183439173897</v>
      </c>
    </row>
    <row r="6190" spans="1:2" x14ac:dyDescent="0.25">
      <c r="A6190">
        <v>6161</v>
      </c>
      <c r="B6190">
        <v>0.11089674778683339</v>
      </c>
    </row>
    <row r="6191" spans="1:2" x14ac:dyDescent="0.25">
      <c r="A6191">
        <v>6162</v>
      </c>
      <c r="B6191">
        <v>0.24631193396770754</v>
      </c>
    </row>
    <row r="6192" spans="1:2" x14ac:dyDescent="0.25">
      <c r="A6192">
        <v>6163</v>
      </c>
      <c r="B6192">
        <v>0.14330293458111223</v>
      </c>
    </row>
    <row r="6193" spans="1:2" x14ac:dyDescent="0.25">
      <c r="A6193">
        <v>6164</v>
      </c>
      <c r="B6193">
        <v>0.18396651950003934</v>
      </c>
    </row>
    <row r="6194" spans="1:2" x14ac:dyDescent="0.25">
      <c r="A6194">
        <v>6165</v>
      </c>
      <c r="B6194">
        <v>6.5860592834376286E-2</v>
      </c>
    </row>
    <row r="6195" spans="1:2" x14ac:dyDescent="0.25">
      <c r="A6195">
        <v>6166</v>
      </c>
      <c r="B6195">
        <v>0.17255560584432889</v>
      </c>
    </row>
    <row r="6196" spans="1:2" x14ac:dyDescent="0.25">
      <c r="A6196">
        <v>6167</v>
      </c>
      <c r="B6196">
        <v>2.7466413027410441E-2</v>
      </c>
    </row>
    <row r="6197" spans="1:2" x14ac:dyDescent="0.25">
      <c r="A6197">
        <v>6168</v>
      </c>
      <c r="B6197">
        <v>0.19547084954385366</v>
      </c>
    </row>
    <row r="6198" spans="1:2" x14ac:dyDescent="0.25">
      <c r="A6198">
        <v>6169</v>
      </c>
      <c r="B6198">
        <v>0.21846233030951329</v>
      </c>
    </row>
    <row r="6199" spans="1:2" x14ac:dyDescent="0.25">
      <c r="A6199">
        <v>6170</v>
      </c>
      <c r="B6199">
        <v>0.13914168540670965</v>
      </c>
    </row>
    <row r="6200" spans="1:2" x14ac:dyDescent="0.25">
      <c r="A6200">
        <v>6171</v>
      </c>
      <c r="B6200">
        <v>0.64782512708423712</v>
      </c>
    </row>
    <row r="6201" spans="1:2" x14ac:dyDescent="0.25">
      <c r="A6201">
        <v>6172</v>
      </c>
      <c r="B6201">
        <v>0.15690472860191837</v>
      </c>
    </row>
    <row r="6202" spans="1:2" x14ac:dyDescent="0.25">
      <c r="A6202">
        <v>6173</v>
      </c>
      <c r="B6202">
        <v>0.16660893499399387</v>
      </c>
    </row>
    <row r="6203" spans="1:2" x14ac:dyDescent="0.25">
      <c r="A6203">
        <v>6174</v>
      </c>
      <c r="B6203">
        <v>3.6093888320582822E-2</v>
      </c>
    </row>
    <row r="6204" spans="1:2" x14ac:dyDescent="0.25">
      <c r="A6204">
        <v>6175</v>
      </c>
      <c r="B6204">
        <v>0.17811960991505385</v>
      </c>
    </row>
    <row r="6205" spans="1:2" x14ac:dyDescent="0.25">
      <c r="A6205">
        <v>6176</v>
      </c>
      <c r="B6205">
        <v>0.40405761075918545</v>
      </c>
    </row>
    <row r="6206" spans="1:2" x14ac:dyDescent="0.25">
      <c r="A6206">
        <v>6177</v>
      </c>
      <c r="B6206">
        <v>1.3181890657965887</v>
      </c>
    </row>
    <row r="6207" spans="1:2" x14ac:dyDescent="0.25">
      <c r="A6207">
        <v>6178</v>
      </c>
      <c r="B6207">
        <v>8.8104768518732307E-2</v>
      </c>
    </row>
    <row r="6208" spans="1:2" x14ac:dyDescent="0.25">
      <c r="A6208">
        <v>6179</v>
      </c>
      <c r="B6208">
        <v>9.4726155670539339E-2</v>
      </c>
    </row>
    <row r="6209" spans="1:2" x14ac:dyDescent="0.25">
      <c r="A6209">
        <v>6180</v>
      </c>
      <c r="B6209">
        <v>0.27531236645976254</v>
      </c>
    </row>
    <row r="6210" spans="1:2" x14ac:dyDescent="0.25">
      <c r="A6210">
        <v>6181</v>
      </c>
      <c r="B6210">
        <v>0.20503570067017801</v>
      </c>
    </row>
    <row r="6211" spans="1:2" x14ac:dyDescent="0.25">
      <c r="A6211">
        <v>6182</v>
      </c>
      <c r="B6211">
        <v>5.8099427851352768E-2</v>
      </c>
    </row>
    <row r="6212" spans="1:2" x14ac:dyDescent="0.25">
      <c r="A6212">
        <v>6183</v>
      </c>
      <c r="B6212">
        <v>4.951738365395842E-2</v>
      </c>
    </row>
    <row r="6213" spans="1:2" x14ac:dyDescent="0.25">
      <c r="A6213">
        <v>6184</v>
      </c>
      <c r="B6213">
        <v>6.9105983996572237E-2</v>
      </c>
    </row>
    <row r="6214" spans="1:2" x14ac:dyDescent="0.25">
      <c r="A6214">
        <v>6185</v>
      </c>
      <c r="B6214">
        <v>0.32244557841664956</v>
      </c>
    </row>
    <row r="6215" spans="1:2" x14ac:dyDescent="0.25">
      <c r="A6215">
        <v>6186</v>
      </c>
      <c r="B6215">
        <v>0.29145478853489282</v>
      </c>
    </row>
    <row r="6216" spans="1:2" x14ac:dyDescent="0.25">
      <c r="A6216">
        <v>6187</v>
      </c>
      <c r="B6216">
        <v>5.0859537217568571E-2</v>
      </c>
    </row>
    <row r="6217" spans="1:2" x14ac:dyDescent="0.25">
      <c r="A6217">
        <v>6188</v>
      </c>
      <c r="B6217">
        <v>9.6561693084078692E-2</v>
      </c>
    </row>
    <row r="6218" spans="1:2" x14ac:dyDescent="0.25">
      <c r="A6218">
        <v>6189</v>
      </c>
      <c r="B6218">
        <v>0.19979510168159892</v>
      </c>
    </row>
    <row r="6219" spans="1:2" x14ac:dyDescent="0.25">
      <c r="A6219">
        <v>6190</v>
      </c>
      <c r="B6219">
        <v>0.13706380908412666</v>
      </c>
    </row>
    <row r="6220" spans="1:2" x14ac:dyDescent="0.25">
      <c r="A6220">
        <v>6191</v>
      </c>
      <c r="B6220">
        <v>0.83191682449748772</v>
      </c>
    </row>
    <row r="6221" spans="1:2" x14ac:dyDescent="0.25">
      <c r="A6221">
        <v>6192</v>
      </c>
      <c r="B6221">
        <v>0.81431442050975933</v>
      </c>
    </row>
    <row r="6222" spans="1:2" x14ac:dyDescent="0.25">
      <c r="A6222">
        <v>6193</v>
      </c>
      <c r="B6222">
        <v>0.47312273769963475</v>
      </c>
    </row>
    <row r="6223" spans="1:2" x14ac:dyDescent="0.25">
      <c r="A6223">
        <v>6194</v>
      </c>
      <c r="B6223">
        <v>0.32415734664427548</v>
      </c>
    </row>
    <row r="6224" spans="1:2" x14ac:dyDescent="0.25">
      <c r="A6224">
        <v>6195</v>
      </c>
      <c r="B6224">
        <v>0.16558505045999111</v>
      </c>
    </row>
    <row r="6225" spans="1:2" x14ac:dyDescent="0.25">
      <c r="A6225">
        <v>6196</v>
      </c>
      <c r="B6225">
        <v>0.24698480860204494</v>
      </c>
    </row>
    <row r="6226" spans="1:2" x14ac:dyDescent="0.25">
      <c r="A6226">
        <v>6197</v>
      </c>
      <c r="B6226">
        <v>0.32323536818216375</v>
      </c>
    </row>
    <row r="6227" spans="1:2" x14ac:dyDescent="0.25">
      <c r="A6227">
        <v>6198</v>
      </c>
      <c r="B6227">
        <v>0.61951762347485129</v>
      </c>
    </row>
    <row r="6228" spans="1:2" x14ac:dyDescent="0.25">
      <c r="A6228">
        <v>6199</v>
      </c>
      <c r="B6228">
        <v>0.14892765514387865</v>
      </c>
    </row>
    <row r="6229" spans="1:2" x14ac:dyDescent="0.25">
      <c r="A6229">
        <v>6200</v>
      </c>
      <c r="B6229">
        <v>0.27317683704923634</v>
      </c>
    </row>
    <row r="6230" spans="1:2" x14ac:dyDescent="0.25">
      <c r="A6230">
        <v>6201</v>
      </c>
      <c r="B6230">
        <v>0.17827123261636119</v>
      </c>
    </row>
    <row r="6231" spans="1:2" x14ac:dyDescent="0.25">
      <c r="A6231">
        <v>6202</v>
      </c>
      <c r="B6231">
        <v>0.20841859042169938</v>
      </c>
    </row>
    <row r="6232" spans="1:2" x14ac:dyDescent="0.25">
      <c r="A6232">
        <v>6203</v>
      </c>
      <c r="B6232">
        <v>0.17355143254175182</v>
      </c>
    </row>
    <row r="6233" spans="1:2" x14ac:dyDescent="0.25">
      <c r="A6233">
        <v>6204</v>
      </c>
      <c r="B6233">
        <v>6.3349625004250967E-2</v>
      </c>
    </row>
    <row r="6234" spans="1:2" x14ac:dyDescent="0.25">
      <c r="A6234">
        <v>6205</v>
      </c>
      <c r="B6234">
        <v>4.2536607777907104E-2</v>
      </c>
    </row>
    <row r="6235" spans="1:2" x14ac:dyDescent="0.25">
      <c r="A6235">
        <v>6206</v>
      </c>
      <c r="B6235">
        <v>0.16477192916077232</v>
      </c>
    </row>
    <row r="6236" spans="1:2" x14ac:dyDescent="0.25">
      <c r="A6236">
        <v>6207</v>
      </c>
      <c r="B6236">
        <v>0.23295172966071309</v>
      </c>
    </row>
    <row r="6237" spans="1:2" x14ac:dyDescent="0.25">
      <c r="A6237">
        <v>6208</v>
      </c>
      <c r="B6237">
        <v>0.47128867867507651</v>
      </c>
    </row>
    <row r="6238" spans="1:2" x14ac:dyDescent="0.25">
      <c r="A6238">
        <v>6209</v>
      </c>
      <c r="B6238">
        <v>0.15609509842939781</v>
      </c>
    </row>
    <row r="6239" spans="1:2" x14ac:dyDescent="0.25">
      <c r="A6239">
        <v>6210</v>
      </c>
      <c r="B6239">
        <v>0.26041752901637949</v>
      </c>
    </row>
    <row r="6240" spans="1:2" x14ac:dyDescent="0.25">
      <c r="A6240">
        <v>6211</v>
      </c>
      <c r="B6240">
        <v>0.22861210830351894</v>
      </c>
    </row>
    <row r="6241" spans="1:2" x14ac:dyDescent="0.25">
      <c r="A6241">
        <v>6212</v>
      </c>
      <c r="B6241">
        <v>0.19903552991541329</v>
      </c>
    </row>
    <row r="6242" spans="1:2" x14ac:dyDescent="0.25">
      <c r="A6242">
        <v>6213</v>
      </c>
      <c r="B6242">
        <v>0.26433202431155745</v>
      </c>
    </row>
    <row r="6243" spans="1:2" x14ac:dyDescent="0.25">
      <c r="A6243">
        <v>6214</v>
      </c>
      <c r="B6243">
        <v>0.10228842451770979</v>
      </c>
    </row>
    <row r="6244" spans="1:2" x14ac:dyDescent="0.25">
      <c r="A6244">
        <v>6215</v>
      </c>
      <c r="B6244">
        <v>0.15374313656903793</v>
      </c>
    </row>
    <row r="6245" spans="1:2" x14ac:dyDescent="0.25">
      <c r="A6245">
        <v>6216</v>
      </c>
      <c r="B6245">
        <v>0.13863573227040202</v>
      </c>
    </row>
    <row r="6246" spans="1:2" x14ac:dyDescent="0.25">
      <c r="A6246">
        <v>6217</v>
      </c>
      <c r="B6246">
        <v>0.16857927202324177</v>
      </c>
    </row>
    <row r="6247" spans="1:2" x14ac:dyDescent="0.25">
      <c r="A6247">
        <v>6218</v>
      </c>
      <c r="B6247">
        <v>0.18786795245132157</v>
      </c>
    </row>
    <row r="6248" spans="1:2" x14ac:dyDescent="0.25">
      <c r="A6248">
        <v>6219</v>
      </c>
      <c r="B6248">
        <v>0.24644956865669174</v>
      </c>
    </row>
    <row r="6249" spans="1:2" x14ac:dyDescent="0.25">
      <c r="A6249">
        <v>6220</v>
      </c>
      <c r="B6249">
        <v>6.339234494695678E-2</v>
      </c>
    </row>
    <row r="6250" spans="1:2" x14ac:dyDescent="0.25">
      <c r="A6250">
        <v>6221</v>
      </c>
      <c r="B6250">
        <v>0.12974035438068524</v>
      </c>
    </row>
    <row r="6251" spans="1:2" x14ac:dyDescent="0.25">
      <c r="A6251">
        <v>6222</v>
      </c>
      <c r="B6251">
        <v>0.11454830300878914</v>
      </c>
    </row>
    <row r="6252" spans="1:2" x14ac:dyDescent="0.25">
      <c r="A6252">
        <v>6223</v>
      </c>
      <c r="B6252">
        <v>0.19536883504404903</v>
      </c>
    </row>
    <row r="6253" spans="1:2" x14ac:dyDescent="0.25">
      <c r="A6253">
        <v>6224</v>
      </c>
      <c r="B6253">
        <v>0.29100406393512768</v>
      </c>
    </row>
    <row r="6254" spans="1:2" x14ac:dyDescent="0.25">
      <c r="A6254">
        <v>6225</v>
      </c>
      <c r="B6254">
        <v>0.14495316196966193</v>
      </c>
    </row>
    <row r="6255" spans="1:2" x14ac:dyDescent="0.25">
      <c r="A6255">
        <v>6226</v>
      </c>
      <c r="B6255">
        <v>0.14393601942922535</v>
      </c>
    </row>
    <row r="6256" spans="1:2" x14ac:dyDescent="0.25">
      <c r="A6256">
        <v>6227</v>
      </c>
      <c r="B6256">
        <v>0.18533432724838034</v>
      </c>
    </row>
    <row r="6257" spans="1:2" x14ac:dyDescent="0.25">
      <c r="A6257">
        <v>6228</v>
      </c>
      <c r="B6257">
        <v>0.12845397179589224</v>
      </c>
    </row>
    <row r="6258" spans="1:2" x14ac:dyDescent="0.25">
      <c r="A6258">
        <v>6229</v>
      </c>
      <c r="B6258">
        <v>0.17944888664829506</v>
      </c>
    </row>
    <row r="6259" spans="1:2" x14ac:dyDescent="0.25">
      <c r="A6259">
        <v>6230</v>
      </c>
      <c r="B6259">
        <v>0.16849213801345525</v>
      </c>
    </row>
    <row r="6260" spans="1:2" x14ac:dyDescent="0.25">
      <c r="A6260">
        <v>6231</v>
      </c>
      <c r="B6260">
        <v>0.15990279937723795</v>
      </c>
    </row>
    <row r="6261" spans="1:2" x14ac:dyDescent="0.25">
      <c r="A6261">
        <v>6232</v>
      </c>
      <c r="B6261">
        <v>9.3632894123432314E-2</v>
      </c>
    </row>
    <row r="6262" spans="1:2" x14ac:dyDescent="0.25">
      <c r="A6262">
        <v>6233</v>
      </c>
      <c r="B6262">
        <v>0.16272709343798017</v>
      </c>
    </row>
    <row r="6263" spans="1:2" x14ac:dyDescent="0.25">
      <c r="A6263">
        <v>6234</v>
      </c>
      <c r="B6263">
        <v>9.5581216408798172E-2</v>
      </c>
    </row>
    <row r="6264" spans="1:2" x14ac:dyDescent="0.25">
      <c r="A6264">
        <v>6235</v>
      </c>
      <c r="B6264">
        <v>0.16604599344641047</v>
      </c>
    </row>
    <row r="6265" spans="1:2" x14ac:dyDescent="0.25">
      <c r="A6265">
        <v>6236</v>
      </c>
      <c r="B6265">
        <v>0.40524974372924144</v>
      </c>
    </row>
    <row r="6266" spans="1:2" x14ac:dyDescent="0.25">
      <c r="A6266">
        <v>6237</v>
      </c>
      <c r="B6266">
        <v>8.4829542313689624E-2</v>
      </c>
    </row>
    <row r="6267" spans="1:2" x14ac:dyDescent="0.25">
      <c r="A6267">
        <v>6238</v>
      </c>
      <c r="B6267">
        <v>0.18139415155753555</v>
      </c>
    </row>
    <row r="6268" spans="1:2" x14ac:dyDescent="0.25">
      <c r="A6268">
        <v>6239</v>
      </c>
      <c r="B6268">
        <v>0.24776994310839384</v>
      </c>
    </row>
    <row r="6269" spans="1:2" x14ac:dyDescent="0.25">
      <c r="A6269">
        <v>6240</v>
      </c>
      <c r="B6269">
        <v>0.18473576281132395</v>
      </c>
    </row>
    <row r="6270" spans="1:2" x14ac:dyDescent="0.25">
      <c r="A6270">
        <v>6241</v>
      </c>
      <c r="B6270">
        <v>0.15283036332067104</v>
      </c>
    </row>
    <row r="6271" spans="1:2" x14ac:dyDescent="0.25">
      <c r="A6271">
        <v>6242</v>
      </c>
      <c r="B6271">
        <v>0.11776863477817248</v>
      </c>
    </row>
    <row r="6272" spans="1:2" x14ac:dyDescent="0.25">
      <c r="A6272">
        <v>6243</v>
      </c>
      <c r="B6272">
        <v>0.31907431349776216</v>
      </c>
    </row>
    <row r="6273" spans="1:2" x14ac:dyDescent="0.25">
      <c r="A6273">
        <v>6244</v>
      </c>
      <c r="B6273">
        <v>0.23319102396265348</v>
      </c>
    </row>
    <row r="6274" spans="1:2" x14ac:dyDescent="0.25">
      <c r="A6274">
        <v>6245</v>
      </c>
      <c r="B6274">
        <v>0.11483416226234446</v>
      </c>
    </row>
    <row r="6275" spans="1:2" x14ac:dyDescent="0.25">
      <c r="A6275">
        <v>6246</v>
      </c>
      <c r="B6275">
        <v>0.18474571285472055</v>
      </c>
    </row>
    <row r="6276" spans="1:2" x14ac:dyDescent="0.25">
      <c r="A6276">
        <v>6247</v>
      </c>
      <c r="B6276">
        <v>8.5172026734945297E-2</v>
      </c>
    </row>
    <row r="6277" spans="1:2" x14ac:dyDescent="0.25">
      <c r="A6277">
        <v>6248</v>
      </c>
      <c r="B6277">
        <v>0.40608273468545986</v>
      </c>
    </row>
    <row r="6278" spans="1:2" x14ac:dyDescent="0.25">
      <c r="A6278">
        <v>6249</v>
      </c>
      <c r="B6278">
        <v>0.10408232514678267</v>
      </c>
    </row>
    <row r="6279" spans="1:2" x14ac:dyDescent="0.25">
      <c r="A6279">
        <v>6250</v>
      </c>
      <c r="B6279">
        <v>0.48522550282243787</v>
      </c>
    </row>
    <row r="6280" spans="1:2" x14ac:dyDescent="0.25">
      <c r="A6280">
        <v>6251</v>
      </c>
      <c r="B6280">
        <v>0.68941923553560491</v>
      </c>
    </row>
    <row r="6281" spans="1:2" x14ac:dyDescent="0.25">
      <c r="A6281">
        <v>6252</v>
      </c>
      <c r="B6281">
        <v>0.57447398958030249</v>
      </c>
    </row>
    <row r="6282" spans="1:2" x14ac:dyDescent="0.25">
      <c r="A6282">
        <v>6253</v>
      </c>
      <c r="B6282">
        <v>5.4602210552138472E-2</v>
      </c>
    </row>
    <row r="6283" spans="1:2" x14ac:dyDescent="0.25">
      <c r="A6283">
        <v>6254</v>
      </c>
      <c r="B6283">
        <v>0.15790352417243958</v>
      </c>
    </row>
    <row r="6284" spans="1:2" x14ac:dyDescent="0.25">
      <c r="A6284">
        <v>6255</v>
      </c>
      <c r="B6284">
        <v>0.21659125542227545</v>
      </c>
    </row>
    <row r="6285" spans="1:2" x14ac:dyDescent="0.25">
      <c r="A6285">
        <v>6256</v>
      </c>
      <c r="B6285">
        <v>0.10876483163828796</v>
      </c>
    </row>
    <row r="6286" spans="1:2" x14ac:dyDescent="0.25">
      <c r="A6286">
        <v>6257</v>
      </c>
      <c r="B6286">
        <v>0.3400681195456024</v>
      </c>
    </row>
    <row r="6287" spans="1:2" x14ac:dyDescent="0.25">
      <c r="A6287">
        <v>6258</v>
      </c>
      <c r="B6287">
        <v>0.13318572491075251</v>
      </c>
    </row>
    <row r="6288" spans="1:2" x14ac:dyDescent="0.25">
      <c r="A6288">
        <v>6259</v>
      </c>
      <c r="B6288">
        <v>8.7535982777315433E-2</v>
      </c>
    </row>
    <row r="6289" spans="1:2" x14ac:dyDescent="0.25">
      <c r="A6289">
        <v>6260</v>
      </c>
      <c r="B6289">
        <v>0.54065765277200084</v>
      </c>
    </row>
    <row r="6290" spans="1:2" x14ac:dyDescent="0.25">
      <c r="A6290">
        <v>6261</v>
      </c>
      <c r="B6290">
        <v>5.9853594450851047E-2</v>
      </c>
    </row>
    <row r="6291" spans="1:2" x14ac:dyDescent="0.25">
      <c r="A6291">
        <v>6262</v>
      </c>
      <c r="B6291">
        <v>0.50379699613906703</v>
      </c>
    </row>
    <row r="6292" spans="1:2" x14ac:dyDescent="0.25">
      <c r="A6292">
        <v>6263</v>
      </c>
      <c r="B6292">
        <v>0.10114113181342142</v>
      </c>
    </row>
    <row r="6293" spans="1:2" x14ac:dyDescent="0.25">
      <c r="A6293">
        <v>6264</v>
      </c>
      <c r="B6293">
        <v>0.31367701844420409</v>
      </c>
    </row>
    <row r="6294" spans="1:2" x14ac:dyDescent="0.25">
      <c r="A6294">
        <v>6265</v>
      </c>
      <c r="B6294">
        <v>0.28087908486366725</v>
      </c>
    </row>
    <row r="6295" spans="1:2" x14ac:dyDescent="0.25">
      <c r="A6295">
        <v>6266</v>
      </c>
      <c r="B6295">
        <v>0.15649733547512476</v>
      </c>
    </row>
    <row r="6296" spans="1:2" x14ac:dyDescent="0.25">
      <c r="A6296">
        <v>6267</v>
      </c>
      <c r="B6296">
        <v>8.4784147217126696E-2</v>
      </c>
    </row>
    <row r="6297" spans="1:2" x14ac:dyDescent="0.25">
      <c r="A6297">
        <v>6268</v>
      </c>
      <c r="B6297">
        <v>0.22977912324312788</v>
      </c>
    </row>
    <row r="6298" spans="1:2" x14ac:dyDescent="0.25">
      <c r="A6298">
        <v>6269</v>
      </c>
      <c r="B6298">
        <v>0.19065229535778189</v>
      </c>
    </row>
    <row r="6299" spans="1:2" x14ac:dyDescent="0.25">
      <c r="A6299">
        <v>6270</v>
      </c>
      <c r="B6299">
        <v>0.11641194714616782</v>
      </c>
    </row>
    <row r="6300" spans="1:2" x14ac:dyDescent="0.25">
      <c r="A6300">
        <v>6271</v>
      </c>
      <c r="B6300">
        <v>0.21493420797791832</v>
      </c>
    </row>
    <row r="6301" spans="1:2" x14ac:dyDescent="0.25">
      <c r="A6301">
        <v>6272</v>
      </c>
      <c r="B6301">
        <v>0.30151330837647783</v>
      </c>
    </row>
    <row r="6302" spans="1:2" x14ac:dyDescent="0.25">
      <c r="A6302">
        <v>6273</v>
      </c>
      <c r="B6302">
        <v>0.41358798883903675</v>
      </c>
    </row>
    <row r="6303" spans="1:2" x14ac:dyDescent="0.25">
      <c r="A6303">
        <v>6274</v>
      </c>
      <c r="B6303">
        <v>0.15893283380771159</v>
      </c>
    </row>
    <row r="6304" spans="1:2" x14ac:dyDescent="0.25">
      <c r="A6304">
        <v>6275</v>
      </c>
      <c r="B6304">
        <v>7.7391271826278446E-2</v>
      </c>
    </row>
    <row r="6305" spans="1:2" x14ac:dyDescent="0.25">
      <c r="A6305">
        <v>6276</v>
      </c>
      <c r="B6305">
        <v>0.19661045302217892</v>
      </c>
    </row>
    <row r="6306" spans="1:2" x14ac:dyDescent="0.25">
      <c r="A6306">
        <v>6277</v>
      </c>
      <c r="B6306">
        <v>0.16587556067145806</v>
      </c>
    </row>
    <row r="6307" spans="1:2" x14ac:dyDescent="0.25">
      <c r="A6307">
        <v>6278</v>
      </c>
      <c r="B6307">
        <v>0.11709517566234096</v>
      </c>
    </row>
    <row r="6308" spans="1:2" x14ac:dyDescent="0.25">
      <c r="A6308">
        <v>6279</v>
      </c>
      <c r="B6308">
        <v>0.16544911457455977</v>
      </c>
    </row>
    <row r="6309" spans="1:2" x14ac:dyDescent="0.25">
      <c r="A6309">
        <v>6280</v>
      </c>
      <c r="B6309">
        <v>0.26305869055930658</v>
      </c>
    </row>
    <row r="6310" spans="1:2" x14ac:dyDescent="0.25">
      <c r="A6310">
        <v>6281</v>
      </c>
      <c r="B6310">
        <v>0.40678050197650084</v>
      </c>
    </row>
    <row r="6311" spans="1:2" x14ac:dyDescent="0.25">
      <c r="A6311">
        <v>6282</v>
      </c>
      <c r="B6311">
        <v>4.5573410100492887E-2</v>
      </c>
    </row>
    <row r="6312" spans="1:2" x14ac:dyDescent="0.25">
      <c r="A6312">
        <v>6283</v>
      </c>
      <c r="B6312">
        <v>0.32811642676561842</v>
      </c>
    </row>
    <row r="6313" spans="1:2" x14ac:dyDescent="0.25">
      <c r="A6313">
        <v>6284</v>
      </c>
      <c r="B6313">
        <v>0.30326707332835057</v>
      </c>
    </row>
    <row r="6314" spans="1:2" x14ac:dyDescent="0.25">
      <c r="A6314">
        <v>6285</v>
      </c>
      <c r="B6314">
        <v>5.4053702342205613E-2</v>
      </c>
    </row>
    <row r="6315" spans="1:2" x14ac:dyDescent="0.25">
      <c r="A6315">
        <v>6286</v>
      </c>
      <c r="B6315">
        <v>0.15717863262896783</v>
      </c>
    </row>
    <row r="6316" spans="1:2" x14ac:dyDescent="0.25">
      <c r="A6316">
        <v>6287</v>
      </c>
      <c r="B6316">
        <v>7.4274994814510317E-2</v>
      </c>
    </row>
    <row r="6317" spans="1:2" x14ac:dyDescent="0.25">
      <c r="A6317">
        <v>6288</v>
      </c>
      <c r="B6317">
        <v>0.30239523727832662</v>
      </c>
    </row>
    <row r="6318" spans="1:2" x14ac:dyDescent="0.25">
      <c r="A6318">
        <v>6289</v>
      </c>
      <c r="B6318">
        <v>0.10056435253161961</v>
      </c>
    </row>
    <row r="6319" spans="1:2" x14ac:dyDescent="0.25">
      <c r="A6319">
        <v>6290</v>
      </c>
      <c r="B6319">
        <v>0.26173189020355991</v>
      </c>
    </row>
    <row r="6320" spans="1:2" x14ac:dyDescent="0.25">
      <c r="A6320">
        <v>6291</v>
      </c>
      <c r="B6320">
        <v>0.31276870872420537</v>
      </c>
    </row>
    <row r="6321" spans="1:2" x14ac:dyDescent="0.25">
      <c r="A6321">
        <v>6292</v>
      </c>
      <c r="B6321">
        <v>0.52810874672965169</v>
      </c>
    </row>
    <row r="6322" spans="1:2" x14ac:dyDescent="0.25">
      <c r="A6322">
        <v>6293</v>
      </c>
      <c r="B6322">
        <v>0.15920063989572802</v>
      </c>
    </row>
    <row r="6323" spans="1:2" x14ac:dyDescent="0.25">
      <c r="A6323">
        <v>6294</v>
      </c>
      <c r="B6323">
        <v>0.16571204025743969</v>
      </c>
    </row>
    <row r="6324" spans="1:2" x14ac:dyDescent="0.25">
      <c r="A6324">
        <v>6295</v>
      </c>
      <c r="B6324">
        <v>0.2585741032346266</v>
      </c>
    </row>
    <row r="6325" spans="1:2" x14ac:dyDescent="0.25">
      <c r="A6325">
        <v>6296</v>
      </c>
      <c r="B6325">
        <v>0.16869984097653562</v>
      </c>
    </row>
    <row r="6326" spans="1:2" x14ac:dyDescent="0.25">
      <c r="A6326">
        <v>6297</v>
      </c>
      <c r="B6326">
        <v>0.34640679812112218</v>
      </c>
    </row>
    <row r="6327" spans="1:2" x14ac:dyDescent="0.25">
      <c r="A6327">
        <v>6298</v>
      </c>
      <c r="B6327">
        <v>0.20522145940354136</v>
      </c>
    </row>
    <row r="6328" spans="1:2" x14ac:dyDescent="0.25">
      <c r="A6328">
        <v>6299</v>
      </c>
      <c r="B6328">
        <v>0.12015165605812769</v>
      </c>
    </row>
    <row r="6329" spans="1:2" x14ac:dyDescent="0.25">
      <c r="A6329">
        <v>6300</v>
      </c>
      <c r="B6329">
        <v>0.2872579538079309</v>
      </c>
    </row>
    <row r="6330" spans="1:2" x14ac:dyDescent="0.25">
      <c r="A6330">
        <v>6301</v>
      </c>
      <c r="B6330">
        <v>0.43259556484473155</v>
      </c>
    </row>
    <row r="6331" spans="1:2" x14ac:dyDescent="0.25">
      <c r="A6331">
        <v>6302</v>
      </c>
      <c r="B6331">
        <v>0.27183188749435233</v>
      </c>
    </row>
    <row r="6332" spans="1:2" x14ac:dyDescent="0.25">
      <c r="A6332">
        <v>6303</v>
      </c>
      <c r="B6332">
        <v>0.33238563700395157</v>
      </c>
    </row>
    <row r="6333" spans="1:2" x14ac:dyDescent="0.25">
      <c r="A6333">
        <v>6304</v>
      </c>
      <c r="B6333">
        <v>0.299152960863794</v>
      </c>
    </row>
    <row r="6334" spans="1:2" x14ac:dyDescent="0.25">
      <c r="A6334">
        <v>6305</v>
      </c>
      <c r="B6334">
        <v>0.1818799829753765</v>
      </c>
    </row>
    <row r="6335" spans="1:2" x14ac:dyDescent="0.25">
      <c r="A6335">
        <v>6306</v>
      </c>
      <c r="B6335">
        <v>0.21393637308017641</v>
      </c>
    </row>
    <row r="6336" spans="1:2" x14ac:dyDescent="0.25">
      <c r="A6336">
        <v>6307</v>
      </c>
      <c r="B6336">
        <v>0.27960075164597159</v>
      </c>
    </row>
    <row r="6337" spans="1:2" x14ac:dyDescent="0.25">
      <c r="A6337">
        <v>6308</v>
      </c>
      <c r="B6337">
        <v>0.42816151196543423</v>
      </c>
    </row>
    <row r="6338" spans="1:2" x14ac:dyDescent="0.25">
      <c r="A6338">
        <v>6309</v>
      </c>
      <c r="B6338">
        <v>8.2552917485931077E-2</v>
      </c>
    </row>
    <row r="6339" spans="1:2" x14ac:dyDescent="0.25">
      <c r="A6339">
        <v>6310</v>
      </c>
      <c r="B6339">
        <v>0.11949667336181724</v>
      </c>
    </row>
    <row r="6340" spans="1:2" x14ac:dyDescent="0.25">
      <c r="A6340">
        <v>6311</v>
      </c>
      <c r="B6340">
        <v>0.1879924025477463</v>
      </c>
    </row>
    <row r="6341" spans="1:2" x14ac:dyDescent="0.25">
      <c r="A6341">
        <v>6312</v>
      </c>
      <c r="B6341">
        <v>0.24625485530692234</v>
      </c>
    </row>
    <row r="6342" spans="1:2" x14ac:dyDescent="0.25">
      <c r="A6342">
        <v>6313</v>
      </c>
      <c r="B6342">
        <v>0.11476482562535374</v>
      </c>
    </row>
    <row r="6343" spans="1:2" x14ac:dyDescent="0.25">
      <c r="A6343">
        <v>6314</v>
      </c>
      <c r="B6343">
        <v>0.14091779170873878</v>
      </c>
    </row>
    <row r="6344" spans="1:2" x14ac:dyDescent="0.25">
      <c r="A6344">
        <v>6315</v>
      </c>
      <c r="B6344">
        <v>8.594594204375848E-2</v>
      </c>
    </row>
    <row r="6345" spans="1:2" x14ac:dyDescent="0.25">
      <c r="A6345">
        <v>6316</v>
      </c>
      <c r="B6345">
        <v>0.14804026238297541</v>
      </c>
    </row>
    <row r="6346" spans="1:2" x14ac:dyDescent="0.25">
      <c r="A6346">
        <v>6317</v>
      </c>
      <c r="B6346">
        <v>0.47775902638843953</v>
      </c>
    </row>
    <row r="6347" spans="1:2" x14ac:dyDescent="0.25">
      <c r="A6347">
        <v>6318</v>
      </c>
      <c r="B6347">
        <v>0.15824731885916654</v>
      </c>
    </row>
    <row r="6348" spans="1:2" x14ac:dyDescent="0.25">
      <c r="A6348">
        <v>6319</v>
      </c>
      <c r="B6348">
        <v>0.30497880836984942</v>
      </c>
    </row>
    <row r="6349" spans="1:2" x14ac:dyDescent="0.25">
      <c r="A6349">
        <v>6320</v>
      </c>
      <c r="B6349">
        <v>0.27502535555955104</v>
      </c>
    </row>
    <row r="6350" spans="1:2" x14ac:dyDescent="0.25">
      <c r="A6350">
        <v>6321</v>
      </c>
      <c r="B6350">
        <v>0.23733052050488546</v>
      </c>
    </row>
    <row r="6351" spans="1:2" x14ac:dyDescent="0.25">
      <c r="A6351">
        <v>6322</v>
      </c>
      <c r="B6351">
        <v>0.1900767674694458</v>
      </c>
    </row>
    <row r="6352" spans="1:2" x14ac:dyDescent="0.25">
      <c r="A6352">
        <v>6323</v>
      </c>
      <c r="B6352">
        <v>0.2510459369984821</v>
      </c>
    </row>
    <row r="6353" spans="1:2" x14ac:dyDescent="0.25">
      <c r="A6353">
        <v>6324</v>
      </c>
      <c r="B6353">
        <v>0.4037265408038162</v>
      </c>
    </row>
    <row r="6354" spans="1:2" x14ac:dyDescent="0.25">
      <c r="A6354">
        <v>6325</v>
      </c>
      <c r="B6354">
        <v>0.20989340468302048</v>
      </c>
    </row>
    <row r="6355" spans="1:2" x14ac:dyDescent="0.25">
      <c r="A6355">
        <v>6326</v>
      </c>
      <c r="B6355">
        <v>0.6212712850868819</v>
      </c>
    </row>
    <row r="6356" spans="1:2" x14ac:dyDescent="0.25">
      <c r="A6356">
        <v>6327</v>
      </c>
      <c r="B6356">
        <v>0.18273755562225438</v>
      </c>
    </row>
    <row r="6357" spans="1:2" x14ac:dyDescent="0.25">
      <c r="A6357">
        <v>6328</v>
      </c>
      <c r="B6357">
        <v>0.23531309647040113</v>
      </c>
    </row>
    <row r="6358" spans="1:2" x14ac:dyDescent="0.25">
      <c r="A6358">
        <v>6329</v>
      </c>
      <c r="B6358">
        <v>0.17331369807176231</v>
      </c>
    </row>
    <row r="6359" spans="1:2" x14ac:dyDescent="0.25">
      <c r="A6359">
        <v>6330</v>
      </c>
      <c r="B6359">
        <v>0.19379412467454096</v>
      </c>
    </row>
    <row r="6360" spans="1:2" x14ac:dyDescent="0.25">
      <c r="A6360">
        <v>6331</v>
      </c>
      <c r="B6360">
        <v>0.4596747904628663</v>
      </c>
    </row>
    <row r="6361" spans="1:2" x14ac:dyDescent="0.25">
      <c r="A6361">
        <v>6332</v>
      </c>
      <c r="B6361">
        <v>0.11201381016525568</v>
      </c>
    </row>
    <row r="6362" spans="1:2" x14ac:dyDescent="0.25">
      <c r="A6362">
        <v>6333</v>
      </c>
      <c r="B6362">
        <v>0.16636232010254173</v>
      </c>
    </row>
    <row r="6363" spans="1:2" x14ac:dyDescent="0.25">
      <c r="A6363">
        <v>6334</v>
      </c>
      <c r="B6363">
        <v>0.11363439196865271</v>
      </c>
    </row>
    <row r="6364" spans="1:2" x14ac:dyDescent="0.25">
      <c r="A6364">
        <v>6335</v>
      </c>
      <c r="B6364">
        <v>8.5366785662240638E-2</v>
      </c>
    </row>
    <row r="6365" spans="1:2" x14ac:dyDescent="0.25">
      <c r="A6365">
        <v>6336</v>
      </c>
      <c r="B6365">
        <v>0.23527386465821359</v>
      </c>
    </row>
    <row r="6366" spans="1:2" x14ac:dyDescent="0.25">
      <c r="A6366">
        <v>6337</v>
      </c>
      <c r="B6366">
        <v>0.22436161864014989</v>
      </c>
    </row>
    <row r="6367" spans="1:2" x14ac:dyDescent="0.25">
      <c r="A6367">
        <v>6338</v>
      </c>
      <c r="B6367">
        <v>0.13255136190616856</v>
      </c>
    </row>
    <row r="6368" spans="1:2" x14ac:dyDescent="0.25">
      <c r="A6368">
        <v>6339</v>
      </c>
      <c r="B6368">
        <v>8.1063685440482605E-2</v>
      </c>
    </row>
    <row r="6369" spans="1:2" x14ac:dyDescent="0.25">
      <c r="A6369">
        <v>6340</v>
      </c>
      <c r="B6369">
        <v>0.2819460358192129</v>
      </c>
    </row>
    <row r="6370" spans="1:2" x14ac:dyDescent="0.25">
      <c r="A6370">
        <v>6341</v>
      </c>
      <c r="B6370">
        <v>8.2724162393051762E-2</v>
      </c>
    </row>
    <row r="6371" spans="1:2" x14ac:dyDescent="0.25">
      <c r="A6371">
        <v>6342</v>
      </c>
      <c r="B6371">
        <v>0.23153219141536138</v>
      </c>
    </row>
    <row r="6372" spans="1:2" x14ac:dyDescent="0.25">
      <c r="A6372">
        <v>6343</v>
      </c>
      <c r="B6372">
        <v>0.19279757463454811</v>
      </c>
    </row>
    <row r="6373" spans="1:2" x14ac:dyDescent="0.25">
      <c r="A6373">
        <v>6344</v>
      </c>
      <c r="B6373">
        <v>9.9345696235087641E-2</v>
      </c>
    </row>
    <row r="6374" spans="1:2" x14ac:dyDescent="0.25">
      <c r="A6374">
        <v>6345</v>
      </c>
      <c r="B6374">
        <v>0.30971379268139354</v>
      </c>
    </row>
    <row r="6375" spans="1:2" x14ac:dyDescent="0.25">
      <c r="A6375">
        <v>6346</v>
      </c>
      <c r="B6375">
        <v>4.2727726772757747E-2</v>
      </c>
    </row>
    <row r="6376" spans="1:2" x14ac:dyDescent="0.25">
      <c r="A6376">
        <v>6347</v>
      </c>
      <c r="B6376">
        <v>6.944581600114734E-2</v>
      </c>
    </row>
    <row r="6377" spans="1:2" x14ac:dyDescent="0.25">
      <c r="A6377">
        <v>6348</v>
      </c>
      <c r="B6377">
        <v>0.1525364904654721</v>
      </c>
    </row>
    <row r="6378" spans="1:2" x14ac:dyDescent="0.25">
      <c r="A6378">
        <v>6349</v>
      </c>
      <c r="B6378">
        <v>0.15277622179758568</v>
      </c>
    </row>
    <row r="6379" spans="1:2" x14ac:dyDescent="0.25">
      <c r="A6379">
        <v>6350</v>
      </c>
      <c r="B6379">
        <v>0.78084711274799223</v>
      </c>
    </row>
    <row r="6380" spans="1:2" x14ac:dyDescent="0.25">
      <c r="A6380">
        <v>6351</v>
      </c>
      <c r="B6380">
        <v>0.10898373148562748</v>
      </c>
    </row>
    <row r="6381" spans="1:2" x14ac:dyDescent="0.25">
      <c r="A6381">
        <v>6352</v>
      </c>
      <c r="B6381">
        <v>0.1693182680929026</v>
      </c>
    </row>
    <row r="6382" spans="1:2" x14ac:dyDescent="0.25">
      <c r="A6382">
        <v>6353</v>
      </c>
      <c r="B6382">
        <v>6.8640728361357484E-2</v>
      </c>
    </row>
    <row r="6383" spans="1:2" x14ac:dyDescent="0.25">
      <c r="A6383">
        <v>6354</v>
      </c>
      <c r="B6383">
        <v>0.16215195591637804</v>
      </c>
    </row>
    <row r="6384" spans="1:2" x14ac:dyDescent="0.25">
      <c r="A6384">
        <v>6355</v>
      </c>
      <c r="B6384">
        <v>0.17658414241265089</v>
      </c>
    </row>
    <row r="6385" spans="1:2" x14ac:dyDescent="0.25">
      <c r="A6385">
        <v>6356</v>
      </c>
      <c r="B6385">
        <v>0.253590521371162</v>
      </c>
    </row>
    <row r="6386" spans="1:2" x14ac:dyDescent="0.25">
      <c r="A6386">
        <v>6357</v>
      </c>
      <c r="B6386">
        <v>0.1603466669654737</v>
      </c>
    </row>
    <row r="6387" spans="1:2" x14ac:dyDescent="0.25">
      <c r="A6387">
        <v>6358</v>
      </c>
      <c r="B6387">
        <v>0.11765078088379791</v>
      </c>
    </row>
    <row r="6388" spans="1:2" x14ac:dyDescent="0.25">
      <c r="A6388">
        <v>6359</v>
      </c>
      <c r="B6388">
        <v>0.29555265275006076</v>
      </c>
    </row>
    <row r="6389" spans="1:2" x14ac:dyDescent="0.25">
      <c r="A6389">
        <v>6360</v>
      </c>
      <c r="B6389">
        <v>0.10566260199064825</v>
      </c>
    </row>
    <row r="6390" spans="1:2" x14ac:dyDescent="0.25">
      <c r="A6390">
        <v>6361</v>
      </c>
      <c r="B6390">
        <v>0.20028344511917576</v>
      </c>
    </row>
    <row r="6391" spans="1:2" x14ac:dyDescent="0.25">
      <c r="A6391">
        <v>6362</v>
      </c>
      <c r="B6391">
        <v>0.45001719899180637</v>
      </c>
    </row>
    <row r="6392" spans="1:2" x14ac:dyDescent="0.25">
      <c r="A6392">
        <v>6363</v>
      </c>
      <c r="B6392">
        <v>0.22399147803693151</v>
      </c>
    </row>
    <row r="6393" spans="1:2" x14ac:dyDescent="0.25">
      <c r="A6393">
        <v>6364</v>
      </c>
      <c r="B6393">
        <v>0.3136640474761106</v>
      </c>
    </row>
    <row r="6394" spans="1:2" x14ac:dyDescent="0.25">
      <c r="A6394">
        <v>6365</v>
      </c>
      <c r="B6394">
        <v>0.36838620893269636</v>
      </c>
    </row>
    <row r="6395" spans="1:2" x14ac:dyDescent="0.25">
      <c r="A6395">
        <v>6366</v>
      </c>
      <c r="B6395">
        <v>0.26180104287555572</v>
      </c>
    </row>
    <row r="6396" spans="1:2" x14ac:dyDescent="0.25">
      <c r="A6396">
        <v>6367</v>
      </c>
      <c r="B6396">
        <v>7.28081892059637E-2</v>
      </c>
    </row>
    <row r="6397" spans="1:2" x14ac:dyDescent="0.25">
      <c r="A6397">
        <v>6368</v>
      </c>
      <c r="B6397">
        <v>0.36788907083732225</v>
      </c>
    </row>
    <row r="6398" spans="1:2" x14ac:dyDescent="0.25">
      <c r="A6398">
        <v>6369</v>
      </c>
      <c r="B6398">
        <v>7.5269173886148094E-2</v>
      </c>
    </row>
    <row r="6399" spans="1:2" x14ac:dyDescent="0.25">
      <c r="A6399">
        <v>6370</v>
      </c>
      <c r="B6399">
        <v>6.5938133974037846E-2</v>
      </c>
    </row>
    <row r="6400" spans="1:2" x14ac:dyDescent="0.25">
      <c r="A6400">
        <v>6371</v>
      </c>
      <c r="B6400">
        <v>0.41662627906161614</v>
      </c>
    </row>
    <row r="6401" spans="1:2" x14ac:dyDescent="0.25">
      <c r="A6401">
        <v>6372</v>
      </c>
      <c r="B6401">
        <v>0.27943793277591</v>
      </c>
    </row>
    <row r="6402" spans="1:2" x14ac:dyDescent="0.25">
      <c r="A6402">
        <v>6373</v>
      </c>
      <c r="B6402">
        <v>0.17765874792028979</v>
      </c>
    </row>
    <row r="6403" spans="1:2" x14ac:dyDescent="0.25">
      <c r="A6403">
        <v>6374</v>
      </c>
      <c r="B6403">
        <v>0.26411950553062158</v>
      </c>
    </row>
    <row r="6404" spans="1:2" x14ac:dyDescent="0.25">
      <c r="A6404">
        <v>6375</v>
      </c>
      <c r="B6404">
        <v>0.52005791872178464</v>
      </c>
    </row>
    <row r="6405" spans="1:2" x14ac:dyDescent="0.25">
      <c r="A6405">
        <v>6376</v>
      </c>
      <c r="B6405">
        <v>0.4912313846332757</v>
      </c>
    </row>
    <row r="6406" spans="1:2" x14ac:dyDescent="0.25">
      <c r="A6406">
        <v>6377</v>
      </c>
      <c r="B6406">
        <v>0.11921612105153831</v>
      </c>
    </row>
    <row r="6407" spans="1:2" x14ac:dyDescent="0.25">
      <c r="A6407">
        <v>6378</v>
      </c>
      <c r="B6407">
        <v>0.59455956362269835</v>
      </c>
    </row>
    <row r="6408" spans="1:2" x14ac:dyDescent="0.25">
      <c r="A6408">
        <v>6379</v>
      </c>
      <c r="B6408">
        <v>0.15119238562454912</v>
      </c>
    </row>
    <row r="6409" spans="1:2" x14ac:dyDescent="0.25">
      <c r="A6409">
        <v>6380</v>
      </c>
      <c r="B6409">
        <v>0.12511495965925204</v>
      </c>
    </row>
    <row r="6410" spans="1:2" x14ac:dyDescent="0.25">
      <c r="A6410">
        <v>6381</v>
      </c>
      <c r="B6410">
        <v>0.20339915797550459</v>
      </c>
    </row>
    <row r="6411" spans="1:2" x14ac:dyDescent="0.25">
      <c r="A6411">
        <v>6382</v>
      </c>
      <c r="B6411">
        <v>9.2403693604978174E-2</v>
      </c>
    </row>
    <row r="6412" spans="1:2" x14ac:dyDescent="0.25">
      <c r="A6412">
        <v>6383</v>
      </c>
      <c r="B6412">
        <v>0.32255180277711037</v>
      </c>
    </row>
    <row r="6413" spans="1:2" x14ac:dyDescent="0.25">
      <c r="A6413">
        <v>6384</v>
      </c>
      <c r="B6413">
        <v>0.26893980691492947</v>
      </c>
    </row>
    <row r="6414" spans="1:2" x14ac:dyDescent="0.25">
      <c r="A6414">
        <v>6385</v>
      </c>
      <c r="B6414">
        <v>0.13098791692693124</v>
      </c>
    </row>
    <row r="6415" spans="1:2" x14ac:dyDescent="0.25">
      <c r="A6415">
        <v>6386</v>
      </c>
      <c r="B6415">
        <v>0.17902568124074111</v>
      </c>
    </row>
    <row r="6416" spans="1:2" x14ac:dyDescent="0.25">
      <c r="A6416">
        <v>6387</v>
      </c>
      <c r="B6416">
        <v>0.34741158997497901</v>
      </c>
    </row>
    <row r="6417" spans="1:2" x14ac:dyDescent="0.25">
      <c r="A6417">
        <v>6388</v>
      </c>
      <c r="B6417">
        <v>0.12288912696255494</v>
      </c>
    </row>
    <row r="6418" spans="1:2" x14ac:dyDescent="0.25">
      <c r="A6418">
        <v>6389</v>
      </c>
      <c r="B6418">
        <v>0.14767338602684368</v>
      </c>
    </row>
    <row r="6419" spans="1:2" x14ac:dyDescent="0.25">
      <c r="A6419">
        <v>6390</v>
      </c>
      <c r="B6419">
        <v>0.23828029759853359</v>
      </c>
    </row>
    <row r="6420" spans="1:2" x14ac:dyDescent="0.25">
      <c r="A6420">
        <v>6391</v>
      </c>
      <c r="B6420">
        <v>0.12954674102309144</v>
      </c>
    </row>
    <row r="6421" spans="1:2" x14ac:dyDescent="0.25">
      <c r="A6421">
        <v>6392</v>
      </c>
      <c r="B6421">
        <v>0.19460980647322704</v>
      </c>
    </row>
    <row r="6422" spans="1:2" x14ac:dyDescent="0.25">
      <c r="A6422">
        <v>6393</v>
      </c>
      <c r="B6422">
        <v>0.2654679100011334</v>
      </c>
    </row>
    <row r="6423" spans="1:2" x14ac:dyDescent="0.25">
      <c r="A6423">
        <v>6394</v>
      </c>
      <c r="B6423">
        <v>7.550833728879025E-2</v>
      </c>
    </row>
    <row r="6424" spans="1:2" x14ac:dyDescent="0.25">
      <c r="A6424">
        <v>6395</v>
      </c>
      <c r="B6424">
        <v>6.5852035438645581E-2</v>
      </c>
    </row>
    <row r="6425" spans="1:2" x14ac:dyDescent="0.25">
      <c r="A6425">
        <v>6396</v>
      </c>
      <c r="B6425">
        <v>0.51865468296015571</v>
      </c>
    </row>
    <row r="6426" spans="1:2" x14ac:dyDescent="0.25">
      <c r="A6426">
        <v>6397</v>
      </c>
      <c r="B6426">
        <v>8.7076091106123299E-2</v>
      </c>
    </row>
    <row r="6427" spans="1:2" x14ac:dyDescent="0.25">
      <c r="A6427">
        <v>6398</v>
      </c>
      <c r="B6427">
        <v>0.28985594300666684</v>
      </c>
    </row>
    <row r="6428" spans="1:2" x14ac:dyDescent="0.25">
      <c r="A6428">
        <v>6399</v>
      </c>
      <c r="B6428">
        <v>7.9572635747583498E-2</v>
      </c>
    </row>
    <row r="6429" spans="1:2" x14ac:dyDescent="0.25">
      <c r="A6429">
        <v>6400</v>
      </c>
      <c r="B6429">
        <v>0.35738784327304046</v>
      </c>
    </row>
    <row r="6430" spans="1:2" x14ac:dyDescent="0.25">
      <c r="A6430">
        <v>6401</v>
      </c>
      <c r="B6430">
        <v>0.23993339546653153</v>
      </c>
    </row>
    <row r="6431" spans="1:2" x14ac:dyDescent="0.25">
      <c r="A6431">
        <v>6402</v>
      </c>
      <c r="B6431">
        <v>0.3112290429421567</v>
      </c>
    </row>
    <row r="6432" spans="1:2" x14ac:dyDescent="0.25">
      <c r="A6432">
        <v>6403</v>
      </c>
      <c r="B6432">
        <v>0.10532982006006475</v>
      </c>
    </row>
    <row r="6433" spans="1:2" x14ac:dyDescent="0.25">
      <c r="A6433">
        <v>6404</v>
      </c>
      <c r="B6433">
        <v>8.9775609127181077E-2</v>
      </c>
    </row>
    <row r="6434" spans="1:2" x14ac:dyDescent="0.25">
      <c r="A6434">
        <v>6405</v>
      </c>
      <c r="B6434">
        <v>0.49569740466949086</v>
      </c>
    </row>
    <row r="6435" spans="1:2" x14ac:dyDescent="0.25">
      <c r="A6435">
        <v>6406</v>
      </c>
      <c r="B6435">
        <v>0.23655972347960633</v>
      </c>
    </row>
    <row r="6436" spans="1:2" x14ac:dyDescent="0.25">
      <c r="A6436">
        <v>6407</v>
      </c>
      <c r="B6436">
        <v>0.20187949549087514</v>
      </c>
    </row>
    <row r="6437" spans="1:2" x14ac:dyDescent="0.25">
      <c r="A6437">
        <v>6408</v>
      </c>
      <c r="B6437">
        <v>0.30706420955210839</v>
      </c>
    </row>
    <row r="6438" spans="1:2" x14ac:dyDescent="0.25">
      <c r="A6438">
        <v>6409</v>
      </c>
      <c r="B6438">
        <v>0.19765451335672993</v>
      </c>
    </row>
    <row r="6439" spans="1:2" x14ac:dyDescent="0.25">
      <c r="A6439">
        <v>6410</v>
      </c>
      <c r="B6439">
        <v>7.6342602205201435E-2</v>
      </c>
    </row>
    <row r="6440" spans="1:2" x14ac:dyDescent="0.25">
      <c r="A6440">
        <v>6411</v>
      </c>
      <c r="B6440">
        <v>0.1061961171260483</v>
      </c>
    </row>
    <row r="6441" spans="1:2" x14ac:dyDescent="0.25">
      <c r="A6441">
        <v>6412</v>
      </c>
      <c r="B6441">
        <v>9.0964280822331142E-2</v>
      </c>
    </row>
    <row r="6442" spans="1:2" x14ac:dyDescent="0.25">
      <c r="A6442">
        <v>6413</v>
      </c>
      <c r="B6442">
        <v>0.13759718977675087</v>
      </c>
    </row>
    <row r="6443" spans="1:2" x14ac:dyDescent="0.25">
      <c r="A6443">
        <v>6414</v>
      </c>
      <c r="B6443">
        <v>0.14778432331701002</v>
      </c>
    </row>
    <row r="6444" spans="1:2" x14ac:dyDescent="0.25">
      <c r="A6444">
        <v>6415</v>
      </c>
      <c r="B6444">
        <v>0.30314167830411198</v>
      </c>
    </row>
    <row r="6445" spans="1:2" x14ac:dyDescent="0.25">
      <c r="A6445">
        <v>6416</v>
      </c>
      <c r="B6445">
        <v>0.25303260684812018</v>
      </c>
    </row>
    <row r="6446" spans="1:2" x14ac:dyDescent="0.25">
      <c r="A6446">
        <v>6417</v>
      </c>
      <c r="B6446">
        <v>0.12386778318513375</v>
      </c>
    </row>
    <row r="6447" spans="1:2" x14ac:dyDescent="0.25">
      <c r="A6447">
        <v>6418</v>
      </c>
      <c r="B6447">
        <v>0.10516648657027905</v>
      </c>
    </row>
    <row r="6448" spans="1:2" x14ac:dyDescent="0.25">
      <c r="A6448">
        <v>6419</v>
      </c>
      <c r="B6448">
        <v>8.03668477404932E-2</v>
      </c>
    </row>
    <row r="6449" spans="1:2" x14ac:dyDescent="0.25">
      <c r="A6449">
        <v>6420</v>
      </c>
      <c r="B6449">
        <v>0.10868047937064965</v>
      </c>
    </row>
    <row r="6450" spans="1:2" x14ac:dyDescent="0.25">
      <c r="A6450">
        <v>6421</v>
      </c>
      <c r="B6450">
        <v>0.18861939559356164</v>
      </c>
    </row>
    <row r="6451" spans="1:2" x14ac:dyDescent="0.25">
      <c r="A6451">
        <v>6422</v>
      </c>
      <c r="B6451">
        <v>0.40763984861345004</v>
      </c>
    </row>
    <row r="6452" spans="1:2" x14ac:dyDescent="0.25">
      <c r="A6452">
        <v>6423</v>
      </c>
      <c r="B6452">
        <v>0.10811442047168451</v>
      </c>
    </row>
    <row r="6453" spans="1:2" x14ac:dyDescent="0.25">
      <c r="A6453">
        <v>6424</v>
      </c>
      <c r="B6453">
        <v>0.19652297909061792</v>
      </c>
    </row>
    <row r="6454" spans="1:2" x14ac:dyDescent="0.25">
      <c r="A6454">
        <v>6425</v>
      </c>
      <c r="B6454">
        <v>0.15947728400066016</v>
      </c>
    </row>
    <row r="6455" spans="1:2" x14ac:dyDescent="0.25">
      <c r="A6455">
        <v>6426</v>
      </c>
      <c r="B6455">
        <v>0.22849398064410062</v>
      </c>
    </row>
    <row r="6456" spans="1:2" x14ac:dyDescent="0.25">
      <c r="A6456">
        <v>6427</v>
      </c>
      <c r="B6456">
        <v>0.12729458744218419</v>
      </c>
    </row>
    <row r="6457" spans="1:2" x14ac:dyDescent="0.25">
      <c r="A6457">
        <v>6428</v>
      </c>
      <c r="B6457">
        <v>0.19779801949714584</v>
      </c>
    </row>
    <row r="6458" spans="1:2" x14ac:dyDescent="0.25">
      <c r="A6458">
        <v>6429</v>
      </c>
      <c r="B6458">
        <v>0.25675469706244292</v>
      </c>
    </row>
    <row r="6459" spans="1:2" x14ac:dyDescent="0.25">
      <c r="A6459">
        <v>6430</v>
      </c>
      <c r="B6459">
        <v>0.84475514683916619</v>
      </c>
    </row>
    <row r="6460" spans="1:2" x14ac:dyDescent="0.25">
      <c r="A6460">
        <v>6431</v>
      </c>
      <c r="B6460">
        <v>0.13897034659530372</v>
      </c>
    </row>
    <row r="6461" spans="1:2" x14ac:dyDescent="0.25">
      <c r="A6461">
        <v>6432</v>
      </c>
      <c r="B6461">
        <v>0.14719967842448542</v>
      </c>
    </row>
    <row r="6462" spans="1:2" x14ac:dyDescent="0.25">
      <c r="A6462">
        <v>6433</v>
      </c>
      <c r="B6462">
        <v>0.16957249419518677</v>
      </c>
    </row>
    <row r="6463" spans="1:2" x14ac:dyDescent="0.25">
      <c r="A6463">
        <v>6434</v>
      </c>
      <c r="B6463">
        <v>0.19622774462120937</v>
      </c>
    </row>
    <row r="6464" spans="1:2" x14ac:dyDescent="0.25">
      <c r="A6464">
        <v>6435</v>
      </c>
      <c r="B6464">
        <v>0.24140160438217065</v>
      </c>
    </row>
    <row r="6465" spans="1:2" x14ac:dyDescent="0.25">
      <c r="A6465">
        <v>6436</v>
      </c>
      <c r="B6465">
        <v>0.20180452419889575</v>
      </c>
    </row>
    <row r="6466" spans="1:2" x14ac:dyDescent="0.25">
      <c r="A6466">
        <v>6437</v>
      </c>
      <c r="B6466">
        <v>0.13285940846453062</v>
      </c>
    </row>
    <row r="6467" spans="1:2" x14ac:dyDescent="0.25">
      <c r="A6467">
        <v>6438</v>
      </c>
      <c r="B6467">
        <v>0.14238182137712344</v>
      </c>
    </row>
    <row r="6468" spans="1:2" x14ac:dyDescent="0.25">
      <c r="A6468">
        <v>6439</v>
      </c>
      <c r="B6468">
        <v>0.20817420751826551</v>
      </c>
    </row>
    <row r="6469" spans="1:2" x14ac:dyDescent="0.25">
      <c r="A6469">
        <v>6440</v>
      </c>
      <c r="B6469">
        <v>0.110357108039338</v>
      </c>
    </row>
    <row r="6470" spans="1:2" x14ac:dyDescent="0.25">
      <c r="A6470">
        <v>6441</v>
      </c>
      <c r="B6470">
        <v>0.11148315840228741</v>
      </c>
    </row>
    <row r="6471" spans="1:2" x14ac:dyDescent="0.25">
      <c r="A6471">
        <v>6442</v>
      </c>
      <c r="B6471">
        <v>0.14052108335152144</v>
      </c>
    </row>
    <row r="6472" spans="1:2" x14ac:dyDescent="0.25">
      <c r="A6472">
        <v>6443</v>
      </c>
      <c r="B6472">
        <v>0.31461982918300441</v>
      </c>
    </row>
    <row r="6473" spans="1:2" x14ac:dyDescent="0.25">
      <c r="A6473">
        <v>6444</v>
      </c>
      <c r="B6473">
        <v>0.27640366873150496</v>
      </c>
    </row>
    <row r="6474" spans="1:2" x14ac:dyDescent="0.25">
      <c r="A6474">
        <v>6445</v>
      </c>
      <c r="B6474">
        <v>0.32274586474456002</v>
      </c>
    </row>
    <row r="6475" spans="1:2" x14ac:dyDescent="0.25">
      <c r="A6475">
        <v>6446</v>
      </c>
      <c r="B6475">
        <v>4.0055627417372626E-2</v>
      </c>
    </row>
    <row r="6476" spans="1:2" x14ac:dyDescent="0.25">
      <c r="A6476">
        <v>6447</v>
      </c>
      <c r="B6476">
        <v>0.10319826618133567</v>
      </c>
    </row>
    <row r="6477" spans="1:2" x14ac:dyDescent="0.25">
      <c r="A6477">
        <v>6448</v>
      </c>
      <c r="B6477">
        <v>0.24590645065867781</v>
      </c>
    </row>
    <row r="6478" spans="1:2" x14ac:dyDescent="0.25">
      <c r="A6478">
        <v>6449</v>
      </c>
      <c r="B6478">
        <v>0.25178591928723915</v>
      </c>
    </row>
    <row r="6479" spans="1:2" x14ac:dyDescent="0.25">
      <c r="A6479">
        <v>6450</v>
      </c>
      <c r="B6479">
        <v>0.12761349360440133</v>
      </c>
    </row>
    <row r="6480" spans="1:2" x14ac:dyDescent="0.25">
      <c r="A6480">
        <v>6451</v>
      </c>
      <c r="B6480">
        <v>0.16926871863756712</v>
      </c>
    </row>
    <row r="6481" spans="1:2" x14ac:dyDescent="0.25">
      <c r="A6481">
        <v>6452</v>
      </c>
      <c r="B6481">
        <v>0.10325757319481918</v>
      </c>
    </row>
    <row r="6482" spans="1:2" x14ac:dyDescent="0.25">
      <c r="A6482">
        <v>6453</v>
      </c>
      <c r="B6482">
        <v>0.14256943150305476</v>
      </c>
    </row>
    <row r="6483" spans="1:2" x14ac:dyDescent="0.25">
      <c r="A6483">
        <v>6454</v>
      </c>
      <c r="B6483">
        <v>0.23894598443516432</v>
      </c>
    </row>
    <row r="6484" spans="1:2" x14ac:dyDescent="0.25">
      <c r="A6484">
        <v>6455</v>
      </c>
      <c r="B6484">
        <v>0.13183532837641351</v>
      </c>
    </row>
    <row r="6485" spans="1:2" x14ac:dyDescent="0.25">
      <c r="A6485">
        <v>6456</v>
      </c>
      <c r="B6485">
        <v>0.42940270337577735</v>
      </c>
    </row>
    <row r="6486" spans="1:2" x14ac:dyDescent="0.25">
      <c r="A6486">
        <v>6457</v>
      </c>
      <c r="B6486">
        <v>0.18973710449404027</v>
      </c>
    </row>
    <row r="6487" spans="1:2" x14ac:dyDescent="0.25">
      <c r="A6487">
        <v>6458</v>
      </c>
      <c r="B6487">
        <v>0.1492047274977838</v>
      </c>
    </row>
    <row r="6488" spans="1:2" x14ac:dyDescent="0.25">
      <c r="A6488">
        <v>6459</v>
      </c>
      <c r="B6488">
        <v>6.4252410197156301E-2</v>
      </c>
    </row>
    <row r="6489" spans="1:2" x14ac:dyDescent="0.25">
      <c r="A6489">
        <v>6460</v>
      </c>
      <c r="B6489">
        <v>0.20171908935749538</v>
      </c>
    </row>
    <row r="6490" spans="1:2" x14ac:dyDescent="0.25">
      <c r="A6490">
        <v>6461</v>
      </c>
      <c r="B6490">
        <v>0.19850054973550663</v>
      </c>
    </row>
    <row r="6491" spans="1:2" x14ac:dyDescent="0.25">
      <c r="A6491">
        <v>6462</v>
      </c>
      <c r="B6491">
        <v>9.2653422294470572E-2</v>
      </c>
    </row>
    <row r="6492" spans="1:2" x14ac:dyDescent="0.25">
      <c r="A6492">
        <v>6463</v>
      </c>
      <c r="B6492">
        <v>0.1724070522689202</v>
      </c>
    </row>
    <row r="6493" spans="1:2" x14ac:dyDescent="0.25">
      <c r="A6493">
        <v>6464</v>
      </c>
      <c r="B6493">
        <v>0.13991681131300163</v>
      </c>
    </row>
    <row r="6494" spans="1:2" x14ac:dyDescent="0.25">
      <c r="A6494">
        <v>6465</v>
      </c>
      <c r="B6494">
        <v>5.083812518599861E-2</v>
      </c>
    </row>
    <row r="6495" spans="1:2" x14ac:dyDescent="0.25">
      <c r="A6495">
        <v>6466</v>
      </c>
      <c r="B6495">
        <v>8.4849580577223388E-2</v>
      </c>
    </row>
    <row r="6496" spans="1:2" x14ac:dyDescent="0.25">
      <c r="A6496">
        <v>6467</v>
      </c>
      <c r="B6496">
        <v>5.9878780220333348E-2</v>
      </c>
    </row>
    <row r="6497" spans="1:2" x14ac:dyDescent="0.25">
      <c r="A6497">
        <v>6468</v>
      </c>
      <c r="B6497">
        <v>0.13564550200746922</v>
      </c>
    </row>
    <row r="6498" spans="1:2" x14ac:dyDescent="0.25">
      <c r="A6498">
        <v>6469</v>
      </c>
      <c r="B6498">
        <v>0.29396727410070517</v>
      </c>
    </row>
    <row r="6499" spans="1:2" x14ac:dyDescent="0.25">
      <c r="A6499">
        <v>6470</v>
      </c>
      <c r="B6499">
        <v>0.39478787414978705</v>
      </c>
    </row>
    <row r="6500" spans="1:2" x14ac:dyDescent="0.25">
      <c r="A6500">
        <v>6471</v>
      </c>
      <c r="B6500">
        <v>5.2611960152040262E-2</v>
      </c>
    </row>
    <row r="6501" spans="1:2" x14ac:dyDescent="0.25">
      <c r="A6501">
        <v>6472</v>
      </c>
      <c r="B6501">
        <v>0.1791570025499904</v>
      </c>
    </row>
    <row r="6502" spans="1:2" x14ac:dyDescent="0.25">
      <c r="A6502">
        <v>6473</v>
      </c>
      <c r="B6502">
        <v>0.12501580508517732</v>
      </c>
    </row>
    <row r="6503" spans="1:2" x14ac:dyDescent="0.25">
      <c r="A6503">
        <v>6474</v>
      </c>
      <c r="B6503">
        <v>0.23859631293694744</v>
      </c>
    </row>
    <row r="6504" spans="1:2" x14ac:dyDescent="0.25">
      <c r="A6504">
        <v>6475</v>
      </c>
      <c r="B6504">
        <v>0.39288513897894872</v>
      </c>
    </row>
    <row r="6505" spans="1:2" x14ac:dyDescent="0.25">
      <c r="A6505">
        <v>6476</v>
      </c>
      <c r="B6505">
        <v>0.35573668010285842</v>
      </c>
    </row>
    <row r="6506" spans="1:2" x14ac:dyDescent="0.25">
      <c r="A6506">
        <v>6477</v>
      </c>
      <c r="B6506">
        <v>0.26264632146499856</v>
      </c>
    </row>
    <row r="6507" spans="1:2" x14ac:dyDescent="0.25">
      <c r="A6507">
        <v>6478</v>
      </c>
      <c r="B6507">
        <v>9.3668749386589353E-2</v>
      </c>
    </row>
    <row r="6508" spans="1:2" x14ac:dyDescent="0.25">
      <c r="A6508">
        <v>6479</v>
      </c>
      <c r="B6508">
        <v>0.11081855208682291</v>
      </c>
    </row>
    <row r="6509" spans="1:2" x14ac:dyDescent="0.25">
      <c r="A6509">
        <v>6480</v>
      </c>
      <c r="B6509">
        <v>0.21393188795141535</v>
      </c>
    </row>
    <row r="6510" spans="1:2" x14ac:dyDescent="0.25">
      <c r="A6510">
        <v>6481</v>
      </c>
      <c r="B6510">
        <v>5.0455327018031744E-2</v>
      </c>
    </row>
    <row r="6511" spans="1:2" x14ac:dyDescent="0.25">
      <c r="A6511">
        <v>6482</v>
      </c>
      <c r="B6511">
        <v>0.30863981123325929</v>
      </c>
    </row>
    <row r="6512" spans="1:2" x14ac:dyDescent="0.25">
      <c r="A6512">
        <v>6483</v>
      </c>
      <c r="B6512">
        <v>0.1453455141717232</v>
      </c>
    </row>
    <row r="6513" spans="1:2" x14ac:dyDescent="0.25">
      <c r="A6513">
        <v>6484</v>
      </c>
      <c r="B6513">
        <v>3.6750563547561392E-2</v>
      </c>
    </row>
    <row r="6514" spans="1:2" x14ac:dyDescent="0.25">
      <c r="A6514">
        <v>6485</v>
      </c>
      <c r="B6514">
        <v>0.11668644362720466</v>
      </c>
    </row>
    <row r="6515" spans="1:2" x14ac:dyDescent="0.25">
      <c r="A6515">
        <v>6486</v>
      </c>
      <c r="B6515">
        <v>0.17288845178145423</v>
      </c>
    </row>
    <row r="6516" spans="1:2" x14ac:dyDescent="0.25">
      <c r="A6516">
        <v>6487</v>
      </c>
      <c r="B6516">
        <v>0.56090216142231253</v>
      </c>
    </row>
    <row r="6517" spans="1:2" x14ac:dyDescent="0.25">
      <c r="A6517">
        <v>6488</v>
      </c>
      <c r="B6517">
        <v>0.20713773120422055</v>
      </c>
    </row>
    <row r="6518" spans="1:2" x14ac:dyDescent="0.25">
      <c r="A6518">
        <v>6489</v>
      </c>
      <c r="B6518">
        <v>9.3515396415213614E-2</v>
      </c>
    </row>
    <row r="6519" spans="1:2" x14ac:dyDescent="0.25">
      <c r="A6519">
        <v>6490</v>
      </c>
      <c r="B6519">
        <v>0.26606112948590588</v>
      </c>
    </row>
    <row r="6520" spans="1:2" x14ac:dyDescent="0.25">
      <c r="A6520">
        <v>6491</v>
      </c>
      <c r="B6520">
        <v>8.3725097182671654E-2</v>
      </c>
    </row>
    <row r="6521" spans="1:2" x14ac:dyDescent="0.25">
      <c r="A6521">
        <v>6492</v>
      </c>
      <c r="B6521">
        <v>0.17726021118943683</v>
      </c>
    </row>
    <row r="6522" spans="1:2" x14ac:dyDescent="0.25">
      <c r="A6522">
        <v>6493</v>
      </c>
      <c r="B6522">
        <v>5.3371816230215703E-2</v>
      </c>
    </row>
    <row r="6523" spans="1:2" x14ac:dyDescent="0.25">
      <c r="A6523">
        <v>6494</v>
      </c>
      <c r="B6523">
        <v>0.17638445011036144</v>
      </c>
    </row>
    <row r="6524" spans="1:2" x14ac:dyDescent="0.25">
      <c r="A6524">
        <v>6495</v>
      </c>
      <c r="B6524">
        <v>7.5471103967956921E-2</v>
      </c>
    </row>
    <row r="6525" spans="1:2" x14ac:dyDescent="0.25">
      <c r="A6525">
        <v>6496</v>
      </c>
      <c r="B6525">
        <v>0.32477991975163112</v>
      </c>
    </row>
    <row r="6526" spans="1:2" x14ac:dyDescent="0.25">
      <c r="A6526">
        <v>6497</v>
      </c>
      <c r="B6526">
        <v>0.21389202134206423</v>
      </c>
    </row>
    <row r="6527" spans="1:2" x14ac:dyDescent="0.25">
      <c r="A6527">
        <v>6498</v>
      </c>
      <c r="B6527">
        <v>8.4365072416300521E-2</v>
      </c>
    </row>
    <row r="6528" spans="1:2" x14ac:dyDescent="0.25">
      <c r="A6528">
        <v>6499</v>
      </c>
      <c r="B6528">
        <v>0.12598300819683239</v>
      </c>
    </row>
    <row r="6529" spans="1:2" x14ac:dyDescent="0.25">
      <c r="A6529">
        <v>6500</v>
      </c>
      <c r="B6529">
        <v>0.27825829469164765</v>
      </c>
    </row>
    <row r="6530" spans="1:2" x14ac:dyDescent="0.25">
      <c r="A6530">
        <v>6501</v>
      </c>
      <c r="B6530">
        <v>0.33039017879816401</v>
      </c>
    </row>
    <row r="6531" spans="1:2" x14ac:dyDescent="0.25">
      <c r="A6531">
        <v>6502</v>
      </c>
      <c r="B6531">
        <v>0.36414549687361364</v>
      </c>
    </row>
    <row r="6532" spans="1:2" x14ac:dyDescent="0.25">
      <c r="A6532">
        <v>6503</v>
      </c>
      <c r="B6532">
        <v>5.2798557462519199E-2</v>
      </c>
    </row>
    <row r="6533" spans="1:2" x14ac:dyDescent="0.25">
      <c r="A6533">
        <v>6504</v>
      </c>
      <c r="B6533">
        <v>0.36150624722459085</v>
      </c>
    </row>
    <row r="6534" spans="1:2" x14ac:dyDescent="0.25">
      <c r="A6534">
        <v>6505</v>
      </c>
      <c r="B6534">
        <v>0.38640131992921439</v>
      </c>
    </row>
    <row r="6535" spans="1:2" x14ac:dyDescent="0.25">
      <c r="A6535">
        <v>6506</v>
      </c>
      <c r="B6535">
        <v>0.2019594120723342</v>
      </c>
    </row>
    <row r="6536" spans="1:2" x14ac:dyDescent="0.25">
      <c r="A6536">
        <v>6507</v>
      </c>
      <c r="B6536">
        <v>0.14006145433713793</v>
      </c>
    </row>
    <row r="6537" spans="1:2" x14ac:dyDescent="0.25">
      <c r="A6537">
        <v>6508</v>
      </c>
      <c r="B6537">
        <v>3.0645878464408874E-2</v>
      </c>
    </row>
    <row r="6538" spans="1:2" x14ac:dyDescent="0.25">
      <c r="A6538">
        <v>6509</v>
      </c>
      <c r="B6538">
        <v>0.16154174420647288</v>
      </c>
    </row>
    <row r="6539" spans="1:2" x14ac:dyDescent="0.25">
      <c r="A6539">
        <v>6510</v>
      </c>
      <c r="B6539">
        <v>0.35217922292484916</v>
      </c>
    </row>
    <row r="6540" spans="1:2" x14ac:dyDescent="0.25">
      <c r="A6540">
        <v>6511</v>
      </c>
      <c r="B6540">
        <v>0.14731434567061905</v>
      </c>
    </row>
    <row r="6541" spans="1:2" x14ac:dyDescent="0.25">
      <c r="A6541">
        <v>6512</v>
      </c>
      <c r="B6541">
        <v>0.14407825193490137</v>
      </c>
    </row>
    <row r="6542" spans="1:2" x14ac:dyDescent="0.25">
      <c r="A6542">
        <v>6513</v>
      </c>
      <c r="B6542">
        <v>0.41141742236082107</v>
      </c>
    </row>
    <row r="6543" spans="1:2" x14ac:dyDescent="0.25">
      <c r="A6543">
        <v>6514</v>
      </c>
      <c r="B6543">
        <v>0.38381981604913201</v>
      </c>
    </row>
    <row r="6544" spans="1:2" x14ac:dyDescent="0.25">
      <c r="A6544">
        <v>6515</v>
      </c>
      <c r="B6544">
        <v>0.1658785476872677</v>
      </c>
    </row>
    <row r="6545" spans="1:2" x14ac:dyDescent="0.25">
      <c r="A6545">
        <v>6516</v>
      </c>
      <c r="B6545">
        <v>0.1243320963094091</v>
      </c>
    </row>
    <row r="6546" spans="1:2" x14ac:dyDescent="0.25">
      <c r="A6546">
        <v>6517</v>
      </c>
      <c r="B6546">
        <v>5.9094679303309181E-2</v>
      </c>
    </row>
    <row r="6547" spans="1:2" x14ac:dyDescent="0.25">
      <c r="A6547">
        <v>6518</v>
      </c>
      <c r="B6547">
        <v>4.4661455568132766E-2</v>
      </c>
    </row>
    <row r="6548" spans="1:2" x14ac:dyDescent="0.25">
      <c r="A6548">
        <v>6519</v>
      </c>
      <c r="B6548">
        <v>0.1161212070490536</v>
      </c>
    </row>
    <row r="6549" spans="1:2" x14ac:dyDescent="0.25">
      <c r="A6549">
        <v>6520</v>
      </c>
      <c r="B6549">
        <v>0.71068914426909324</v>
      </c>
    </row>
    <row r="6550" spans="1:2" x14ac:dyDescent="0.25">
      <c r="A6550">
        <v>6521</v>
      </c>
      <c r="B6550">
        <v>0.13105161182359693</v>
      </c>
    </row>
    <row r="6551" spans="1:2" x14ac:dyDescent="0.25">
      <c r="A6551">
        <v>6522</v>
      </c>
      <c r="B6551">
        <v>0.29235647172744567</v>
      </c>
    </row>
    <row r="6552" spans="1:2" x14ac:dyDescent="0.25">
      <c r="A6552">
        <v>6523</v>
      </c>
      <c r="B6552">
        <v>0.26228949926535167</v>
      </c>
    </row>
    <row r="6553" spans="1:2" x14ac:dyDescent="0.25">
      <c r="A6553">
        <v>6524</v>
      </c>
      <c r="B6553">
        <v>0.10773023098603807</v>
      </c>
    </row>
    <row r="6554" spans="1:2" x14ac:dyDescent="0.25">
      <c r="A6554">
        <v>6525</v>
      </c>
      <c r="B6554">
        <v>0.30679125518600964</v>
      </c>
    </row>
    <row r="6555" spans="1:2" x14ac:dyDescent="0.25">
      <c r="A6555">
        <v>6526</v>
      </c>
      <c r="B6555">
        <v>0.28817683002172972</v>
      </c>
    </row>
    <row r="6556" spans="1:2" x14ac:dyDescent="0.25">
      <c r="A6556">
        <v>6527</v>
      </c>
      <c r="B6556">
        <v>0.20875987706435747</v>
      </c>
    </row>
    <row r="6557" spans="1:2" x14ac:dyDescent="0.25">
      <c r="A6557">
        <v>6528</v>
      </c>
      <c r="B6557">
        <v>0.16679783530921594</v>
      </c>
    </row>
    <row r="6558" spans="1:2" x14ac:dyDescent="0.25">
      <c r="A6558">
        <v>6529</v>
      </c>
      <c r="B6558">
        <v>0.10617747108633538</v>
      </c>
    </row>
    <row r="6559" spans="1:2" x14ac:dyDescent="0.25">
      <c r="A6559">
        <v>6530</v>
      </c>
      <c r="B6559">
        <v>0.31338818543125618</v>
      </c>
    </row>
    <row r="6560" spans="1:2" x14ac:dyDescent="0.25">
      <c r="A6560">
        <v>6531</v>
      </c>
      <c r="B6560">
        <v>0.10466054385021301</v>
      </c>
    </row>
    <row r="6561" spans="1:2" x14ac:dyDescent="0.25">
      <c r="A6561">
        <v>6532</v>
      </c>
      <c r="B6561">
        <v>0.25657295271475689</v>
      </c>
    </row>
    <row r="6562" spans="1:2" x14ac:dyDescent="0.25">
      <c r="A6562">
        <v>6533</v>
      </c>
      <c r="B6562">
        <v>0.2877815192736119</v>
      </c>
    </row>
    <row r="6563" spans="1:2" x14ac:dyDescent="0.25">
      <c r="A6563">
        <v>6534</v>
      </c>
      <c r="B6563">
        <v>0.25172418127161983</v>
      </c>
    </row>
    <row r="6564" spans="1:2" x14ac:dyDescent="0.25">
      <c r="A6564">
        <v>6535</v>
      </c>
      <c r="B6564">
        <v>0.19906213055044081</v>
      </c>
    </row>
    <row r="6565" spans="1:2" x14ac:dyDescent="0.25">
      <c r="A6565">
        <v>6536</v>
      </c>
      <c r="B6565">
        <v>6.9002029761471587E-2</v>
      </c>
    </row>
    <row r="6566" spans="1:2" x14ac:dyDescent="0.25">
      <c r="A6566">
        <v>6537</v>
      </c>
      <c r="B6566">
        <v>0.11854794572281466</v>
      </c>
    </row>
    <row r="6567" spans="1:2" x14ac:dyDescent="0.25">
      <c r="A6567">
        <v>6538</v>
      </c>
      <c r="B6567">
        <v>0.34141779314917059</v>
      </c>
    </row>
    <row r="6568" spans="1:2" x14ac:dyDescent="0.25">
      <c r="A6568">
        <v>6539</v>
      </c>
      <c r="B6568">
        <v>0.25988576399338237</v>
      </c>
    </row>
    <row r="6569" spans="1:2" x14ac:dyDescent="0.25">
      <c r="A6569">
        <v>6540</v>
      </c>
      <c r="B6569">
        <v>8.741462953453244E-2</v>
      </c>
    </row>
    <row r="6570" spans="1:2" x14ac:dyDescent="0.25">
      <c r="A6570">
        <v>6541</v>
      </c>
      <c r="B6570">
        <v>0.1949340866294112</v>
      </c>
    </row>
    <row r="6571" spans="1:2" x14ac:dyDescent="0.25">
      <c r="A6571">
        <v>6542</v>
      </c>
      <c r="B6571">
        <v>0.29026306265194118</v>
      </c>
    </row>
    <row r="6572" spans="1:2" x14ac:dyDescent="0.25">
      <c r="A6572">
        <v>6543</v>
      </c>
      <c r="B6572">
        <v>0.11845565960931839</v>
      </c>
    </row>
    <row r="6573" spans="1:2" x14ac:dyDescent="0.25">
      <c r="A6573">
        <v>6544</v>
      </c>
      <c r="B6573">
        <v>0.50337190552419542</v>
      </c>
    </row>
    <row r="6574" spans="1:2" x14ac:dyDescent="0.25">
      <c r="A6574">
        <v>6545</v>
      </c>
      <c r="B6574">
        <v>0.28725507328018818</v>
      </c>
    </row>
    <row r="6575" spans="1:2" x14ac:dyDescent="0.25">
      <c r="A6575">
        <v>6546</v>
      </c>
      <c r="B6575">
        <v>0.32913591007367982</v>
      </c>
    </row>
    <row r="6576" spans="1:2" x14ac:dyDescent="0.25">
      <c r="A6576">
        <v>6547</v>
      </c>
      <c r="B6576">
        <v>0.2508723378972853</v>
      </c>
    </row>
    <row r="6577" spans="1:2" x14ac:dyDescent="0.25">
      <c r="A6577">
        <v>6548</v>
      </c>
      <c r="B6577">
        <v>0.238010743264638</v>
      </c>
    </row>
    <row r="6578" spans="1:2" x14ac:dyDescent="0.25">
      <c r="A6578">
        <v>6549</v>
      </c>
      <c r="B6578">
        <v>0.14014861890497574</v>
      </c>
    </row>
    <row r="6579" spans="1:2" x14ac:dyDescent="0.25">
      <c r="A6579">
        <v>6550</v>
      </c>
      <c r="B6579">
        <v>0.10303293574830132</v>
      </c>
    </row>
    <row r="6580" spans="1:2" x14ac:dyDescent="0.25">
      <c r="A6580">
        <v>6551</v>
      </c>
      <c r="B6580">
        <v>0.12800345448173375</v>
      </c>
    </row>
    <row r="6581" spans="1:2" x14ac:dyDescent="0.25">
      <c r="A6581">
        <v>6552</v>
      </c>
      <c r="B6581">
        <v>0.16047405667592277</v>
      </c>
    </row>
    <row r="6582" spans="1:2" x14ac:dyDescent="0.25">
      <c r="A6582">
        <v>6553</v>
      </c>
      <c r="B6582">
        <v>0.52452325570817482</v>
      </c>
    </row>
    <row r="6583" spans="1:2" x14ac:dyDescent="0.25">
      <c r="A6583">
        <v>6554</v>
      </c>
      <c r="B6583">
        <v>9.0849006048165301E-2</v>
      </c>
    </row>
    <row r="6584" spans="1:2" x14ac:dyDescent="0.25">
      <c r="A6584">
        <v>6555</v>
      </c>
      <c r="B6584">
        <v>0.13859446222283375</v>
      </c>
    </row>
    <row r="6585" spans="1:2" x14ac:dyDescent="0.25">
      <c r="A6585">
        <v>6556</v>
      </c>
      <c r="B6585">
        <v>0.45702057716295086</v>
      </c>
    </row>
    <row r="6586" spans="1:2" x14ac:dyDescent="0.25">
      <c r="A6586">
        <v>6557</v>
      </c>
      <c r="B6586">
        <v>0.13152963958284869</v>
      </c>
    </row>
    <row r="6587" spans="1:2" x14ac:dyDescent="0.25">
      <c r="A6587">
        <v>6558</v>
      </c>
      <c r="B6587">
        <v>7.5788422743519129E-2</v>
      </c>
    </row>
    <row r="6588" spans="1:2" x14ac:dyDescent="0.25">
      <c r="A6588">
        <v>6559</v>
      </c>
      <c r="B6588">
        <v>0.13374372761927561</v>
      </c>
    </row>
    <row r="6589" spans="1:2" x14ac:dyDescent="0.25">
      <c r="A6589">
        <v>6560</v>
      </c>
      <c r="B6589">
        <v>0.565735258569803</v>
      </c>
    </row>
    <row r="6590" spans="1:2" x14ac:dyDescent="0.25">
      <c r="A6590">
        <v>6561</v>
      </c>
      <c r="B6590">
        <v>0.46336150346197597</v>
      </c>
    </row>
    <row r="6591" spans="1:2" x14ac:dyDescent="0.25">
      <c r="A6591">
        <v>6562</v>
      </c>
      <c r="B6591">
        <v>0.58210992085292157</v>
      </c>
    </row>
    <row r="6592" spans="1:2" x14ac:dyDescent="0.25">
      <c r="A6592">
        <v>6563</v>
      </c>
      <c r="B6592">
        <v>0.22411666270877578</v>
      </c>
    </row>
    <row r="6593" spans="1:2" x14ac:dyDescent="0.25">
      <c r="A6593">
        <v>6564</v>
      </c>
      <c r="B6593">
        <v>0.26199246846068419</v>
      </c>
    </row>
    <row r="6594" spans="1:2" x14ac:dyDescent="0.25">
      <c r="A6594">
        <v>6565</v>
      </c>
      <c r="B6594">
        <v>0.1128872881593766</v>
      </c>
    </row>
    <row r="6595" spans="1:2" x14ac:dyDescent="0.25">
      <c r="A6595">
        <v>6566</v>
      </c>
      <c r="B6595">
        <v>8.1456106922844065E-2</v>
      </c>
    </row>
    <row r="6596" spans="1:2" x14ac:dyDescent="0.25">
      <c r="A6596">
        <v>6567</v>
      </c>
      <c r="B6596">
        <v>0.29369993963325219</v>
      </c>
    </row>
    <row r="6597" spans="1:2" x14ac:dyDescent="0.25">
      <c r="A6597">
        <v>6568</v>
      </c>
      <c r="B6597">
        <v>0.15915067298360214</v>
      </c>
    </row>
    <row r="6598" spans="1:2" x14ac:dyDescent="0.25">
      <c r="A6598">
        <v>6569</v>
      </c>
      <c r="B6598">
        <v>0.16691134088212081</v>
      </c>
    </row>
    <row r="6599" spans="1:2" x14ac:dyDescent="0.25">
      <c r="A6599">
        <v>6570</v>
      </c>
      <c r="B6599">
        <v>0.2182031123999903</v>
      </c>
    </row>
    <row r="6600" spans="1:2" x14ac:dyDescent="0.25">
      <c r="A6600">
        <v>6571</v>
      </c>
      <c r="B6600">
        <v>7.1275650171835417E-2</v>
      </c>
    </row>
    <row r="6601" spans="1:2" x14ac:dyDescent="0.25">
      <c r="A6601">
        <v>6572</v>
      </c>
      <c r="B6601">
        <v>4.3800666004630964E-2</v>
      </c>
    </row>
    <row r="6602" spans="1:2" x14ac:dyDescent="0.25">
      <c r="A6602">
        <v>6573</v>
      </c>
      <c r="B6602">
        <v>0.17204866184477319</v>
      </c>
    </row>
    <row r="6603" spans="1:2" x14ac:dyDescent="0.25">
      <c r="A6603">
        <v>6574</v>
      </c>
      <c r="B6603">
        <v>7.6285987394141302E-2</v>
      </c>
    </row>
    <row r="6604" spans="1:2" x14ac:dyDescent="0.25">
      <c r="A6604">
        <v>6575</v>
      </c>
      <c r="B6604">
        <v>0.10545963470064269</v>
      </c>
    </row>
    <row r="6605" spans="1:2" x14ac:dyDescent="0.25">
      <c r="A6605">
        <v>6576</v>
      </c>
      <c r="B6605">
        <v>4.9385699219366662E-2</v>
      </c>
    </row>
    <row r="6606" spans="1:2" x14ac:dyDescent="0.25">
      <c r="A6606">
        <v>6577</v>
      </c>
      <c r="B6606">
        <v>0.22832431109357135</v>
      </c>
    </row>
    <row r="6607" spans="1:2" x14ac:dyDescent="0.25">
      <c r="A6607">
        <v>6578</v>
      </c>
      <c r="B6607">
        <v>0.22135376834188936</v>
      </c>
    </row>
    <row r="6608" spans="1:2" x14ac:dyDescent="0.25">
      <c r="A6608">
        <v>6579</v>
      </c>
      <c r="B6608">
        <v>6.4070593526712405E-2</v>
      </c>
    </row>
    <row r="6609" spans="1:2" x14ac:dyDescent="0.25">
      <c r="A6609">
        <v>6580</v>
      </c>
      <c r="B6609">
        <v>0.13137823989321315</v>
      </c>
    </row>
    <row r="6610" spans="1:2" x14ac:dyDescent="0.25">
      <c r="A6610">
        <v>6581</v>
      </c>
      <c r="B6610">
        <v>0.6865596463287974</v>
      </c>
    </row>
    <row r="6611" spans="1:2" x14ac:dyDescent="0.25">
      <c r="A6611">
        <v>6582</v>
      </c>
      <c r="B6611">
        <v>0.24105121261060583</v>
      </c>
    </row>
    <row r="6612" spans="1:2" x14ac:dyDescent="0.25">
      <c r="A6612">
        <v>6583</v>
      </c>
      <c r="B6612">
        <v>0.21163393606280595</v>
      </c>
    </row>
    <row r="6613" spans="1:2" x14ac:dyDescent="0.25">
      <c r="A6613">
        <v>6584</v>
      </c>
      <c r="B6613">
        <v>0.23349089448388838</v>
      </c>
    </row>
    <row r="6614" spans="1:2" x14ac:dyDescent="0.25">
      <c r="A6614">
        <v>6585</v>
      </c>
      <c r="B6614">
        <v>8.5856273199643923E-2</v>
      </c>
    </row>
    <row r="6615" spans="1:2" x14ac:dyDescent="0.25">
      <c r="A6615">
        <v>6586</v>
      </c>
      <c r="B6615">
        <v>0.19348550205595683</v>
      </c>
    </row>
    <row r="6616" spans="1:2" x14ac:dyDescent="0.25">
      <c r="A6616">
        <v>6587</v>
      </c>
      <c r="B6616">
        <v>8.6372798087885422E-2</v>
      </c>
    </row>
    <row r="6617" spans="1:2" x14ac:dyDescent="0.25">
      <c r="A6617">
        <v>6588</v>
      </c>
      <c r="B6617">
        <v>0.16028512289537336</v>
      </c>
    </row>
    <row r="6618" spans="1:2" x14ac:dyDescent="0.25">
      <c r="A6618">
        <v>6589</v>
      </c>
      <c r="B6618">
        <v>0.13631448487712144</v>
      </c>
    </row>
    <row r="6619" spans="1:2" x14ac:dyDescent="0.25">
      <c r="A6619">
        <v>6590</v>
      </c>
      <c r="B6619">
        <v>0.30099781413543641</v>
      </c>
    </row>
    <row r="6620" spans="1:2" x14ac:dyDescent="0.25">
      <c r="A6620">
        <v>6591</v>
      </c>
      <c r="B6620">
        <v>4.6758505747976235E-2</v>
      </c>
    </row>
    <row r="6621" spans="1:2" x14ac:dyDescent="0.25">
      <c r="A6621">
        <v>6592</v>
      </c>
      <c r="B6621">
        <v>0.18671229361978578</v>
      </c>
    </row>
    <row r="6622" spans="1:2" x14ac:dyDescent="0.25">
      <c r="A6622">
        <v>6593</v>
      </c>
      <c r="B6622">
        <v>0.45488693838239325</v>
      </c>
    </row>
    <row r="6623" spans="1:2" x14ac:dyDescent="0.25">
      <c r="A6623">
        <v>6594</v>
      </c>
      <c r="B6623">
        <v>6.4768262742877697E-2</v>
      </c>
    </row>
    <row r="6624" spans="1:2" x14ac:dyDescent="0.25">
      <c r="A6624">
        <v>6595</v>
      </c>
      <c r="B6624">
        <v>0.42920466096922061</v>
      </c>
    </row>
    <row r="6625" spans="1:2" x14ac:dyDescent="0.25">
      <c r="A6625">
        <v>6596</v>
      </c>
      <c r="B6625">
        <v>7.0697796611570468E-2</v>
      </c>
    </row>
    <row r="6626" spans="1:2" x14ac:dyDescent="0.25">
      <c r="A6626">
        <v>6597</v>
      </c>
      <c r="B6626">
        <v>0.15567079276773899</v>
      </c>
    </row>
    <row r="6627" spans="1:2" x14ac:dyDescent="0.25">
      <c r="A6627">
        <v>6598</v>
      </c>
      <c r="B6627">
        <v>0.16983236041078403</v>
      </c>
    </row>
    <row r="6628" spans="1:2" x14ac:dyDescent="0.25">
      <c r="A6628">
        <v>6599</v>
      </c>
      <c r="B6628">
        <v>0.34002359941011567</v>
      </c>
    </row>
    <row r="6629" spans="1:2" x14ac:dyDescent="0.25">
      <c r="A6629">
        <v>6600</v>
      </c>
      <c r="B6629">
        <v>0.18448560057314992</v>
      </c>
    </row>
    <row r="6630" spans="1:2" x14ac:dyDescent="0.25">
      <c r="A6630">
        <v>6601</v>
      </c>
      <c r="B6630">
        <v>0.15984964368876517</v>
      </c>
    </row>
    <row r="6631" spans="1:2" x14ac:dyDescent="0.25">
      <c r="A6631">
        <v>6602</v>
      </c>
      <c r="B6631">
        <v>0.10993705870501523</v>
      </c>
    </row>
    <row r="6632" spans="1:2" x14ac:dyDescent="0.25">
      <c r="A6632">
        <v>6603</v>
      </c>
      <c r="B6632">
        <v>0.22535483622219971</v>
      </c>
    </row>
    <row r="6633" spans="1:2" x14ac:dyDescent="0.25">
      <c r="A6633">
        <v>6604</v>
      </c>
      <c r="B6633">
        <v>0.19581300718020719</v>
      </c>
    </row>
    <row r="6634" spans="1:2" x14ac:dyDescent="0.25">
      <c r="A6634">
        <v>6605</v>
      </c>
      <c r="B6634">
        <v>0.23676130471398399</v>
      </c>
    </row>
    <row r="6635" spans="1:2" x14ac:dyDescent="0.25">
      <c r="A6635">
        <v>6606</v>
      </c>
      <c r="B6635">
        <v>0.2528125897260175</v>
      </c>
    </row>
    <row r="6636" spans="1:2" x14ac:dyDescent="0.25">
      <c r="A6636">
        <v>6607</v>
      </c>
      <c r="B6636">
        <v>0.26395982015745917</v>
      </c>
    </row>
    <row r="6637" spans="1:2" x14ac:dyDescent="0.25">
      <c r="A6637">
        <v>6608</v>
      </c>
      <c r="B6637">
        <v>0.22376057939862651</v>
      </c>
    </row>
    <row r="6638" spans="1:2" x14ac:dyDescent="0.25">
      <c r="A6638">
        <v>6609</v>
      </c>
      <c r="B6638">
        <v>0.11065143399757504</v>
      </c>
    </row>
    <row r="6639" spans="1:2" x14ac:dyDescent="0.25">
      <c r="A6639">
        <v>6610</v>
      </c>
      <c r="B6639">
        <v>0.21196558299506582</v>
      </c>
    </row>
    <row r="6640" spans="1:2" x14ac:dyDescent="0.25">
      <c r="A6640">
        <v>6611</v>
      </c>
      <c r="B6640">
        <v>0.11070478096616458</v>
      </c>
    </row>
    <row r="6641" spans="1:2" x14ac:dyDescent="0.25">
      <c r="A6641">
        <v>6612</v>
      </c>
      <c r="B6641">
        <v>6.8943780354270831E-2</v>
      </c>
    </row>
    <row r="6642" spans="1:2" x14ac:dyDescent="0.25">
      <c r="A6642">
        <v>6613</v>
      </c>
      <c r="B6642">
        <v>0.14283008853666718</v>
      </c>
    </row>
    <row r="6643" spans="1:2" x14ac:dyDescent="0.25">
      <c r="A6643">
        <v>6614</v>
      </c>
      <c r="B6643">
        <v>0.16772822968288031</v>
      </c>
    </row>
    <row r="6644" spans="1:2" x14ac:dyDescent="0.25">
      <c r="A6644">
        <v>6615</v>
      </c>
      <c r="B6644">
        <v>0.16782104217146929</v>
      </c>
    </row>
    <row r="6645" spans="1:2" x14ac:dyDescent="0.25">
      <c r="A6645">
        <v>6616</v>
      </c>
      <c r="B6645">
        <v>0.29068049744308416</v>
      </c>
    </row>
    <row r="6646" spans="1:2" x14ac:dyDescent="0.25">
      <c r="A6646">
        <v>6617</v>
      </c>
      <c r="B6646">
        <v>0.41462353409200059</v>
      </c>
    </row>
    <row r="6647" spans="1:2" x14ac:dyDescent="0.25">
      <c r="A6647">
        <v>6618</v>
      </c>
      <c r="B6647">
        <v>0.38166593555639861</v>
      </c>
    </row>
    <row r="6648" spans="1:2" x14ac:dyDescent="0.25">
      <c r="A6648">
        <v>6619</v>
      </c>
      <c r="B6648">
        <v>0.16816919524848906</v>
      </c>
    </row>
    <row r="6649" spans="1:2" x14ac:dyDescent="0.25">
      <c r="A6649">
        <v>6620</v>
      </c>
      <c r="B6649">
        <v>0.23510174832790348</v>
      </c>
    </row>
    <row r="6650" spans="1:2" x14ac:dyDescent="0.25">
      <c r="A6650">
        <v>6621</v>
      </c>
      <c r="B6650">
        <v>0.36394044629682865</v>
      </c>
    </row>
    <row r="6651" spans="1:2" x14ac:dyDescent="0.25">
      <c r="A6651">
        <v>6622</v>
      </c>
      <c r="B6651">
        <v>0.14015416248074911</v>
      </c>
    </row>
    <row r="6652" spans="1:2" x14ac:dyDescent="0.25">
      <c r="A6652">
        <v>6623</v>
      </c>
      <c r="B6652">
        <v>0.48778545371240672</v>
      </c>
    </row>
    <row r="6653" spans="1:2" x14ac:dyDescent="0.25">
      <c r="A6653">
        <v>6624</v>
      </c>
      <c r="B6653">
        <v>0.23449116721731778</v>
      </c>
    </row>
    <row r="6654" spans="1:2" x14ac:dyDescent="0.25">
      <c r="A6654">
        <v>6625</v>
      </c>
      <c r="B6654">
        <v>0.48224441891112352</v>
      </c>
    </row>
    <row r="6655" spans="1:2" x14ac:dyDescent="0.25">
      <c r="A6655">
        <v>6626</v>
      </c>
      <c r="B6655">
        <v>9.6936862295778747E-2</v>
      </c>
    </row>
    <row r="6656" spans="1:2" x14ac:dyDescent="0.25">
      <c r="A6656">
        <v>6627</v>
      </c>
      <c r="B6656">
        <v>0.20511548042271555</v>
      </c>
    </row>
    <row r="6657" spans="1:2" x14ac:dyDescent="0.25">
      <c r="A6657">
        <v>6628</v>
      </c>
      <c r="B6657">
        <v>0.20745340414478874</v>
      </c>
    </row>
    <row r="6658" spans="1:2" x14ac:dyDescent="0.25">
      <c r="A6658">
        <v>6629</v>
      </c>
      <c r="B6658">
        <v>0.21501429292763449</v>
      </c>
    </row>
    <row r="6659" spans="1:2" x14ac:dyDescent="0.25">
      <c r="A6659">
        <v>6630</v>
      </c>
      <c r="B6659">
        <v>0.1039618739159405</v>
      </c>
    </row>
    <row r="6660" spans="1:2" x14ac:dyDescent="0.25">
      <c r="A6660">
        <v>6631</v>
      </c>
      <c r="B6660">
        <v>0.28056262454173431</v>
      </c>
    </row>
    <row r="6661" spans="1:2" x14ac:dyDescent="0.25">
      <c r="A6661">
        <v>6632</v>
      </c>
      <c r="B6661">
        <v>0.16641428748224499</v>
      </c>
    </row>
    <row r="6662" spans="1:2" x14ac:dyDescent="0.25">
      <c r="A6662">
        <v>6633</v>
      </c>
      <c r="B6662">
        <v>0.18246601530073597</v>
      </c>
    </row>
    <row r="6663" spans="1:2" x14ac:dyDescent="0.25">
      <c r="A6663">
        <v>6634</v>
      </c>
      <c r="B6663">
        <v>0.2486544853711799</v>
      </c>
    </row>
    <row r="6664" spans="1:2" x14ac:dyDescent="0.25">
      <c r="A6664">
        <v>6635</v>
      </c>
      <c r="B6664">
        <v>0.23087200055293111</v>
      </c>
    </row>
    <row r="6665" spans="1:2" x14ac:dyDescent="0.25">
      <c r="A6665">
        <v>6636</v>
      </c>
      <c r="B6665">
        <v>0.15600239197857221</v>
      </c>
    </row>
    <row r="6666" spans="1:2" x14ac:dyDescent="0.25">
      <c r="A6666">
        <v>6637</v>
      </c>
      <c r="B6666">
        <v>0.47915985326372523</v>
      </c>
    </row>
    <row r="6667" spans="1:2" x14ac:dyDescent="0.25">
      <c r="A6667">
        <v>6638</v>
      </c>
      <c r="B6667">
        <v>0.10822587614892494</v>
      </c>
    </row>
    <row r="6668" spans="1:2" x14ac:dyDescent="0.25">
      <c r="A6668">
        <v>6639</v>
      </c>
      <c r="B6668">
        <v>0.18908386374563119</v>
      </c>
    </row>
    <row r="6669" spans="1:2" x14ac:dyDescent="0.25">
      <c r="A6669">
        <v>6640</v>
      </c>
      <c r="B6669">
        <v>0.34449818291305512</v>
      </c>
    </row>
    <row r="6670" spans="1:2" x14ac:dyDescent="0.25">
      <c r="A6670">
        <v>6641</v>
      </c>
      <c r="B6670">
        <v>0.15661838091513225</v>
      </c>
    </row>
    <row r="6671" spans="1:2" x14ac:dyDescent="0.25">
      <c r="A6671">
        <v>6642</v>
      </c>
      <c r="B6671">
        <v>0.2044893536239307</v>
      </c>
    </row>
    <row r="6672" spans="1:2" x14ac:dyDescent="0.25">
      <c r="A6672">
        <v>6643</v>
      </c>
      <c r="B6672">
        <v>0.29653072272811098</v>
      </c>
    </row>
    <row r="6673" spans="1:2" x14ac:dyDescent="0.25">
      <c r="A6673">
        <v>6644</v>
      </c>
      <c r="B6673">
        <v>9.3390200919163696E-2</v>
      </c>
    </row>
    <row r="6674" spans="1:2" x14ac:dyDescent="0.25">
      <c r="A6674">
        <v>6645</v>
      </c>
      <c r="B6674">
        <v>4.5694578180879748E-2</v>
      </c>
    </row>
    <row r="6675" spans="1:2" x14ac:dyDescent="0.25">
      <c r="A6675">
        <v>6646</v>
      </c>
      <c r="B6675">
        <v>0.21091713598829337</v>
      </c>
    </row>
    <row r="6676" spans="1:2" x14ac:dyDescent="0.25">
      <c r="A6676">
        <v>6647</v>
      </c>
      <c r="B6676">
        <v>0.18110555604355513</v>
      </c>
    </row>
    <row r="6677" spans="1:2" x14ac:dyDescent="0.25">
      <c r="A6677">
        <v>6648</v>
      </c>
      <c r="B6677">
        <v>0.52321198660410595</v>
      </c>
    </row>
    <row r="6678" spans="1:2" x14ac:dyDescent="0.25">
      <c r="A6678">
        <v>6649</v>
      </c>
      <c r="B6678">
        <v>0.21502884951828163</v>
      </c>
    </row>
    <row r="6679" spans="1:2" x14ac:dyDescent="0.25">
      <c r="A6679">
        <v>6650</v>
      </c>
      <c r="B6679">
        <v>0.27205054804310019</v>
      </c>
    </row>
    <row r="6680" spans="1:2" x14ac:dyDescent="0.25">
      <c r="A6680">
        <v>6651</v>
      </c>
      <c r="B6680">
        <v>0.28899265790658191</v>
      </c>
    </row>
    <row r="6681" spans="1:2" x14ac:dyDescent="0.25">
      <c r="A6681">
        <v>6652</v>
      </c>
      <c r="B6681">
        <v>5.2128888744433242E-2</v>
      </c>
    </row>
    <row r="6682" spans="1:2" x14ac:dyDescent="0.25">
      <c r="A6682">
        <v>6653</v>
      </c>
      <c r="B6682">
        <v>0.1778100933731751</v>
      </c>
    </row>
    <row r="6683" spans="1:2" x14ac:dyDescent="0.25">
      <c r="A6683">
        <v>6654</v>
      </c>
      <c r="B6683">
        <v>0.2173396457178037</v>
      </c>
    </row>
    <row r="6684" spans="1:2" x14ac:dyDescent="0.25">
      <c r="A6684">
        <v>6655</v>
      </c>
      <c r="B6684">
        <v>0.29901438930299756</v>
      </c>
    </row>
    <row r="6685" spans="1:2" x14ac:dyDescent="0.25">
      <c r="A6685">
        <v>6656</v>
      </c>
      <c r="B6685">
        <v>0.16325303912938607</v>
      </c>
    </row>
    <row r="6686" spans="1:2" x14ac:dyDescent="0.25">
      <c r="A6686">
        <v>6657</v>
      </c>
      <c r="B6686">
        <v>0.11516907702181818</v>
      </c>
    </row>
    <row r="6687" spans="1:2" x14ac:dyDescent="0.25">
      <c r="A6687">
        <v>6658</v>
      </c>
      <c r="B6687">
        <v>0.38895039762418582</v>
      </c>
    </row>
    <row r="6688" spans="1:2" x14ac:dyDescent="0.25">
      <c r="A6688">
        <v>6659</v>
      </c>
      <c r="B6688">
        <v>0.17876353051430713</v>
      </c>
    </row>
    <row r="6689" spans="1:2" x14ac:dyDescent="0.25">
      <c r="A6689">
        <v>6660</v>
      </c>
      <c r="B6689">
        <v>8.2352798236514896E-2</v>
      </c>
    </row>
    <row r="6690" spans="1:2" x14ac:dyDescent="0.25">
      <c r="A6690">
        <v>6661</v>
      </c>
      <c r="B6690">
        <v>0.22321117162537293</v>
      </c>
    </row>
    <row r="6691" spans="1:2" x14ac:dyDescent="0.25">
      <c r="A6691">
        <v>6662</v>
      </c>
      <c r="B6691">
        <v>0.40554589188970352</v>
      </c>
    </row>
    <row r="6692" spans="1:2" x14ac:dyDescent="0.25">
      <c r="A6692">
        <v>6663</v>
      </c>
      <c r="B6692">
        <v>2.4612444415209496E-2</v>
      </c>
    </row>
    <row r="6693" spans="1:2" x14ac:dyDescent="0.25">
      <c r="A6693">
        <v>6664</v>
      </c>
      <c r="B6693">
        <v>3.0042044413406351E-2</v>
      </c>
    </row>
    <row r="6694" spans="1:2" x14ac:dyDescent="0.25">
      <c r="A6694">
        <v>6665</v>
      </c>
      <c r="B6694">
        <v>0.20502186770594716</v>
      </c>
    </row>
    <row r="6695" spans="1:2" x14ac:dyDescent="0.25">
      <c r="A6695">
        <v>6666</v>
      </c>
      <c r="B6695">
        <v>0.31101091980581785</v>
      </c>
    </row>
    <row r="6696" spans="1:2" x14ac:dyDescent="0.25">
      <c r="A6696">
        <v>6667</v>
      </c>
      <c r="B6696">
        <v>0.44623138917150895</v>
      </c>
    </row>
    <row r="6697" spans="1:2" x14ac:dyDescent="0.25">
      <c r="A6697">
        <v>6668</v>
      </c>
      <c r="B6697">
        <v>0.31675031286192612</v>
      </c>
    </row>
    <row r="6698" spans="1:2" x14ac:dyDescent="0.25">
      <c r="A6698">
        <v>6669</v>
      </c>
      <c r="B6698">
        <v>0.10884372232371776</v>
      </c>
    </row>
    <row r="6699" spans="1:2" x14ac:dyDescent="0.25">
      <c r="A6699">
        <v>6670</v>
      </c>
      <c r="B6699">
        <v>0.15356708947204634</v>
      </c>
    </row>
    <row r="6700" spans="1:2" x14ac:dyDescent="0.25">
      <c r="A6700">
        <v>6671</v>
      </c>
      <c r="B6700">
        <v>0.18634779761811912</v>
      </c>
    </row>
    <row r="6701" spans="1:2" x14ac:dyDescent="0.25">
      <c r="A6701">
        <v>6672</v>
      </c>
      <c r="B6701">
        <v>8.5787883365434345E-2</v>
      </c>
    </row>
    <row r="6702" spans="1:2" x14ac:dyDescent="0.25">
      <c r="A6702">
        <v>6673</v>
      </c>
      <c r="B6702">
        <v>0.21435533759474187</v>
      </c>
    </row>
    <row r="6703" spans="1:2" x14ac:dyDescent="0.25">
      <c r="A6703">
        <v>6674</v>
      </c>
      <c r="B6703">
        <v>0.11701481181885277</v>
      </c>
    </row>
    <row r="6704" spans="1:2" x14ac:dyDescent="0.25">
      <c r="A6704">
        <v>6675</v>
      </c>
      <c r="B6704">
        <v>0.40026866326601102</v>
      </c>
    </row>
    <row r="6705" spans="1:2" x14ac:dyDescent="0.25">
      <c r="A6705">
        <v>6676</v>
      </c>
      <c r="B6705">
        <v>0.82824664788455515</v>
      </c>
    </row>
    <row r="6706" spans="1:2" x14ac:dyDescent="0.25">
      <c r="A6706">
        <v>6677</v>
      </c>
      <c r="B6706">
        <v>9.4654998116684666E-2</v>
      </c>
    </row>
    <row r="6707" spans="1:2" x14ac:dyDescent="0.25">
      <c r="A6707">
        <v>6678</v>
      </c>
      <c r="B6707">
        <v>0.6587501665269766</v>
      </c>
    </row>
    <row r="6708" spans="1:2" x14ac:dyDescent="0.25">
      <c r="A6708">
        <v>6679</v>
      </c>
      <c r="B6708">
        <v>0.14703114503946929</v>
      </c>
    </row>
    <row r="6709" spans="1:2" x14ac:dyDescent="0.25">
      <c r="A6709">
        <v>6680</v>
      </c>
      <c r="B6709">
        <v>0.22709144069414841</v>
      </c>
    </row>
    <row r="6710" spans="1:2" x14ac:dyDescent="0.25">
      <c r="A6710">
        <v>6681</v>
      </c>
      <c r="B6710">
        <v>0.12911317303589237</v>
      </c>
    </row>
    <row r="6711" spans="1:2" x14ac:dyDescent="0.25">
      <c r="A6711">
        <v>6682</v>
      </c>
      <c r="B6711">
        <v>0.11371147534931893</v>
      </c>
    </row>
    <row r="6712" spans="1:2" x14ac:dyDescent="0.25">
      <c r="A6712">
        <v>6683</v>
      </c>
      <c r="B6712">
        <v>0.19551351899395622</v>
      </c>
    </row>
    <row r="6713" spans="1:2" x14ac:dyDescent="0.25">
      <c r="A6713">
        <v>6684</v>
      </c>
      <c r="B6713">
        <v>0.19681541933362576</v>
      </c>
    </row>
    <row r="6714" spans="1:2" x14ac:dyDescent="0.25">
      <c r="A6714">
        <v>6685</v>
      </c>
      <c r="B6714">
        <v>0.11521638705874566</v>
      </c>
    </row>
    <row r="6715" spans="1:2" x14ac:dyDescent="0.25">
      <c r="A6715">
        <v>6686</v>
      </c>
      <c r="B6715">
        <v>9.1694633401001202E-2</v>
      </c>
    </row>
    <row r="6716" spans="1:2" x14ac:dyDescent="0.25">
      <c r="A6716">
        <v>6687</v>
      </c>
      <c r="B6716">
        <v>0.17201036363849101</v>
      </c>
    </row>
    <row r="6717" spans="1:2" x14ac:dyDescent="0.25">
      <c r="A6717">
        <v>6688</v>
      </c>
      <c r="B6717">
        <v>0.42970881986889659</v>
      </c>
    </row>
    <row r="6718" spans="1:2" x14ac:dyDescent="0.25">
      <c r="A6718">
        <v>6689</v>
      </c>
      <c r="B6718">
        <v>0.21477901867645724</v>
      </c>
    </row>
    <row r="6719" spans="1:2" x14ac:dyDescent="0.25">
      <c r="A6719">
        <v>6690</v>
      </c>
      <c r="B6719">
        <v>0.15917423914972892</v>
      </c>
    </row>
    <row r="6720" spans="1:2" x14ac:dyDescent="0.25">
      <c r="A6720">
        <v>6691</v>
      </c>
      <c r="B6720">
        <v>0.15449389899788074</v>
      </c>
    </row>
    <row r="6721" spans="1:2" x14ac:dyDescent="0.25">
      <c r="A6721">
        <v>6692</v>
      </c>
      <c r="B6721">
        <v>0.35339088423750048</v>
      </c>
    </row>
    <row r="6722" spans="1:2" x14ac:dyDescent="0.25">
      <c r="A6722">
        <v>6693</v>
      </c>
      <c r="B6722">
        <v>0.14323054675273172</v>
      </c>
    </row>
    <row r="6723" spans="1:2" x14ac:dyDescent="0.25">
      <c r="A6723">
        <v>6694</v>
      </c>
      <c r="B6723">
        <v>0.35596560473443728</v>
      </c>
    </row>
    <row r="6724" spans="1:2" x14ac:dyDescent="0.25">
      <c r="A6724">
        <v>6695</v>
      </c>
      <c r="B6724">
        <v>0.18254636368947375</v>
      </c>
    </row>
    <row r="6725" spans="1:2" x14ac:dyDescent="0.25">
      <c r="A6725">
        <v>6696</v>
      </c>
      <c r="B6725">
        <v>0.41834151480723275</v>
      </c>
    </row>
    <row r="6726" spans="1:2" x14ac:dyDescent="0.25">
      <c r="A6726">
        <v>6697</v>
      </c>
      <c r="B6726">
        <v>4.3214071944485948E-2</v>
      </c>
    </row>
    <row r="6727" spans="1:2" x14ac:dyDescent="0.25">
      <c r="A6727">
        <v>6698</v>
      </c>
      <c r="B6727">
        <v>9.1885862469877885E-2</v>
      </c>
    </row>
    <row r="6728" spans="1:2" x14ac:dyDescent="0.25">
      <c r="A6728">
        <v>6699</v>
      </c>
      <c r="B6728">
        <v>4.0130266682484934E-2</v>
      </c>
    </row>
    <row r="6729" spans="1:2" x14ac:dyDescent="0.25">
      <c r="A6729">
        <v>6700</v>
      </c>
      <c r="B6729">
        <v>0.16485401740572461</v>
      </c>
    </row>
    <row r="6730" spans="1:2" x14ac:dyDescent="0.25">
      <c r="A6730">
        <v>6701</v>
      </c>
      <c r="B6730">
        <v>0.20720114747908358</v>
      </c>
    </row>
    <row r="6731" spans="1:2" x14ac:dyDescent="0.25">
      <c r="A6731">
        <v>6702</v>
      </c>
      <c r="B6731">
        <v>0.1486722132146811</v>
      </c>
    </row>
    <row r="6732" spans="1:2" x14ac:dyDescent="0.25">
      <c r="A6732">
        <v>6703</v>
      </c>
      <c r="B6732">
        <v>0.30602706439859784</v>
      </c>
    </row>
    <row r="6733" spans="1:2" x14ac:dyDescent="0.25">
      <c r="A6733">
        <v>6704</v>
      </c>
      <c r="B6733">
        <v>0.20838525439397268</v>
      </c>
    </row>
    <row r="6734" spans="1:2" x14ac:dyDescent="0.25">
      <c r="A6734">
        <v>6705</v>
      </c>
      <c r="B6734">
        <v>0.39675177408434947</v>
      </c>
    </row>
    <row r="6735" spans="1:2" x14ac:dyDescent="0.25">
      <c r="A6735">
        <v>6706</v>
      </c>
      <c r="B6735">
        <v>3.845478701289972E-2</v>
      </c>
    </row>
    <row r="6736" spans="1:2" x14ac:dyDescent="0.25">
      <c r="A6736">
        <v>6707</v>
      </c>
      <c r="B6736">
        <v>0.10917012137426133</v>
      </c>
    </row>
    <row r="6737" spans="1:2" x14ac:dyDescent="0.25">
      <c r="A6737">
        <v>6708</v>
      </c>
      <c r="B6737">
        <v>0.18876024525480659</v>
      </c>
    </row>
    <row r="6738" spans="1:2" x14ac:dyDescent="0.25">
      <c r="A6738">
        <v>6709</v>
      </c>
      <c r="B6738">
        <v>0.17147175548358792</v>
      </c>
    </row>
    <row r="6739" spans="1:2" x14ac:dyDescent="0.25">
      <c r="A6739">
        <v>6710</v>
      </c>
      <c r="B6739">
        <v>0.34919399696042164</v>
      </c>
    </row>
    <row r="6740" spans="1:2" x14ac:dyDescent="0.25">
      <c r="A6740">
        <v>6711</v>
      </c>
      <c r="B6740">
        <v>0.41016053016348758</v>
      </c>
    </row>
    <row r="6741" spans="1:2" x14ac:dyDescent="0.25">
      <c r="A6741">
        <v>6712</v>
      </c>
      <c r="B6741">
        <v>0.16783582883404172</v>
      </c>
    </row>
    <row r="6742" spans="1:2" x14ac:dyDescent="0.25">
      <c r="A6742">
        <v>6713</v>
      </c>
      <c r="B6742">
        <v>0.22777555473658304</v>
      </c>
    </row>
    <row r="6743" spans="1:2" x14ac:dyDescent="0.25">
      <c r="A6743">
        <v>6714</v>
      </c>
      <c r="B6743">
        <v>5.1354835297307388E-2</v>
      </c>
    </row>
    <row r="6744" spans="1:2" x14ac:dyDescent="0.25">
      <c r="A6744">
        <v>6715</v>
      </c>
      <c r="B6744">
        <v>0.17004921749967869</v>
      </c>
    </row>
    <row r="6745" spans="1:2" x14ac:dyDescent="0.25">
      <c r="A6745">
        <v>6716</v>
      </c>
      <c r="B6745">
        <v>0.1321402846702516</v>
      </c>
    </row>
    <row r="6746" spans="1:2" x14ac:dyDescent="0.25">
      <c r="A6746">
        <v>6717</v>
      </c>
      <c r="B6746">
        <v>0.1266971008025351</v>
      </c>
    </row>
    <row r="6747" spans="1:2" x14ac:dyDescent="0.25">
      <c r="A6747">
        <v>6718</v>
      </c>
      <c r="B6747">
        <v>0.10475699615043882</v>
      </c>
    </row>
    <row r="6748" spans="1:2" x14ac:dyDescent="0.25">
      <c r="A6748">
        <v>6719</v>
      </c>
      <c r="B6748">
        <v>0.28310590792383572</v>
      </c>
    </row>
    <row r="6749" spans="1:2" x14ac:dyDescent="0.25">
      <c r="A6749">
        <v>6720</v>
      </c>
      <c r="B6749">
        <v>0.13694563425546377</v>
      </c>
    </row>
    <row r="6750" spans="1:2" x14ac:dyDescent="0.25">
      <c r="A6750">
        <v>6721</v>
      </c>
      <c r="B6750">
        <v>5.1387206845478338E-2</v>
      </c>
    </row>
    <row r="6751" spans="1:2" x14ac:dyDescent="0.25">
      <c r="A6751">
        <v>6722</v>
      </c>
      <c r="B6751">
        <v>0.22767481135379281</v>
      </c>
    </row>
    <row r="6752" spans="1:2" x14ac:dyDescent="0.25">
      <c r="A6752">
        <v>6723</v>
      </c>
      <c r="B6752">
        <v>8.8182311776050001E-2</v>
      </c>
    </row>
    <row r="6753" spans="1:2" x14ac:dyDescent="0.25">
      <c r="A6753">
        <v>6724</v>
      </c>
      <c r="B6753">
        <v>0.20387458031628569</v>
      </c>
    </row>
    <row r="6754" spans="1:2" x14ac:dyDescent="0.25">
      <c r="A6754">
        <v>6725</v>
      </c>
      <c r="B6754">
        <v>0.38668741632548764</v>
      </c>
    </row>
    <row r="6755" spans="1:2" x14ac:dyDescent="0.25">
      <c r="A6755">
        <v>6726</v>
      </c>
      <c r="B6755">
        <v>8.0675901326434929E-2</v>
      </c>
    </row>
    <row r="6756" spans="1:2" x14ac:dyDescent="0.25">
      <c r="A6756">
        <v>6727</v>
      </c>
      <c r="B6756">
        <v>0.21833414999746728</v>
      </c>
    </row>
    <row r="6757" spans="1:2" x14ac:dyDescent="0.25">
      <c r="A6757">
        <v>6728</v>
      </c>
      <c r="B6757">
        <v>0.13447217911992174</v>
      </c>
    </row>
    <row r="6758" spans="1:2" x14ac:dyDescent="0.25">
      <c r="A6758">
        <v>6729</v>
      </c>
      <c r="B6758">
        <v>7.3356424933824785E-2</v>
      </c>
    </row>
    <row r="6759" spans="1:2" x14ac:dyDescent="0.25">
      <c r="A6759">
        <v>6730</v>
      </c>
      <c r="B6759">
        <v>0.48834862460708955</v>
      </c>
    </row>
    <row r="6760" spans="1:2" x14ac:dyDescent="0.25">
      <c r="A6760">
        <v>6731</v>
      </c>
      <c r="B6760">
        <v>0.16283759543326612</v>
      </c>
    </row>
    <row r="6761" spans="1:2" x14ac:dyDescent="0.25">
      <c r="A6761">
        <v>6732</v>
      </c>
      <c r="B6761">
        <v>0.19505630021873036</v>
      </c>
    </row>
    <row r="6762" spans="1:2" x14ac:dyDescent="0.25">
      <c r="A6762">
        <v>6733</v>
      </c>
      <c r="B6762">
        <v>7.9943077099458151E-2</v>
      </c>
    </row>
    <row r="6763" spans="1:2" x14ac:dyDescent="0.25">
      <c r="A6763">
        <v>6734</v>
      </c>
      <c r="B6763">
        <v>0.20031254790373115</v>
      </c>
    </row>
    <row r="6764" spans="1:2" x14ac:dyDescent="0.25">
      <c r="A6764">
        <v>6735</v>
      </c>
      <c r="B6764">
        <v>0.12919498587855655</v>
      </c>
    </row>
    <row r="6765" spans="1:2" x14ac:dyDescent="0.25">
      <c r="A6765">
        <v>6736</v>
      </c>
      <c r="B6765">
        <v>0.14422056168745151</v>
      </c>
    </row>
    <row r="6766" spans="1:2" x14ac:dyDescent="0.25">
      <c r="A6766">
        <v>6737</v>
      </c>
      <c r="B6766">
        <v>3.7416743658187812E-2</v>
      </c>
    </row>
    <row r="6767" spans="1:2" x14ac:dyDescent="0.25">
      <c r="A6767">
        <v>6738</v>
      </c>
      <c r="B6767">
        <v>1.3181890657965887</v>
      </c>
    </row>
    <row r="6768" spans="1:2" x14ac:dyDescent="0.25">
      <c r="A6768">
        <v>6739</v>
      </c>
      <c r="B6768">
        <v>0.13807115074744922</v>
      </c>
    </row>
    <row r="6769" spans="1:2" x14ac:dyDescent="0.25">
      <c r="A6769">
        <v>6740</v>
      </c>
      <c r="B6769">
        <v>0.35091583771802443</v>
      </c>
    </row>
    <row r="6770" spans="1:2" x14ac:dyDescent="0.25">
      <c r="A6770">
        <v>6741</v>
      </c>
      <c r="B6770">
        <v>0.21528511869531416</v>
      </c>
    </row>
    <row r="6771" spans="1:2" x14ac:dyDescent="0.25">
      <c r="A6771">
        <v>6742</v>
      </c>
      <c r="B6771">
        <v>9.9992356165665416E-2</v>
      </c>
    </row>
    <row r="6772" spans="1:2" x14ac:dyDescent="0.25">
      <c r="A6772">
        <v>6743</v>
      </c>
      <c r="B6772">
        <v>0.24097845193422851</v>
      </c>
    </row>
    <row r="6773" spans="1:2" x14ac:dyDescent="0.25">
      <c r="A6773">
        <v>6744</v>
      </c>
      <c r="B6773">
        <v>0.14736327710324224</v>
      </c>
    </row>
    <row r="6774" spans="1:2" x14ac:dyDescent="0.25">
      <c r="A6774">
        <v>6745</v>
      </c>
      <c r="B6774">
        <v>0.26473630729268088</v>
      </c>
    </row>
    <row r="6775" spans="1:2" x14ac:dyDescent="0.25">
      <c r="A6775">
        <v>6746</v>
      </c>
      <c r="B6775">
        <v>0.21222476904244084</v>
      </c>
    </row>
    <row r="6776" spans="1:2" x14ac:dyDescent="0.25">
      <c r="A6776">
        <v>6747</v>
      </c>
      <c r="B6776">
        <v>0.29932215356530062</v>
      </c>
    </row>
    <row r="6777" spans="1:2" x14ac:dyDescent="0.25">
      <c r="A6777">
        <v>6748</v>
      </c>
      <c r="B6777">
        <v>0.26548554132927055</v>
      </c>
    </row>
    <row r="6778" spans="1:2" x14ac:dyDescent="0.25">
      <c r="A6778">
        <v>6749</v>
      </c>
      <c r="B6778">
        <v>0.11309550831090173</v>
      </c>
    </row>
    <row r="6779" spans="1:2" x14ac:dyDescent="0.25">
      <c r="A6779">
        <v>6750</v>
      </c>
      <c r="B6779">
        <v>0.14557713081761739</v>
      </c>
    </row>
    <row r="6780" spans="1:2" x14ac:dyDescent="0.25">
      <c r="A6780">
        <v>6751</v>
      </c>
      <c r="B6780">
        <v>0.15835205346997622</v>
      </c>
    </row>
    <row r="6781" spans="1:2" x14ac:dyDescent="0.25">
      <c r="A6781">
        <v>6752</v>
      </c>
      <c r="B6781">
        <v>0.17519181360077921</v>
      </c>
    </row>
    <row r="6782" spans="1:2" x14ac:dyDescent="0.25">
      <c r="A6782">
        <v>6753</v>
      </c>
      <c r="B6782">
        <v>0.32661850978387286</v>
      </c>
    </row>
    <row r="6783" spans="1:2" x14ac:dyDescent="0.25">
      <c r="A6783">
        <v>6754</v>
      </c>
      <c r="B6783">
        <v>0.17309698088075598</v>
      </c>
    </row>
    <row r="6784" spans="1:2" x14ac:dyDescent="0.25">
      <c r="A6784">
        <v>6755</v>
      </c>
      <c r="B6784">
        <v>0.19407443348974332</v>
      </c>
    </row>
    <row r="6785" spans="1:2" x14ac:dyDescent="0.25">
      <c r="A6785">
        <v>6756</v>
      </c>
      <c r="B6785">
        <v>0.29514739844537802</v>
      </c>
    </row>
    <row r="6786" spans="1:2" x14ac:dyDescent="0.25">
      <c r="A6786">
        <v>6757</v>
      </c>
      <c r="B6786">
        <v>0.34812210389733078</v>
      </c>
    </row>
    <row r="6787" spans="1:2" x14ac:dyDescent="0.25">
      <c r="A6787">
        <v>6758</v>
      </c>
      <c r="B6787">
        <v>0.23629254061185542</v>
      </c>
    </row>
    <row r="6788" spans="1:2" x14ac:dyDescent="0.25">
      <c r="A6788">
        <v>6759</v>
      </c>
      <c r="B6788">
        <v>0.16640330944493051</v>
      </c>
    </row>
    <row r="6789" spans="1:2" x14ac:dyDescent="0.25">
      <c r="A6789">
        <v>6760</v>
      </c>
      <c r="B6789">
        <v>0.17095360926616196</v>
      </c>
    </row>
    <row r="6790" spans="1:2" x14ac:dyDescent="0.25">
      <c r="A6790">
        <v>6761</v>
      </c>
      <c r="B6790">
        <v>7.4824084120653625E-2</v>
      </c>
    </row>
    <row r="6791" spans="1:2" x14ac:dyDescent="0.25">
      <c r="A6791">
        <v>6762</v>
      </c>
      <c r="B6791">
        <v>0.16603969864979956</v>
      </c>
    </row>
    <row r="6792" spans="1:2" x14ac:dyDescent="0.25">
      <c r="A6792">
        <v>6763</v>
      </c>
      <c r="B6792">
        <v>0.2644963725954364</v>
      </c>
    </row>
    <row r="6793" spans="1:2" x14ac:dyDescent="0.25">
      <c r="A6793">
        <v>6764</v>
      </c>
      <c r="B6793">
        <v>0.20570494489476546</v>
      </c>
    </row>
    <row r="6794" spans="1:2" x14ac:dyDescent="0.25">
      <c r="A6794">
        <v>6765</v>
      </c>
      <c r="B6794">
        <v>0.17968373818425742</v>
      </c>
    </row>
    <row r="6795" spans="1:2" x14ac:dyDescent="0.25">
      <c r="A6795">
        <v>6766</v>
      </c>
      <c r="B6795">
        <v>0.15197321412477541</v>
      </c>
    </row>
    <row r="6796" spans="1:2" x14ac:dyDescent="0.25">
      <c r="A6796">
        <v>6767</v>
      </c>
      <c r="B6796">
        <v>9.3804245888899879E-2</v>
      </c>
    </row>
    <row r="6797" spans="1:2" x14ac:dyDescent="0.25">
      <c r="A6797">
        <v>6768</v>
      </c>
      <c r="B6797">
        <v>0.23679886989964694</v>
      </c>
    </row>
    <row r="6798" spans="1:2" x14ac:dyDescent="0.25">
      <c r="A6798">
        <v>6769</v>
      </c>
      <c r="B6798">
        <v>8.2048868974152367E-2</v>
      </c>
    </row>
    <row r="6799" spans="1:2" x14ac:dyDescent="0.25">
      <c r="A6799">
        <v>6770</v>
      </c>
      <c r="B6799">
        <v>0.34067183245756688</v>
      </c>
    </row>
    <row r="6800" spans="1:2" x14ac:dyDescent="0.25">
      <c r="A6800">
        <v>6771</v>
      </c>
      <c r="B6800">
        <v>0.19378169507433876</v>
      </c>
    </row>
    <row r="6801" spans="1:2" x14ac:dyDescent="0.25">
      <c r="A6801">
        <v>6772</v>
      </c>
      <c r="B6801">
        <v>0.38542979200052702</v>
      </c>
    </row>
    <row r="6802" spans="1:2" x14ac:dyDescent="0.25">
      <c r="A6802">
        <v>6773</v>
      </c>
      <c r="B6802">
        <v>0.27207377275300071</v>
      </c>
    </row>
    <row r="6803" spans="1:2" x14ac:dyDescent="0.25">
      <c r="A6803">
        <v>6774</v>
      </c>
      <c r="B6803">
        <v>8.1798933072442223E-2</v>
      </c>
    </row>
    <row r="6804" spans="1:2" x14ac:dyDescent="0.25">
      <c r="A6804">
        <v>6775</v>
      </c>
      <c r="B6804">
        <v>0.2703253206858412</v>
      </c>
    </row>
    <row r="6805" spans="1:2" x14ac:dyDescent="0.25">
      <c r="A6805">
        <v>6776</v>
      </c>
      <c r="B6805">
        <v>0.38928026872148602</v>
      </c>
    </row>
    <row r="6806" spans="1:2" x14ac:dyDescent="0.25">
      <c r="A6806">
        <v>6777</v>
      </c>
      <c r="B6806">
        <v>0.23018059898439563</v>
      </c>
    </row>
    <row r="6807" spans="1:2" x14ac:dyDescent="0.25">
      <c r="A6807">
        <v>6778</v>
      </c>
      <c r="B6807">
        <v>6.2593083029041305E-2</v>
      </c>
    </row>
    <row r="6808" spans="1:2" x14ac:dyDescent="0.25">
      <c r="A6808">
        <v>6779</v>
      </c>
      <c r="B6808">
        <v>9.5139370528047731E-2</v>
      </c>
    </row>
    <row r="6809" spans="1:2" x14ac:dyDescent="0.25">
      <c r="A6809">
        <v>6780</v>
      </c>
      <c r="B6809">
        <v>0.13342387158691391</v>
      </c>
    </row>
    <row r="6810" spans="1:2" x14ac:dyDescent="0.25">
      <c r="A6810">
        <v>6781</v>
      </c>
      <c r="B6810">
        <v>0.18622170580685571</v>
      </c>
    </row>
    <row r="6811" spans="1:2" x14ac:dyDescent="0.25">
      <c r="A6811">
        <v>6782</v>
      </c>
      <c r="B6811">
        <v>0.12020118716872084</v>
      </c>
    </row>
    <row r="6812" spans="1:2" x14ac:dyDescent="0.25">
      <c r="A6812">
        <v>6783</v>
      </c>
      <c r="B6812">
        <v>0.11161110183465864</v>
      </c>
    </row>
    <row r="6813" spans="1:2" x14ac:dyDescent="0.25">
      <c r="A6813">
        <v>6784</v>
      </c>
      <c r="B6813">
        <v>0.19158796758560739</v>
      </c>
    </row>
    <row r="6814" spans="1:2" x14ac:dyDescent="0.25">
      <c r="A6814">
        <v>6785</v>
      </c>
      <c r="B6814">
        <v>0.24211524049812924</v>
      </c>
    </row>
    <row r="6815" spans="1:2" x14ac:dyDescent="0.25">
      <c r="A6815">
        <v>6786</v>
      </c>
      <c r="B6815">
        <v>0.11759162557308558</v>
      </c>
    </row>
    <row r="6816" spans="1:2" x14ac:dyDescent="0.25">
      <c r="A6816">
        <v>6787</v>
      </c>
      <c r="B6816">
        <v>0.26246840450921999</v>
      </c>
    </row>
    <row r="6817" spans="1:2" x14ac:dyDescent="0.25">
      <c r="A6817">
        <v>6788</v>
      </c>
      <c r="B6817">
        <v>0.11574624877299877</v>
      </c>
    </row>
    <row r="6818" spans="1:2" x14ac:dyDescent="0.25">
      <c r="A6818">
        <v>6789</v>
      </c>
      <c r="B6818">
        <v>9.495734300346384E-2</v>
      </c>
    </row>
    <row r="6819" spans="1:2" x14ac:dyDescent="0.25">
      <c r="A6819">
        <v>6790</v>
      </c>
      <c r="B6819">
        <v>0.17942104529252126</v>
      </c>
    </row>
    <row r="6820" spans="1:2" x14ac:dyDescent="0.25">
      <c r="A6820">
        <v>6791</v>
      </c>
      <c r="B6820">
        <v>0.28248202612779527</v>
      </c>
    </row>
    <row r="6821" spans="1:2" x14ac:dyDescent="0.25">
      <c r="A6821">
        <v>6792</v>
      </c>
      <c r="B6821">
        <v>0.21671383855390425</v>
      </c>
    </row>
    <row r="6822" spans="1:2" x14ac:dyDescent="0.25">
      <c r="A6822">
        <v>6793</v>
      </c>
      <c r="B6822">
        <v>0.36313436383893155</v>
      </c>
    </row>
    <row r="6823" spans="1:2" x14ac:dyDescent="0.25">
      <c r="A6823">
        <v>6794</v>
      </c>
      <c r="B6823">
        <v>0.14008940876367099</v>
      </c>
    </row>
    <row r="6824" spans="1:2" x14ac:dyDescent="0.25">
      <c r="A6824">
        <v>6795</v>
      </c>
      <c r="B6824">
        <v>9.5964875802655197E-2</v>
      </c>
    </row>
    <row r="6825" spans="1:2" x14ac:dyDescent="0.25">
      <c r="A6825">
        <v>6796</v>
      </c>
      <c r="B6825">
        <v>0.10221439126425412</v>
      </c>
    </row>
    <row r="6826" spans="1:2" x14ac:dyDescent="0.25">
      <c r="A6826">
        <v>6797</v>
      </c>
      <c r="B6826">
        <v>0.30513671089032363</v>
      </c>
    </row>
    <row r="6827" spans="1:2" x14ac:dyDescent="0.25">
      <c r="A6827">
        <v>6798</v>
      </c>
      <c r="B6827">
        <v>0.10806790551509843</v>
      </c>
    </row>
    <row r="6828" spans="1:2" x14ac:dyDescent="0.25">
      <c r="A6828">
        <v>6799</v>
      </c>
      <c r="B6828">
        <v>0.13578281518456448</v>
      </c>
    </row>
    <row r="6829" spans="1:2" x14ac:dyDescent="0.25">
      <c r="A6829">
        <v>6800</v>
      </c>
      <c r="B6829">
        <v>0.64587164011045872</v>
      </c>
    </row>
    <row r="6830" spans="1:2" x14ac:dyDescent="0.25">
      <c r="A6830">
        <v>6801</v>
      </c>
      <c r="B6830">
        <v>0.38698182233809009</v>
      </c>
    </row>
    <row r="6831" spans="1:2" x14ac:dyDescent="0.25">
      <c r="A6831">
        <v>6802</v>
      </c>
      <c r="B6831">
        <v>8.9777010046376976E-2</v>
      </c>
    </row>
    <row r="6832" spans="1:2" x14ac:dyDescent="0.25">
      <c r="A6832">
        <v>6803</v>
      </c>
      <c r="B6832">
        <v>9.7841838923807323E-2</v>
      </c>
    </row>
    <row r="6833" spans="1:2" x14ac:dyDescent="0.25">
      <c r="A6833">
        <v>6804</v>
      </c>
      <c r="B6833">
        <v>0.17244611946892666</v>
      </c>
    </row>
    <row r="6834" spans="1:2" x14ac:dyDescent="0.25">
      <c r="A6834">
        <v>6805</v>
      </c>
      <c r="B6834">
        <v>9.4960430300920176E-2</v>
      </c>
    </row>
    <row r="6835" spans="1:2" x14ac:dyDescent="0.25">
      <c r="A6835">
        <v>6806</v>
      </c>
      <c r="B6835">
        <v>0.30351253802360673</v>
      </c>
    </row>
    <row r="6836" spans="1:2" x14ac:dyDescent="0.25">
      <c r="A6836">
        <v>6807</v>
      </c>
      <c r="B6836">
        <v>7.8261514480511232E-2</v>
      </c>
    </row>
    <row r="6837" spans="1:2" x14ac:dyDescent="0.25">
      <c r="A6837">
        <v>6808</v>
      </c>
      <c r="B6837">
        <v>0.40869420717051702</v>
      </c>
    </row>
    <row r="6838" spans="1:2" x14ac:dyDescent="0.25">
      <c r="A6838">
        <v>6809</v>
      </c>
      <c r="B6838">
        <v>4.3261156255580503E-2</v>
      </c>
    </row>
    <row r="6839" spans="1:2" x14ac:dyDescent="0.25">
      <c r="A6839">
        <v>6810</v>
      </c>
      <c r="B6839">
        <v>6.3503765670606838E-2</v>
      </c>
    </row>
    <row r="6840" spans="1:2" x14ac:dyDescent="0.25">
      <c r="A6840">
        <v>6811</v>
      </c>
      <c r="B6840">
        <v>0.31713173335610345</v>
      </c>
    </row>
    <row r="6841" spans="1:2" x14ac:dyDescent="0.25">
      <c r="A6841">
        <v>6812</v>
      </c>
      <c r="B6841">
        <v>2.5502369614112445E-2</v>
      </c>
    </row>
    <row r="6842" spans="1:2" x14ac:dyDescent="0.25">
      <c r="A6842">
        <v>6813</v>
      </c>
      <c r="B6842">
        <v>0.30548891931698713</v>
      </c>
    </row>
    <row r="6843" spans="1:2" x14ac:dyDescent="0.25">
      <c r="A6843">
        <v>6814</v>
      </c>
      <c r="B6843">
        <v>9.497682078202703E-2</v>
      </c>
    </row>
    <row r="6844" spans="1:2" x14ac:dyDescent="0.25">
      <c r="A6844">
        <v>6815</v>
      </c>
      <c r="B6844">
        <v>0.23257194857921931</v>
      </c>
    </row>
    <row r="6845" spans="1:2" x14ac:dyDescent="0.25">
      <c r="A6845">
        <v>6816</v>
      </c>
      <c r="B6845">
        <v>0.13192700071760313</v>
      </c>
    </row>
    <row r="6846" spans="1:2" x14ac:dyDescent="0.25">
      <c r="A6846">
        <v>6817</v>
      </c>
      <c r="B6846">
        <v>0.23525422359175199</v>
      </c>
    </row>
    <row r="6847" spans="1:2" x14ac:dyDescent="0.25">
      <c r="A6847">
        <v>6818</v>
      </c>
      <c r="B6847">
        <v>4.1117243916919143E-2</v>
      </c>
    </row>
    <row r="6848" spans="1:2" x14ac:dyDescent="0.25">
      <c r="A6848">
        <v>6819</v>
      </c>
      <c r="B6848">
        <v>0.11761736375566544</v>
      </c>
    </row>
    <row r="6849" spans="1:2" x14ac:dyDescent="0.25">
      <c r="A6849">
        <v>6820</v>
      </c>
      <c r="B6849">
        <v>9.4016585371521355E-2</v>
      </c>
    </row>
    <row r="6850" spans="1:2" x14ac:dyDescent="0.25">
      <c r="A6850">
        <v>6821</v>
      </c>
      <c r="B6850">
        <v>7.1916995831550715E-2</v>
      </c>
    </row>
    <row r="6851" spans="1:2" x14ac:dyDescent="0.25">
      <c r="A6851">
        <v>6822</v>
      </c>
      <c r="B6851">
        <v>0.2443744490453203</v>
      </c>
    </row>
    <row r="6852" spans="1:2" x14ac:dyDescent="0.25">
      <c r="A6852">
        <v>6823</v>
      </c>
      <c r="B6852">
        <v>0.24661983773172758</v>
      </c>
    </row>
    <row r="6853" spans="1:2" x14ac:dyDescent="0.25">
      <c r="A6853">
        <v>6824</v>
      </c>
      <c r="B6853">
        <v>0.30743553936803886</v>
      </c>
    </row>
    <row r="6854" spans="1:2" x14ac:dyDescent="0.25">
      <c r="A6854">
        <v>6825</v>
      </c>
      <c r="B6854">
        <v>0.16115713903589651</v>
      </c>
    </row>
    <row r="6855" spans="1:2" x14ac:dyDescent="0.25">
      <c r="A6855">
        <v>6826</v>
      </c>
      <c r="B6855">
        <v>0.25425114657085479</v>
      </c>
    </row>
    <row r="6856" spans="1:2" x14ac:dyDescent="0.25">
      <c r="A6856">
        <v>6827</v>
      </c>
      <c r="B6856">
        <v>0.13860144706524163</v>
      </c>
    </row>
    <row r="6857" spans="1:2" x14ac:dyDescent="0.25">
      <c r="A6857">
        <v>6828</v>
      </c>
      <c r="B6857">
        <v>8.8268749121418605E-2</v>
      </c>
    </row>
    <row r="6858" spans="1:2" x14ac:dyDescent="0.25">
      <c r="A6858">
        <v>6829</v>
      </c>
      <c r="B6858">
        <v>0.10285611351382126</v>
      </c>
    </row>
    <row r="6859" spans="1:2" x14ac:dyDescent="0.25">
      <c r="A6859">
        <v>6830</v>
      </c>
      <c r="B6859">
        <v>0.11912751557025059</v>
      </c>
    </row>
    <row r="6860" spans="1:2" x14ac:dyDescent="0.25">
      <c r="A6860">
        <v>6831</v>
      </c>
      <c r="B6860">
        <v>0.18205654485436337</v>
      </c>
    </row>
    <row r="6861" spans="1:2" x14ac:dyDescent="0.25">
      <c r="A6861">
        <v>6832</v>
      </c>
      <c r="B6861">
        <v>0.5534523140987565</v>
      </c>
    </row>
    <row r="6862" spans="1:2" x14ac:dyDescent="0.25">
      <c r="A6862">
        <v>6833</v>
      </c>
      <c r="B6862">
        <v>6.6646864228777206E-2</v>
      </c>
    </row>
    <row r="6863" spans="1:2" x14ac:dyDescent="0.25">
      <c r="A6863">
        <v>6834</v>
      </c>
      <c r="B6863">
        <v>0.24768431689437442</v>
      </c>
    </row>
    <row r="6864" spans="1:2" x14ac:dyDescent="0.25">
      <c r="A6864">
        <v>6835</v>
      </c>
      <c r="B6864">
        <v>4.8137593765274218E-2</v>
      </c>
    </row>
    <row r="6865" spans="1:2" x14ac:dyDescent="0.25">
      <c r="A6865">
        <v>6836</v>
      </c>
      <c r="B6865">
        <v>0.15641234938505141</v>
      </c>
    </row>
    <row r="6866" spans="1:2" x14ac:dyDescent="0.25">
      <c r="A6866">
        <v>6837</v>
      </c>
      <c r="B6866">
        <v>0.11682554123193302</v>
      </c>
    </row>
    <row r="6867" spans="1:2" x14ac:dyDescent="0.25">
      <c r="A6867">
        <v>6838</v>
      </c>
      <c r="B6867">
        <v>0.20423267088065467</v>
      </c>
    </row>
    <row r="6868" spans="1:2" x14ac:dyDescent="0.25">
      <c r="A6868">
        <v>6839</v>
      </c>
      <c r="B6868">
        <v>3.9426233838337627E-2</v>
      </c>
    </row>
    <row r="6869" spans="1:2" x14ac:dyDescent="0.25">
      <c r="A6869">
        <v>6840</v>
      </c>
      <c r="B6869">
        <v>0.19341325045057625</v>
      </c>
    </row>
    <row r="6870" spans="1:2" x14ac:dyDescent="0.25">
      <c r="A6870">
        <v>6841</v>
      </c>
      <c r="B6870">
        <v>5.146060907620352E-2</v>
      </c>
    </row>
    <row r="6871" spans="1:2" x14ac:dyDescent="0.25">
      <c r="A6871">
        <v>6842</v>
      </c>
      <c r="B6871">
        <v>0.42952924223600031</v>
      </c>
    </row>
    <row r="6872" spans="1:2" x14ac:dyDescent="0.25">
      <c r="A6872">
        <v>6843</v>
      </c>
      <c r="B6872">
        <v>0.147671069037349</v>
      </c>
    </row>
    <row r="6873" spans="1:2" x14ac:dyDescent="0.25">
      <c r="A6873">
        <v>6844</v>
      </c>
      <c r="B6873">
        <v>0.14883529665530276</v>
      </c>
    </row>
    <row r="6874" spans="1:2" x14ac:dyDescent="0.25">
      <c r="A6874">
        <v>6845</v>
      </c>
      <c r="B6874">
        <v>0.21547892991062359</v>
      </c>
    </row>
    <row r="6875" spans="1:2" x14ac:dyDescent="0.25">
      <c r="A6875">
        <v>6846</v>
      </c>
      <c r="B6875">
        <v>0.25512961785195426</v>
      </c>
    </row>
    <row r="6876" spans="1:2" x14ac:dyDescent="0.25">
      <c r="A6876">
        <v>6847</v>
      </c>
      <c r="B6876">
        <v>0.21438840898268741</v>
      </c>
    </row>
    <row r="6877" spans="1:2" x14ac:dyDescent="0.25">
      <c r="A6877">
        <v>6848</v>
      </c>
      <c r="B6877">
        <v>0.16600697066814404</v>
      </c>
    </row>
    <row r="6878" spans="1:2" x14ac:dyDescent="0.25">
      <c r="A6878">
        <v>6849</v>
      </c>
      <c r="B6878">
        <v>0.14505758960880344</v>
      </c>
    </row>
    <row r="6879" spans="1:2" x14ac:dyDescent="0.25">
      <c r="A6879">
        <v>6850</v>
      </c>
      <c r="B6879">
        <v>1.6870638294070671E-2</v>
      </c>
    </row>
    <row r="6880" spans="1:2" x14ac:dyDescent="0.25">
      <c r="A6880">
        <v>6851</v>
      </c>
      <c r="B6880">
        <v>0.35296843390250054</v>
      </c>
    </row>
    <row r="6881" spans="1:2" x14ac:dyDescent="0.25">
      <c r="A6881">
        <v>6852</v>
      </c>
      <c r="B6881">
        <v>4.5750791654316759E-2</v>
      </c>
    </row>
    <row r="6882" spans="1:2" x14ac:dyDescent="0.25">
      <c r="A6882">
        <v>6853</v>
      </c>
      <c r="B6882">
        <v>0.11803362648782825</v>
      </c>
    </row>
    <row r="6883" spans="1:2" x14ac:dyDescent="0.25">
      <c r="A6883">
        <v>6854</v>
      </c>
      <c r="B6883">
        <v>0.10175288080751495</v>
      </c>
    </row>
    <row r="6884" spans="1:2" x14ac:dyDescent="0.25">
      <c r="A6884">
        <v>6855</v>
      </c>
      <c r="B6884">
        <v>0.22953087322078239</v>
      </c>
    </row>
    <row r="6885" spans="1:2" x14ac:dyDescent="0.25">
      <c r="A6885">
        <v>6856</v>
      </c>
      <c r="B6885">
        <v>3.7519935241695904E-2</v>
      </c>
    </row>
    <row r="6886" spans="1:2" x14ac:dyDescent="0.25">
      <c r="A6886">
        <v>6857</v>
      </c>
      <c r="B6886">
        <v>0.35096521782936452</v>
      </c>
    </row>
    <row r="6887" spans="1:2" x14ac:dyDescent="0.25">
      <c r="A6887">
        <v>6858</v>
      </c>
      <c r="B6887">
        <v>0.35935619963483884</v>
      </c>
    </row>
    <row r="6888" spans="1:2" x14ac:dyDescent="0.25">
      <c r="A6888">
        <v>6859</v>
      </c>
      <c r="B6888">
        <v>0.17853534351744371</v>
      </c>
    </row>
    <row r="6889" spans="1:2" x14ac:dyDescent="0.25">
      <c r="A6889">
        <v>6860</v>
      </c>
      <c r="B6889">
        <v>0.10400604205774604</v>
      </c>
    </row>
    <row r="6890" spans="1:2" x14ac:dyDescent="0.25">
      <c r="A6890">
        <v>6861</v>
      </c>
      <c r="B6890">
        <v>6.9568291567311077E-2</v>
      </c>
    </row>
    <row r="6891" spans="1:2" x14ac:dyDescent="0.25">
      <c r="A6891">
        <v>6862</v>
      </c>
      <c r="B6891">
        <v>0.37549076983208723</v>
      </c>
    </row>
    <row r="6892" spans="1:2" x14ac:dyDescent="0.25">
      <c r="A6892">
        <v>6863</v>
      </c>
      <c r="B6892">
        <v>0.21108083159654298</v>
      </c>
    </row>
    <row r="6893" spans="1:2" x14ac:dyDescent="0.25">
      <c r="A6893">
        <v>6864</v>
      </c>
      <c r="B6893">
        <v>0.37273428526767521</v>
      </c>
    </row>
    <row r="6894" spans="1:2" x14ac:dyDescent="0.25">
      <c r="A6894">
        <v>6865</v>
      </c>
      <c r="B6894">
        <v>8.3731085427844229E-2</v>
      </c>
    </row>
    <row r="6895" spans="1:2" x14ac:dyDescent="0.25">
      <c r="A6895">
        <v>6866</v>
      </c>
      <c r="B6895">
        <v>0.11929444938132694</v>
      </c>
    </row>
    <row r="6896" spans="1:2" x14ac:dyDescent="0.25">
      <c r="A6896">
        <v>6867</v>
      </c>
      <c r="B6896">
        <v>0.10402563701433112</v>
      </c>
    </row>
    <row r="6897" spans="1:2" x14ac:dyDescent="0.25">
      <c r="A6897">
        <v>6868</v>
      </c>
      <c r="B6897">
        <v>0.10539226300358406</v>
      </c>
    </row>
    <row r="6898" spans="1:2" x14ac:dyDescent="0.25">
      <c r="A6898">
        <v>6869</v>
      </c>
      <c r="B6898">
        <v>0.22707177231614137</v>
      </c>
    </row>
    <row r="6899" spans="1:2" x14ac:dyDescent="0.25">
      <c r="A6899">
        <v>6870</v>
      </c>
      <c r="B6899">
        <v>0.56962786909317875</v>
      </c>
    </row>
    <row r="6900" spans="1:2" x14ac:dyDescent="0.25">
      <c r="A6900">
        <v>6871</v>
      </c>
      <c r="B6900">
        <v>7.714296775017182E-2</v>
      </c>
    </row>
    <row r="6901" spans="1:2" x14ac:dyDescent="0.25">
      <c r="A6901">
        <v>6872</v>
      </c>
      <c r="B6901">
        <v>0.20472674823738571</v>
      </c>
    </row>
    <row r="6902" spans="1:2" x14ac:dyDescent="0.25">
      <c r="A6902">
        <v>6873</v>
      </c>
      <c r="B6902">
        <v>0.33014760604027221</v>
      </c>
    </row>
    <row r="6903" spans="1:2" x14ac:dyDescent="0.25">
      <c r="A6903">
        <v>6874</v>
      </c>
      <c r="B6903">
        <v>0.32761623321293121</v>
      </c>
    </row>
    <row r="6904" spans="1:2" x14ac:dyDescent="0.25">
      <c r="A6904">
        <v>6875</v>
      </c>
      <c r="B6904">
        <v>0.24976667391681401</v>
      </c>
    </row>
    <row r="6905" spans="1:2" x14ac:dyDescent="0.25">
      <c r="A6905">
        <v>6876</v>
      </c>
      <c r="B6905">
        <v>8.06620652381142E-2</v>
      </c>
    </row>
    <row r="6906" spans="1:2" x14ac:dyDescent="0.25">
      <c r="A6906">
        <v>6877</v>
      </c>
      <c r="B6906">
        <v>0.31184012954093832</v>
      </c>
    </row>
    <row r="6907" spans="1:2" x14ac:dyDescent="0.25">
      <c r="A6907">
        <v>6878</v>
      </c>
      <c r="B6907">
        <v>0.18701849072245422</v>
      </c>
    </row>
    <row r="6908" spans="1:2" x14ac:dyDescent="0.25">
      <c r="A6908">
        <v>6879</v>
      </c>
      <c r="B6908">
        <v>0.16035647972157485</v>
      </c>
    </row>
    <row r="6909" spans="1:2" x14ac:dyDescent="0.25">
      <c r="A6909">
        <v>6880</v>
      </c>
      <c r="B6909">
        <v>0.12567517852828394</v>
      </c>
    </row>
    <row r="6910" spans="1:2" x14ac:dyDescent="0.25">
      <c r="A6910">
        <v>6881</v>
      </c>
      <c r="B6910">
        <v>0.11421589140566453</v>
      </c>
    </row>
    <row r="6911" spans="1:2" x14ac:dyDescent="0.25">
      <c r="A6911">
        <v>6882</v>
      </c>
      <c r="B6911">
        <v>0.32049197318150507</v>
      </c>
    </row>
    <row r="6912" spans="1:2" x14ac:dyDescent="0.25">
      <c r="A6912">
        <v>6883</v>
      </c>
      <c r="B6912">
        <v>0.26861322827962208</v>
      </c>
    </row>
    <row r="6913" spans="1:2" x14ac:dyDescent="0.25">
      <c r="A6913">
        <v>6884</v>
      </c>
      <c r="B6913">
        <v>0.16397386251364113</v>
      </c>
    </row>
    <row r="6914" spans="1:2" x14ac:dyDescent="0.25">
      <c r="A6914">
        <v>6885</v>
      </c>
      <c r="B6914">
        <v>0.2449115366491797</v>
      </c>
    </row>
    <row r="6915" spans="1:2" x14ac:dyDescent="0.25">
      <c r="A6915">
        <v>6886</v>
      </c>
      <c r="B6915">
        <v>0.19514076565073971</v>
      </c>
    </row>
    <row r="6916" spans="1:2" x14ac:dyDescent="0.25">
      <c r="A6916">
        <v>6887</v>
      </c>
      <c r="B6916">
        <v>3.9927195275928667E-2</v>
      </c>
    </row>
    <row r="6917" spans="1:2" x14ac:dyDescent="0.25">
      <c r="A6917">
        <v>6888</v>
      </c>
      <c r="B6917">
        <v>0.55332601362125611</v>
      </c>
    </row>
    <row r="6918" spans="1:2" x14ac:dyDescent="0.25">
      <c r="A6918">
        <v>6889</v>
      </c>
      <c r="B6918">
        <v>0.16854913211235448</v>
      </c>
    </row>
    <row r="6919" spans="1:2" x14ac:dyDescent="0.25">
      <c r="A6919">
        <v>6890</v>
      </c>
      <c r="B6919">
        <v>0.10700042631535893</v>
      </c>
    </row>
    <row r="6920" spans="1:2" x14ac:dyDescent="0.25">
      <c r="A6920">
        <v>6891</v>
      </c>
      <c r="B6920">
        <v>6.0147010143670319E-2</v>
      </c>
    </row>
    <row r="6921" spans="1:2" x14ac:dyDescent="0.25">
      <c r="A6921">
        <v>6892</v>
      </c>
      <c r="B6921">
        <v>0.40159803828552443</v>
      </c>
    </row>
    <row r="6922" spans="1:2" x14ac:dyDescent="0.25">
      <c r="A6922">
        <v>6893</v>
      </c>
      <c r="B6922">
        <v>0.25393960002069799</v>
      </c>
    </row>
    <row r="6923" spans="1:2" x14ac:dyDescent="0.25">
      <c r="A6923">
        <v>6894</v>
      </c>
      <c r="B6923">
        <v>0.18282354405210999</v>
      </c>
    </row>
    <row r="6924" spans="1:2" x14ac:dyDescent="0.25">
      <c r="A6924">
        <v>6895</v>
      </c>
      <c r="B6924">
        <v>0.10022356677392688</v>
      </c>
    </row>
    <row r="6925" spans="1:2" x14ac:dyDescent="0.25">
      <c r="A6925">
        <v>6896</v>
      </c>
      <c r="B6925">
        <v>9.3845338422894164E-2</v>
      </c>
    </row>
    <row r="6926" spans="1:2" x14ac:dyDescent="0.25">
      <c r="A6926">
        <v>6897</v>
      </c>
      <c r="B6926">
        <v>9.4326433372843618E-2</v>
      </c>
    </row>
    <row r="6927" spans="1:2" x14ac:dyDescent="0.25">
      <c r="A6927">
        <v>6898</v>
      </c>
      <c r="B6927">
        <v>0.18623491784468962</v>
      </c>
    </row>
    <row r="6928" spans="1:2" x14ac:dyDescent="0.25">
      <c r="A6928">
        <v>6899</v>
      </c>
      <c r="B6928">
        <v>0.16502556173315056</v>
      </c>
    </row>
    <row r="6929" spans="1:2" x14ac:dyDescent="0.25">
      <c r="A6929">
        <v>6900</v>
      </c>
      <c r="B6929">
        <v>7.6577541897695847E-2</v>
      </c>
    </row>
    <row r="6930" spans="1:2" x14ac:dyDescent="0.25">
      <c r="A6930">
        <v>6901</v>
      </c>
      <c r="B6930">
        <v>8.0975155741689689E-2</v>
      </c>
    </row>
    <row r="6931" spans="1:2" x14ac:dyDescent="0.25">
      <c r="A6931">
        <v>6902</v>
      </c>
      <c r="B6931">
        <v>0.15765544846143903</v>
      </c>
    </row>
    <row r="6932" spans="1:2" x14ac:dyDescent="0.25">
      <c r="A6932">
        <v>6903</v>
      </c>
      <c r="B6932">
        <v>0.1538424899524112</v>
      </c>
    </row>
    <row r="6933" spans="1:2" x14ac:dyDescent="0.25">
      <c r="A6933">
        <v>6904</v>
      </c>
      <c r="B6933">
        <v>0.11475361176322048</v>
      </c>
    </row>
    <row r="6934" spans="1:2" x14ac:dyDescent="0.25">
      <c r="A6934">
        <v>6905</v>
      </c>
      <c r="B6934">
        <v>9.6314239788312939E-2</v>
      </c>
    </row>
    <row r="6935" spans="1:2" x14ac:dyDescent="0.25">
      <c r="A6935">
        <v>6906</v>
      </c>
      <c r="B6935">
        <v>0.2394434674481169</v>
      </c>
    </row>
    <row r="6936" spans="1:2" x14ac:dyDescent="0.25">
      <c r="A6936">
        <v>6907</v>
      </c>
      <c r="B6936">
        <v>5.0183306362785812E-2</v>
      </c>
    </row>
    <row r="6937" spans="1:2" x14ac:dyDescent="0.25">
      <c r="A6937">
        <v>6908</v>
      </c>
      <c r="B6937">
        <v>0.12503003672370022</v>
      </c>
    </row>
    <row r="6938" spans="1:2" x14ac:dyDescent="0.25">
      <c r="A6938">
        <v>6909</v>
      </c>
      <c r="B6938">
        <v>0.7451646540952912</v>
      </c>
    </row>
    <row r="6939" spans="1:2" x14ac:dyDescent="0.25">
      <c r="A6939">
        <v>6910</v>
      </c>
      <c r="B6939">
        <v>0.21471079528921438</v>
      </c>
    </row>
    <row r="6940" spans="1:2" x14ac:dyDescent="0.25">
      <c r="A6940">
        <v>6911</v>
      </c>
      <c r="B6940">
        <v>0.2915251661133817</v>
      </c>
    </row>
    <row r="6941" spans="1:2" x14ac:dyDescent="0.25">
      <c r="A6941">
        <v>6912</v>
      </c>
      <c r="B6941">
        <v>0.13734675628859669</v>
      </c>
    </row>
    <row r="6942" spans="1:2" x14ac:dyDescent="0.25">
      <c r="A6942">
        <v>6913</v>
      </c>
      <c r="B6942">
        <v>0.18391000863378845</v>
      </c>
    </row>
    <row r="6943" spans="1:2" x14ac:dyDescent="0.25">
      <c r="A6943">
        <v>6914</v>
      </c>
      <c r="B6943">
        <v>0.40340387934839966</v>
      </c>
    </row>
    <row r="6944" spans="1:2" x14ac:dyDescent="0.25">
      <c r="A6944">
        <v>6915</v>
      </c>
      <c r="B6944">
        <v>1.3208326971886926</v>
      </c>
    </row>
    <row r="6945" spans="1:2" x14ac:dyDescent="0.25">
      <c r="A6945">
        <v>6916</v>
      </c>
      <c r="B6945">
        <v>0.12526822869294832</v>
      </c>
    </row>
    <row r="6946" spans="1:2" x14ac:dyDescent="0.25">
      <c r="A6946">
        <v>6917</v>
      </c>
      <c r="B6946">
        <v>0.28088009497580368</v>
      </c>
    </row>
    <row r="6947" spans="1:2" x14ac:dyDescent="0.25">
      <c r="A6947">
        <v>6918</v>
      </c>
      <c r="B6947">
        <v>0.36836997250591991</v>
      </c>
    </row>
    <row r="6948" spans="1:2" x14ac:dyDescent="0.25">
      <c r="A6948">
        <v>6919</v>
      </c>
      <c r="B6948">
        <v>0.14628465895966092</v>
      </c>
    </row>
    <row r="6949" spans="1:2" x14ac:dyDescent="0.25">
      <c r="A6949">
        <v>6920</v>
      </c>
      <c r="B6949">
        <v>0.38117916161870774</v>
      </c>
    </row>
    <row r="6950" spans="1:2" x14ac:dyDescent="0.25">
      <c r="A6950">
        <v>6921</v>
      </c>
      <c r="B6950">
        <v>0.19669323837417174</v>
      </c>
    </row>
    <row r="6951" spans="1:2" x14ac:dyDescent="0.25">
      <c r="A6951">
        <v>6922</v>
      </c>
      <c r="B6951">
        <v>0.12542158330394185</v>
      </c>
    </row>
    <row r="6952" spans="1:2" x14ac:dyDescent="0.25">
      <c r="A6952">
        <v>6923</v>
      </c>
      <c r="B6952">
        <v>0.26559196848755962</v>
      </c>
    </row>
    <row r="6953" spans="1:2" x14ac:dyDescent="0.25">
      <c r="A6953">
        <v>6924</v>
      </c>
      <c r="B6953">
        <v>0.12470802212681248</v>
      </c>
    </row>
    <row r="6954" spans="1:2" x14ac:dyDescent="0.25">
      <c r="A6954">
        <v>6925</v>
      </c>
      <c r="B6954">
        <v>5.4432620140110896E-2</v>
      </c>
    </row>
    <row r="6955" spans="1:2" x14ac:dyDescent="0.25">
      <c r="A6955">
        <v>6926</v>
      </c>
      <c r="B6955">
        <v>0.13238851062410462</v>
      </c>
    </row>
    <row r="6956" spans="1:2" x14ac:dyDescent="0.25">
      <c r="A6956">
        <v>6927</v>
      </c>
      <c r="B6956">
        <v>0.19480141641719423</v>
      </c>
    </row>
    <row r="6957" spans="1:2" x14ac:dyDescent="0.25">
      <c r="A6957">
        <v>6928</v>
      </c>
      <c r="B6957">
        <v>0.24134539224026225</v>
      </c>
    </row>
    <row r="6958" spans="1:2" x14ac:dyDescent="0.25">
      <c r="A6958">
        <v>6929</v>
      </c>
      <c r="B6958">
        <v>8.5064630255977325E-2</v>
      </c>
    </row>
    <row r="6959" spans="1:2" x14ac:dyDescent="0.25">
      <c r="A6959">
        <v>6930</v>
      </c>
      <c r="B6959">
        <v>0.21210189803758556</v>
      </c>
    </row>
    <row r="6960" spans="1:2" x14ac:dyDescent="0.25">
      <c r="A6960">
        <v>6931</v>
      </c>
      <c r="B6960">
        <v>0.11402189640937292</v>
      </c>
    </row>
    <row r="6961" spans="1:2" x14ac:dyDescent="0.25">
      <c r="A6961">
        <v>6932</v>
      </c>
      <c r="B6961">
        <v>3.3684190592517545E-2</v>
      </c>
    </row>
    <row r="6962" spans="1:2" x14ac:dyDescent="0.25">
      <c r="A6962">
        <v>6933</v>
      </c>
      <c r="B6962">
        <v>0.10158761714255117</v>
      </c>
    </row>
    <row r="6963" spans="1:2" x14ac:dyDescent="0.25">
      <c r="A6963">
        <v>6934</v>
      </c>
      <c r="B6963">
        <v>0.66598306988940059</v>
      </c>
    </row>
    <row r="6964" spans="1:2" x14ac:dyDescent="0.25">
      <c r="A6964">
        <v>6935</v>
      </c>
      <c r="B6964">
        <v>0.11072720437767988</v>
      </c>
    </row>
    <row r="6965" spans="1:2" x14ac:dyDescent="0.25">
      <c r="A6965">
        <v>6936</v>
      </c>
      <c r="B6965">
        <v>0.40970747696966053</v>
      </c>
    </row>
    <row r="6966" spans="1:2" x14ac:dyDescent="0.25">
      <c r="A6966">
        <v>6937</v>
      </c>
      <c r="B6966">
        <v>2.4351163725098639E-2</v>
      </c>
    </row>
    <row r="6967" spans="1:2" x14ac:dyDescent="0.25">
      <c r="A6967">
        <v>6938</v>
      </c>
      <c r="B6967">
        <v>0.18291324097611703</v>
      </c>
    </row>
    <row r="6968" spans="1:2" x14ac:dyDescent="0.25">
      <c r="A6968">
        <v>6939</v>
      </c>
      <c r="B6968">
        <v>0.15039516371161873</v>
      </c>
    </row>
    <row r="6969" spans="1:2" x14ac:dyDescent="0.25">
      <c r="A6969">
        <v>6940</v>
      </c>
      <c r="B6969">
        <v>0.40484122471929324</v>
      </c>
    </row>
    <row r="6970" spans="1:2" x14ac:dyDescent="0.25">
      <c r="A6970">
        <v>6941</v>
      </c>
      <c r="B6970">
        <v>0.2271810288296966</v>
      </c>
    </row>
    <row r="6971" spans="1:2" x14ac:dyDescent="0.25">
      <c r="A6971">
        <v>6942</v>
      </c>
      <c r="B6971">
        <v>0.17077270656420787</v>
      </c>
    </row>
    <row r="6972" spans="1:2" x14ac:dyDescent="0.25">
      <c r="A6972">
        <v>6943</v>
      </c>
      <c r="B6972">
        <v>0.20196917667207404</v>
      </c>
    </row>
    <row r="6973" spans="1:2" x14ac:dyDescent="0.25">
      <c r="A6973">
        <v>6944</v>
      </c>
      <c r="B6973">
        <v>3.8006460525606994E-2</v>
      </c>
    </row>
    <row r="6974" spans="1:2" x14ac:dyDescent="0.25">
      <c r="A6974">
        <v>6945</v>
      </c>
      <c r="B6974">
        <v>0.2533615001425476</v>
      </c>
    </row>
    <row r="6975" spans="1:2" x14ac:dyDescent="0.25">
      <c r="A6975">
        <v>6946</v>
      </c>
      <c r="B6975">
        <v>0.11534910548806709</v>
      </c>
    </row>
    <row r="6976" spans="1:2" x14ac:dyDescent="0.25">
      <c r="A6976">
        <v>6947</v>
      </c>
      <c r="B6976">
        <v>0.31739471340149789</v>
      </c>
    </row>
    <row r="6977" spans="1:2" x14ac:dyDescent="0.25">
      <c r="A6977">
        <v>6948</v>
      </c>
      <c r="B6977">
        <v>0.12408746311224979</v>
      </c>
    </row>
    <row r="6978" spans="1:2" x14ac:dyDescent="0.25">
      <c r="A6978">
        <v>6949</v>
      </c>
      <c r="B6978">
        <v>0.10309705219917147</v>
      </c>
    </row>
    <row r="6979" spans="1:2" x14ac:dyDescent="0.25">
      <c r="A6979">
        <v>6950</v>
      </c>
      <c r="B6979">
        <v>0.1558285278914649</v>
      </c>
    </row>
    <row r="6980" spans="1:2" x14ac:dyDescent="0.25">
      <c r="A6980">
        <v>6951</v>
      </c>
      <c r="B6980">
        <v>8.6663243756257738E-2</v>
      </c>
    </row>
    <row r="6981" spans="1:2" x14ac:dyDescent="0.25">
      <c r="A6981">
        <v>6952</v>
      </c>
      <c r="B6981">
        <v>0.49009603941579533</v>
      </c>
    </row>
    <row r="6982" spans="1:2" x14ac:dyDescent="0.25">
      <c r="A6982">
        <v>6953</v>
      </c>
      <c r="B6982">
        <v>0.29866138949762178</v>
      </c>
    </row>
    <row r="6983" spans="1:2" x14ac:dyDescent="0.25">
      <c r="A6983">
        <v>6954</v>
      </c>
      <c r="B6983">
        <v>0.10758823753625991</v>
      </c>
    </row>
    <row r="6984" spans="1:2" x14ac:dyDescent="0.25">
      <c r="A6984">
        <v>6955</v>
      </c>
      <c r="B6984">
        <v>0.28112124546941775</v>
      </c>
    </row>
    <row r="6985" spans="1:2" x14ac:dyDescent="0.25">
      <c r="A6985">
        <v>6956</v>
      </c>
      <c r="B6985">
        <v>0.30284192067073396</v>
      </c>
    </row>
    <row r="6986" spans="1:2" x14ac:dyDescent="0.25">
      <c r="A6986">
        <v>6957</v>
      </c>
      <c r="B6986">
        <v>4.7588901931262161E-2</v>
      </c>
    </row>
    <row r="6987" spans="1:2" x14ac:dyDescent="0.25">
      <c r="A6987">
        <v>6958</v>
      </c>
      <c r="B6987">
        <v>0.13299095624978921</v>
      </c>
    </row>
    <row r="6988" spans="1:2" x14ac:dyDescent="0.25">
      <c r="A6988">
        <v>6959</v>
      </c>
      <c r="B6988">
        <v>0.48349992954206328</v>
      </c>
    </row>
    <row r="6989" spans="1:2" x14ac:dyDescent="0.25">
      <c r="A6989">
        <v>6960</v>
      </c>
      <c r="B6989">
        <v>7.3203404768734076E-2</v>
      </c>
    </row>
    <row r="6990" spans="1:2" x14ac:dyDescent="0.25">
      <c r="A6990">
        <v>6961</v>
      </c>
      <c r="B6990">
        <v>9.8868571210354736E-2</v>
      </c>
    </row>
    <row r="6991" spans="1:2" x14ac:dyDescent="0.25">
      <c r="A6991">
        <v>6962</v>
      </c>
      <c r="B6991">
        <v>0.13587384479527928</v>
      </c>
    </row>
    <row r="6992" spans="1:2" x14ac:dyDescent="0.25">
      <c r="A6992">
        <v>6963</v>
      </c>
      <c r="B6992">
        <v>0.13360960709239567</v>
      </c>
    </row>
    <row r="6993" spans="1:2" x14ac:dyDescent="0.25">
      <c r="A6993">
        <v>6964</v>
      </c>
      <c r="B6993">
        <v>0.14841853029609622</v>
      </c>
    </row>
    <row r="6994" spans="1:2" x14ac:dyDescent="0.25">
      <c r="A6994">
        <v>6965</v>
      </c>
      <c r="B6994">
        <v>0.42378835043123825</v>
      </c>
    </row>
    <row r="6995" spans="1:2" x14ac:dyDescent="0.25">
      <c r="A6995">
        <v>6966</v>
      </c>
      <c r="B6995">
        <v>0.15549895097353317</v>
      </c>
    </row>
    <row r="6996" spans="1:2" x14ac:dyDescent="0.25">
      <c r="A6996">
        <v>6967</v>
      </c>
      <c r="B6996">
        <v>0.19325630220973042</v>
      </c>
    </row>
    <row r="6997" spans="1:2" x14ac:dyDescent="0.25">
      <c r="A6997">
        <v>6968</v>
      </c>
      <c r="B6997">
        <v>0.15035887993015071</v>
      </c>
    </row>
    <row r="6998" spans="1:2" x14ac:dyDescent="0.25">
      <c r="A6998">
        <v>6969</v>
      </c>
      <c r="B6998">
        <v>0.24695585481768681</v>
      </c>
    </row>
    <row r="6999" spans="1:2" x14ac:dyDescent="0.25">
      <c r="A6999">
        <v>6970</v>
      </c>
      <c r="B6999">
        <v>0.20436417692475781</v>
      </c>
    </row>
    <row r="7000" spans="1:2" x14ac:dyDescent="0.25">
      <c r="A7000">
        <v>6971</v>
      </c>
      <c r="B7000">
        <v>0.1994584191168487</v>
      </c>
    </row>
    <row r="7001" spans="1:2" x14ac:dyDescent="0.25">
      <c r="A7001">
        <v>6972</v>
      </c>
      <c r="B7001">
        <v>7.6766795071294483E-2</v>
      </c>
    </row>
    <row r="7002" spans="1:2" x14ac:dyDescent="0.25">
      <c r="A7002">
        <v>6973</v>
      </c>
      <c r="B7002">
        <v>3.2671612866222742E-2</v>
      </c>
    </row>
    <row r="7003" spans="1:2" x14ac:dyDescent="0.25">
      <c r="A7003">
        <v>6974</v>
      </c>
      <c r="B7003">
        <v>0.21508353624477625</v>
      </c>
    </row>
    <row r="7004" spans="1:2" x14ac:dyDescent="0.25">
      <c r="A7004">
        <v>6975</v>
      </c>
      <c r="B7004">
        <v>0.17656901678559073</v>
      </c>
    </row>
    <row r="7005" spans="1:2" x14ac:dyDescent="0.25">
      <c r="A7005">
        <v>6976</v>
      </c>
      <c r="B7005">
        <v>0.18772119401202117</v>
      </c>
    </row>
    <row r="7006" spans="1:2" x14ac:dyDescent="0.25">
      <c r="A7006">
        <v>6977</v>
      </c>
      <c r="B7006">
        <v>0.1568811890975832</v>
      </c>
    </row>
    <row r="7007" spans="1:2" x14ac:dyDescent="0.25">
      <c r="A7007">
        <v>6978</v>
      </c>
      <c r="B7007">
        <v>7.0183162324096271E-2</v>
      </c>
    </row>
    <row r="7008" spans="1:2" x14ac:dyDescent="0.25">
      <c r="A7008">
        <v>6979</v>
      </c>
      <c r="B7008">
        <v>0.10661237178335362</v>
      </c>
    </row>
    <row r="7009" spans="1:2" x14ac:dyDescent="0.25">
      <c r="A7009">
        <v>6980</v>
      </c>
      <c r="B7009">
        <v>0.16643110512892623</v>
      </c>
    </row>
    <row r="7010" spans="1:2" x14ac:dyDescent="0.25">
      <c r="A7010">
        <v>6981</v>
      </c>
      <c r="B7010">
        <v>8.2543479301776579E-2</v>
      </c>
    </row>
    <row r="7011" spans="1:2" x14ac:dyDescent="0.25">
      <c r="A7011">
        <v>6982</v>
      </c>
      <c r="B7011">
        <v>0.32508566716279858</v>
      </c>
    </row>
    <row r="7012" spans="1:2" x14ac:dyDescent="0.25">
      <c r="A7012">
        <v>6983</v>
      </c>
      <c r="B7012">
        <v>0.22092879917471994</v>
      </c>
    </row>
    <row r="7013" spans="1:2" x14ac:dyDescent="0.25">
      <c r="A7013">
        <v>6984</v>
      </c>
      <c r="B7013">
        <v>0.36932849772868104</v>
      </c>
    </row>
    <row r="7014" spans="1:2" x14ac:dyDescent="0.25">
      <c r="A7014">
        <v>6985</v>
      </c>
      <c r="B7014">
        <v>6.8412766741456799E-2</v>
      </c>
    </row>
    <row r="7015" spans="1:2" x14ac:dyDescent="0.25">
      <c r="A7015">
        <v>6986</v>
      </c>
      <c r="B7015">
        <v>0.19970256186120044</v>
      </c>
    </row>
    <row r="7016" spans="1:2" x14ac:dyDescent="0.25">
      <c r="A7016">
        <v>6987</v>
      </c>
      <c r="B7016">
        <v>0.27898571685970935</v>
      </c>
    </row>
    <row r="7017" spans="1:2" x14ac:dyDescent="0.25">
      <c r="A7017">
        <v>6988</v>
      </c>
      <c r="B7017">
        <v>0.1602471797880812</v>
      </c>
    </row>
    <row r="7018" spans="1:2" x14ac:dyDescent="0.25">
      <c r="A7018">
        <v>6989</v>
      </c>
      <c r="B7018">
        <v>0.15511062481991544</v>
      </c>
    </row>
    <row r="7019" spans="1:2" x14ac:dyDescent="0.25">
      <c r="A7019">
        <v>6990</v>
      </c>
      <c r="B7019">
        <v>0.14741362199368774</v>
      </c>
    </row>
    <row r="7020" spans="1:2" x14ac:dyDescent="0.25">
      <c r="A7020">
        <v>6991</v>
      </c>
      <c r="B7020">
        <v>3.0240077497453641E-2</v>
      </c>
    </row>
    <row r="7021" spans="1:2" x14ac:dyDescent="0.25">
      <c r="A7021">
        <v>6992</v>
      </c>
      <c r="B7021">
        <v>0.28375767691407527</v>
      </c>
    </row>
    <row r="7022" spans="1:2" x14ac:dyDescent="0.25">
      <c r="A7022">
        <v>6993</v>
      </c>
      <c r="B7022">
        <v>0.23228634772259629</v>
      </c>
    </row>
    <row r="7023" spans="1:2" x14ac:dyDescent="0.25">
      <c r="A7023">
        <v>6994</v>
      </c>
      <c r="B7023">
        <v>0.29460400676370441</v>
      </c>
    </row>
    <row r="7024" spans="1:2" x14ac:dyDescent="0.25">
      <c r="A7024">
        <v>6995</v>
      </c>
      <c r="B7024">
        <v>0.20883552432945987</v>
      </c>
    </row>
    <row r="7025" spans="1:2" x14ac:dyDescent="0.25">
      <c r="A7025">
        <v>6996</v>
      </c>
      <c r="B7025">
        <v>0.34907170048405983</v>
      </c>
    </row>
    <row r="7026" spans="1:2" x14ac:dyDescent="0.25">
      <c r="A7026">
        <v>6997</v>
      </c>
      <c r="B7026">
        <v>0.2287719441813662</v>
      </c>
    </row>
    <row r="7027" spans="1:2" x14ac:dyDescent="0.25">
      <c r="A7027">
        <v>6998</v>
      </c>
      <c r="B7027">
        <v>0.48849489277326669</v>
      </c>
    </row>
    <row r="7028" spans="1:2" x14ac:dyDescent="0.25">
      <c r="A7028">
        <v>6999</v>
      </c>
      <c r="B7028">
        <v>0.62524791403442348</v>
      </c>
    </row>
    <row r="7029" spans="1:2" x14ac:dyDescent="0.25">
      <c r="A7029">
        <v>7000</v>
      </c>
      <c r="B7029">
        <v>0.24288251399781388</v>
      </c>
    </row>
    <row r="7030" spans="1:2" x14ac:dyDescent="0.25">
      <c r="A7030">
        <v>7001</v>
      </c>
      <c r="B7030">
        <v>0.27623718198479019</v>
      </c>
    </row>
    <row r="7031" spans="1:2" x14ac:dyDescent="0.25">
      <c r="A7031">
        <v>7002</v>
      </c>
      <c r="B7031">
        <v>0.2060387058110015</v>
      </c>
    </row>
    <row r="7032" spans="1:2" x14ac:dyDescent="0.25">
      <c r="A7032">
        <v>7003</v>
      </c>
      <c r="B7032">
        <v>8.9023264373536123E-2</v>
      </c>
    </row>
    <row r="7033" spans="1:2" x14ac:dyDescent="0.25">
      <c r="A7033">
        <v>7004</v>
      </c>
      <c r="B7033">
        <v>0.14771277994342472</v>
      </c>
    </row>
    <row r="7034" spans="1:2" x14ac:dyDescent="0.25">
      <c r="A7034">
        <v>7005</v>
      </c>
      <c r="B7034">
        <v>9.985231872875952E-2</v>
      </c>
    </row>
    <row r="7035" spans="1:2" x14ac:dyDescent="0.25">
      <c r="A7035">
        <v>7006</v>
      </c>
      <c r="B7035">
        <v>8.4365417546023808E-2</v>
      </c>
    </row>
    <row r="7036" spans="1:2" x14ac:dyDescent="0.25">
      <c r="A7036">
        <v>7007</v>
      </c>
      <c r="B7036">
        <v>0.25056348061488248</v>
      </c>
    </row>
    <row r="7037" spans="1:2" x14ac:dyDescent="0.25">
      <c r="A7037">
        <v>7008</v>
      </c>
      <c r="B7037">
        <v>9.5190298951140784E-2</v>
      </c>
    </row>
    <row r="7038" spans="1:2" x14ac:dyDescent="0.25">
      <c r="A7038">
        <v>7009</v>
      </c>
      <c r="B7038">
        <v>0.29956543719995399</v>
      </c>
    </row>
    <row r="7039" spans="1:2" x14ac:dyDescent="0.25">
      <c r="A7039">
        <v>7010</v>
      </c>
      <c r="B7039">
        <v>9.3853119847635724E-2</v>
      </c>
    </row>
    <row r="7040" spans="1:2" x14ac:dyDescent="0.25">
      <c r="A7040">
        <v>7011</v>
      </c>
      <c r="B7040">
        <v>7.0034711481226336E-2</v>
      </c>
    </row>
    <row r="7041" spans="1:2" x14ac:dyDescent="0.25">
      <c r="A7041">
        <v>7012</v>
      </c>
      <c r="B7041">
        <v>0.17665235859406403</v>
      </c>
    </row>
    <row r="7042" spans="1:2" x14ac:dyDescent="0.25">
      <c r="A7042">
        <v>7013</v>
      </c>
      <c r="B7042">
        <v>0.24810030323530585</v>
      </c>
    </row>
    <row r="7043" spans="1:2" x14ac:dyDescent="0.25">
      <c r="A7043">
        <v>7014</v>
      </c>
      <c r="B7043">
        <v>0.16957011956760218</v>
      </c>
    </row>
    <row r="7044" spans="1:2" x14ac:dyDescent="0.25">
      <c r="A7044">
        <v>7015</v>
      </c>
      <c r="B7044">
        <v>8.6492994311103619E-2</v>
      </c>
    </row>
    <row r="7045" spans="1:2" x14ac:dyDescent="0.25">
      <c r="A7045">
        <v>7016</v>
      </c>
      <c r="B7045">
        <v>8.0453444305219848E-2</v>
      </c>
    </row>
    <row r="7046" spans="1:2" x14ac:dyDescent="0.25">
      <c r="A7046">
        <v>7017</v>
      </c>
      <c r="B7046">
        <v>0.14646172648587877</v>
      </c>
    </row>
    <row r="7047" spans="1:2" x14ac:dyDescent="0.25">
      <c r="A7047">
        <v>7018</v>
      </c>
      <c r="B7047">
        <v>0.17304383814392177</v>
      </c>
    </row>
    <row r="7048" spans="1:2" x14ac:dyDescent="0.25">
      <c r="A7048">
        <v>7019</v>
      </c>
      <c r="B7048">
        <v>0.17361075926940331</v>
      </c>
    </row>
    <row r="7049" spans="1:2" x14ac:dyDescent="0.25">
      <c r="A7049">
        <v>7020</v>
      </c>
      <c r="B7049">
        <v>6.4384217773516023E-2</v>
      </c>
    </row>
    <row r="7050" spans="1:2" x14ac:dyDescent="0.25">
      <c r="A7050">
        <v>7021</v>
      </c>
      <c r="B7050">
        <v>8.3144002606043155E-2</v>
      </c>
    </row>
    <row r="7051" spans="1:2" x14ac:dyDescent="0.25">
      <c r="A7051">
        <v>7022</v>
      </c>
      <c r="B7051">
        <v>0.20714295403273961</v>
      </c>
    </row>
    <row r="7052" spans="1:2" x14ac:dyDescent="0.25">
      <c r="A7052">
        <v>7023</v>
      </c>
      <c r="B7052">
        <v>6.1499709928073583E-2</v>
      </c>
    </row>
    <row r="7053" spans="1:2" x14ac:dyDescent="0.25">
      <c r="A7053">
        <v>7024</v>
      </c>
      <c r="B7053">
        <v>0.12247624100854222</v>
      </c>
    </row>
    <row r="7054" spans="1:2" x14ac:dyDescent="0.25">
      <c r="A7054">
        <v>7025</v>
      </c>
      <c r="B7054">
        <v>0.10902464080361575</v>
      </c>
    </row>
    <row r="7055" spans="1:2" x14ac:dyDescent="0.25">
      <c r="A7055">
        <v>7026</v>
      </c>
      <c r="B7055">
        <v>0.14164164909110369</v>
      </c>
    </row>
    <row r="7056" spans="1:2" x14ac:dyDescent="0.25">
      <c r="A7056">
        <v>7027</v>
      </c>
      <c r="B7056">
        <v>0.50705556920490036</v>
      </c>
    </row>
    <row r="7057" spans="1:2" x14ac:dyDescent="0.25">
      <c r="A7057">
        <v>7028</v>
      </c>
      <c r="B7057">
        <v>0.13506763365435895</v>
      </c>
    </row>
    <row r="7058" spans="1:2" x14ac:dyDescent="0.25">
      <c r="A7058">
        <v>7029</v>
      </c>
      <c r="B7058">
        <v>0.25734381372909526</v>
      </c>
    </row>
    <row r="7059" spans="1:2" x14ac:dyDescent="0.25">
      <c r="A7059">
        <v>7030</v>
      </c>
      <c r="B7059">
        <v>0.26758113027721275</v>
      </c>
    </row>
    <row r="7060" spans="1:2" x14ac:dyDescent="0.25">
      <c r="A7060">
        <v>7031</v>
      </c>
      <c r="B7060">
        <v>0.29210296191909119</v>
      </c>
    </row>
    <row r="7061" spans="1:2" x14ac:dyDescent="0.25">
      <c r="A7061">
        <v>7032</v>
      </c>
      <c r="B7061">
        <v>0.24589589463543496</v>
      </c>
    </row>
    <row r="7062" spans="1:2" x14ac:dyDescent="0.25">
      <c r="A7062">
        <v>7033</v>
      </c>
      <c r="B7062">
        <v>0.38710976799672653</v>
      </c>
    </row>
    <row r="7063" spans="1:2" x14ac:dyDescent="0.25">
      <c r="A7063">
        <v>7034</v>
      </c>
      <c r="B7063">
        <v>0.16730863572035531</v>
      </c>
    </row>
    <row r="7064" spans="1:2" x14ac:dyDescent="0.25">
      <c r="A7064">
        <v>7035</v>
      </c>
      <c r="B7064">
        <v>7.0073478069339071E-2</v>
      </c>
    </row>
    <row r="7065" spans="1:2" x14ac:dyDescent="0.25">
      <c r="A7065">
        <v>7036</v>
      </c>
      <c r="B7065">
        <v>0.20953145806842949</v>
      </c>
    </row>
    <row r="7066" spans="1:2" x14ac:dyDescent="0.25">
      <c r="A7066">
        <v>7037</v>
      </c>
      <c r="B7066">
        <v>0.51813441814726469</v>
      </c>
    </row>
    <row r="7067" spans="1:2" x14ac:dyDescent="0.25">
      <c r="A7067">
        <v>7038</v>
      </c>
      <c r="B7067">
        <v>0.25229978819966331</v>
      </c>
    </row>
    <row r="7068" spans="1:2" x14ac:dyDescent="0.25">
      <c r="A7068">
        <v>7039</v>
      </c>
      <c r="B7068">
        <v>0.34654431320707274</v>
      </c>
    </row>
    <row r="7069" spans="1:2" x14ac:dyDescent="0.25">
      <c r="A7069">
        <v>7040</v>
      </c>
      <c r="B7069">
        <v>1.0892015706713163</v>
      </c>
    </row>
    <row r="7070" spans="1:2" x14ac:dyDescent="0.25">
      <c r="A7070">
        <v>7041</v>
      </c>
      <c r="B7070">
        <v>6.4492663558160024E-2</v>
      </c>
    </row>
    <row r="7071" spans="1:2" x14ac:dyDescent="0.25">
      <c r="A7071">
        <v>7042</v>
      </c>
      <c r="B7071">
        <v>0.12508601868302494</v>
      </c>
    </row>
    <row r="7072" spans="1:2" x14ac:dyDescent="0.25">
      <c r="A7072">
        <v>7043</v>
      </c>
      <c r="B7072">
        <v>0.16825880884424924</v>
      </c>
    </row>
    <row r="7073" spans="1:2" x14ac:dyDescent="0.25">
      <c r="A7073">
        <v>7044</v>
      </c>
      <c r="B7073">
        <v>0.33039864495264665</v>
      </c>
    </row>
    <row r="7074" spans="1:2" x14ac:dyDescent="0.25">
      <c r="A7074">
        <v>7045</v>
      </c>
      <c r="B7074">
        <v>0.14071511035040254</v>
      </c>
    </row>
    <row r="7075" spans="1:2" x14ac:dyDescent="0.25">
      <c r="A7075">
        <v>7046</v>
      </c>
      <c r="B7075">
        <v>0.19067288829544507</v>
      </c>
    </row>
    <row r="7076" spans="1:2" x14ac:dyDescent="0.25">
      <c r="A7076">
        <v>7047</v>
      </c>
      <c r="B7076">
        <v>5.9838051796333315E-2</v>
      </c>
    </row>
    <row r="7077" spans="1:2" x14ac:dyDescent="0.25">
      <c r="A7077">
        <v>7048</v>
      </c>
      <c r="B7077">
        <v>0.15925194796990425</v>
      </c>
    </row>
    <row r="7078" spans="1:2" x14ac:dyDescent="0.25">
      <c r="A7078">
        <v>7049</v>
      </c>
      <c r="B7078">
        <v>0.16175739354714516</v>
      </c>
    </row>
    <row r="7079" spans="1:2" x14ac:dyDescent="0.25">
      <c r="A7079">
        <v>7050</v>
      </c>
      <c r="B7079">
        <v>0.12447005690974131</v>
      </c>
    </row>
    <row r="7080" spans="1:2" x14ac:dyDescent="0.25">
      <c r="A7080">
        <v>7051</v>
      </c>
      <c r="B7080">
        <v>0.18354729445169227</v>
      </c>
    </row>
    <row r="7081" spans="1:2" x14ac:dyDescent="0.25">
      <c r="A7081">
        <v>7052</v>
      </c>
      <c r="B7081">
        <v>0.10497773505022753</v>
      </c>
    </row>
    <row r="7082" spans="1:2" x14ac:dyDescent="0.25">
      <c r="A7082">
        <v>7053</v>
      </c>
      <c r="B7082">
        <v>0.14561533784323524</v>
      </c>
    </row>
    <row r="7083" spans="1:2" x14ac:dyDescent="0.25">
      <c r="A7083">
        <v>7054</v>
      </c>
      <c r="B7083">
        <v>0.2396857992395619</v>
      </c>
    </row>
    <row r="7084" spans="1:2" x14ac:dyDescent="0.25">
      <c r="A7084">
        <v>7055</v>
      </c>
      <c r="B7084">
        <v>0.16372211779056686</v>
      </c>
    </row>
    <row r="7085" spans="1:2" x14ac:dyDescent="0.25">
      <c r="A7085">
        <v>7056</v>
      </c>
      <c r="B7085">
        <v>6.2296805123705161E-2</v>
      </c>
    </row>
    <row r="7086" spans="1:2" x14ac:dyDescent="0.25">
      <c r="A7086">
        <v>7057</v>
      </c>
      <c r="B7086">
        <v>0.56266829143959152</v>
      </c>
    </row>
    <row r="7087" spans="1:2" x14ac:dyDescent="0.25">
      <c r="A7087">
        <v>7058</v>
      </c>
      <c r="B7087">
        <v>0.25608696931450675</v>
      </c>
    </row>
    <row r="7088" spans="1:2" x14ac:dyDescent="0.25">
      <c r="A7088">
        <v>7059</v>
      </c>
      <c r="B7088">
        <v>0.4152608712140527</v>
      </c>
    </row>
    <row r="7089" spans="1:2" x14ac:dyDescent="0.25">
      <c r="A7089">
        <v>7060</v>
      </c>
      <c r="B7089">
        <v>1.3208326971886926</v>
      </c>
    </row>
    <row r="7090" spans="1:2" x14ac:dyDescent="0.25">
      <c r="A7090">
        <v>7061</v>
      </c>
      <c r="B7090">
        <v>9.9031807643066821E-2</v>
      </c>
    </row>
    <row r="7091" spans="1:2" x14ac:dyDescent="0.25">
      <c r="A7091">
        <v>7062</v>
      </c>
      <c r="B7091">
        <v>1.3208326971886926</v>
      </c>
    </row>
    <row r="7092" spans="1:2" x14ac:dyDescent="0.25">
      <c r="A7092">
        <v>7063</v>
      </c>
      <c r="B7092">
        <v>5.7079170495821563E-2</v>
      </c>
    </row>
    <row r="7093" spans="1:2" x14ac:dyDescent="0.25">
      <c r="A7093">
        <v>7064</v>
      </c>
      <c r="B7093">
        <v>0.1560133152123358</v>
      </c>
    </row>
    <row r="7094" spans="1:2" x14ac:dyDescent="0.25">
      <c r="A7094">
        <v>7065</v>
      </c>
      <c r="B7094">
        <v>0.21588724805741474</v>
      </c>
    </row>
    <row r="7095" spans="1:2" x14ac:dyDescent="0.25">
      <c r="A7095">
        <v>7066</v>
      </c>
      <c r="B7095">
        <v>0.69027554639665079</v>
      </c>
    </row>
    <row r="7096" spans="1:2" x14ac:dyDescent="0.25">
      <c r="A7096">
        <v>7067</v>
      </c>
      <c r="B7096">
        <v>0.43595178024278836</v>
      </c>
    </row>
    <row r="7097" spans="1:2" x14ac:dyDescent="0.25">
      <c r="A7097">
        <v>7068</v>
      </c>
      <c r="B7097">
        <v>0.10547353550256029</v>
      </c>
    </row>
    <row r="7098" spans="1:2" x14ac:dyDescent="0.25">
      <c r="A7098">
        <v>7069</v>
      </c>
      <c r="B7098">
        <v>7.027934601220287E-2</v>
      </c>
    </row>
    <row r="7099" spans="1:2" x14ac:dyDescent="0.25">
      <c r="A7099">
        <v>7070</v>
      </c>
      <c r="B7099">
        <v>0.14254885358296729</v>
      </c>
    </row>
    <row r="7100" spans="1:2" x14ac:dyDescent="0.25">
      <c r="A7100">
        <v>7071</v>
      </c>
      <c r="B7100">
        <v>0.26893552028815554</v>
      </c>
    </row>
    <row r="7101" spans="1:2" x14ac:dyDescent="0.25">
      <c r="A7101">
        <v>7072</v>
      </c>
      <c r="B7101">
        <v>0.16107760887155445</v>
      </c>
    </row>
    <row r="7102" spans="1:2" x14ac:dyDescent="0.25">
      <c r="A7102">
        <v>7073</v>
      </c>
      <c r="B7102">
        <v>0.37393023188089791</v>
      </c>
    </row>
    <row r="7103" spans="1:2" x14ac:dyDescent="0.25">
      <c r="A7103">
        <v>7074</v>
      </c>
      <c r="B7103">
        <v>0.13660855871000785</v>
      </c>
    </row>
    <row r="7104" spans="1:2" x14ac:dyDescent="0.25">
      <c r="A7104">
        <v>7075</v>
      </c>
      <c r="B7104">
        <v>0.18444771189031509</v>
      </c>
    </row>
    <row r="7105" spans="1:2" x14ac:dyDescent="0.25">
      <c r="A7105">
        <v>7076</v>
      </c>
      <c r="B7105">
        <v>0.42631608852216041</v>
      </c>
    </row>
    <row r="7106" spans="1:2" x14ac:dyDescent="0.25">
      <c r="A7106">
        <v>7077</v>
      </c>
      <c r="B7106">
        <v>0.11281721644811715</v>
      </c>
    </row>
    <row r="7107" spans="1:2" x14ac:dyDescent="0.25">
      <c r="A7107">
        <v>7078</v>
      </c>
      <c r="B7107">
        <v>0.42364180746989655</v>
      </c>
    </row>
    <row r="7108" spans="1:2" x14ac:dyDescent="0.25">
      <c r="A7108">
        <v>7079</v>
      </c>
      <c r="B7108">
        <v>0.51601649930358473</v>
      </c>
    </row>
    <row r="7109" spans="1:2" x14ac:dyDescent="0.25">
      <c r="A7109">
        <v>7080</v>
      </c>
      <c r="B7109">
        <v>0.10393512010622293</v>
      </c>
    </row>
    <row r="7110" spans="1:2" x14ac:dyDescent="0.25">
      <c r="A7110">
        <v>7081</v>
      </c>
      <c r="B7110">
        <v>8.3632383346070885E-2</v>
      </c>
    </row>
    <row r="7111" spans="1:2" x14ac:dyDescent="0.25">
      <c r="A7111">
        <v>7082</v>
      </c>
      <c r="B7111">
        <v>0.24430098421397647</v>
      </c>
    </row>
    <row r="7112" spans="1:2" x14ac:dyDescent="0.25">
      <c r="A7112">
        <v>7083</v>
      </c>
      <c r="B7112">
        <v>0.16244564825769209</v>
      </c>
    </row>
    <row r="7113" spans="1:2" x14ac:dyDescent="0.25">
      <c r="A7113">
        <v>7084</v>
      </c>
      <c r="B7113">
        <v>0.17344296883645088</v>
      </c>
    </row>
    <row r="7114" spans="1:2" x14ac:dyDescent="0.25">
      <c r="A7114">
        <v>7085</v>
      </c>
      <c r="B7114">
        <v>0.28152854043774467</v>
      </c>
    </row>
    <row r="7115" spans="1:2" x14ac:dyDescent="0.25">
      <c r="A7115">
        <v>7086</v>
      </c>
      <c r="B7115">
        <v>0.22906869188422466</v>
      </c>
    </row>
    <row r="7116" spans="1:2" x14ac:dyDescent="0.25">
      <c r="A7116">
        <v>7087</v>
      </c>
      <c r="B7116">
        <v>0.16326002189898806</v>
      </c>
    </row>
    <row r="7117" spans="1:2" x14ac:dyDescent="0.25">
      <c r="A7117">
        <v>7088</v>
      </c>
      <c r="B7117">
        <v>0.15704806921652106</v>
      </c>
    </row>
    <row r="7118" spans="1:2" x14ac:dyDescent="0.25">
      <c r="A7118">
        <v>7089</v>
      </c>
      <c r="B7118">
        <v>0.12629615211849074</v>
      </c>
    </row>
    <row r="7119" spans="1:2" x14ac:dyDescent="0.25">
      <c r="A7119">
        <v>7090</v>
      </c>
      <c r="B7119">
        <v>0.10284316847444835</v>
      </c>
    </row>
    <row r="7120" spans="1:2" x14ac:dyDescent="0.25">
      <c r="A7120">
        <v>7091</v>
      </c>
      <c r="B7120">
        <v>9.0964282809693972E-2</v>
      </c>
    </row>
    <row r="7121" spans="1:2" x14ac:dyDescent="0.25">
      <c r="A7121">
        <v>7092</v>
      </c>
      <c r="B7121">
        <v>0.71744850086084888</v>
      </c>
    </row>
    <row r="7122" spans="1:2" x14ac:dyDescent="0.25">
      <c r="A7122">
        <v>7093</v>
      </c>
      <c r="B7122">
        <v>6.0819094120241383E-2</v>
      </c>
    </row>
    <row r="7123" spans="1:2" x14ac:dyDescent="0.25">
      <c r="A7123">
        <v>7094</v>
      </c>
      <c r="B7123">
        <v>0.1043009380880718</v>
      </c>
    </row>
    <row r="7124" spans="1:2" x14ac:dyDescent="0.25">
      <c r="A7124">
        <v>7095</v>
      </c>
      <c r="B7124">
        <v>0.10217536750841241</v>
      </c>
    </row>
    <row r="7125" spans="1:2" x14ac:dyDescent="0.25">
      <c r="A7125">
        <v>7096</v>
      </c>
      <c r="B7125">
        <v>0.39214575030328508</v>
      </c>
    </row>
    <row r="7126" spans="1:2" x14ac:dyDescent="0.25">
      <c r="A7126">
        <v>7097</v>
      </c>
      <c r="B7126">
        <v>0.35250424743715458</v>
      </c>
    </row>
    <row r="7127" spans="1:2" x14ac:dyDescent="0.25">
      <c r="A7127">
        <v>7098</v>
      </c>
      <c r="B7127">
        <v>0.20724726310872826</v>
      </c>
    </row>
    <row r="7128" spans="1:2" x14ac:dyDescent="0.25">
      <c r="A7128">
        <v>7099</v>
      </c>
      <c r="B7128">
        <v>4.9881014184289967E-2</v>
      </c>
    </row>
    <row r="7129" spans="1:2" x14ac:dyDescent="0.25">
      <c r="A7129">
        <v>7100</v>
      </c>
      <c r="B7129">
        <v>4.9129121934635159E-2</v>
      </c>
    </row>
    <row r="7130" spans="1:2" x14ac:dyDescent="0.25">
      <c r="A7130">
        <v>7101</v>
      </c>
      <c r="B7130">
        <v>0.14502717368699569</v>
      </c>
    </row>
    <row r="7131" spans="1:2" x14ac:dyDescent="0.25">
      <c r="A7131">
        <v>7102</v>
      </c>
      <c r="B7131">
        <v>0.13933203156407292</v>
      </c>
    </row>
    <row r="7132" spans="1:2" x14ac:dyDescent="0.25">
      <c r="A7132">
        <v>7103</v>
      </c>
      <c r="B7132">
        <v>9.3016244387575761E-2</v>
      </c>
    </row>
    <row r="7133" spans="1:2" x14ac:dyDescent="0.25">
      <c r="A7133">
        <v>7104</v>
      </c>
      <c r="B7133">
        <v>0.12601859633779772</v>
      </c>
    </row>
    <row r="7134" spans="1:2" x14ac:dyDescent="0.25">
      <c r="A7134">
        <v>7105</v>
      </c>
      <c r="B7134">
        <v>0.36924034410242823</v>
      </c>
    </row>
    <row r="7135" spans="1:2" x14ac:dyDescent="0.25">
      <c r="A7135">
        <v>7106</v>
      </c>
      <c r="B7135">
        <v>0.35343874705061701</v>
      </c>
    </row>
    <row r="7136" spans="1:2" x14ac:dyDescent="0.25">
      <c r="A7136">
        <v>7107</v>
      </c>
      <c r="B7136">
        <v>0.10337505244957365</v>
      </c>
    </row>
    <row r="7137" spans="1:2" x14ac:dyDescent="0.25">
      <c r="A7137">
        <v>7108</v>
      </c>
      <c r="B7137">
        <v>0.54402377383110856</v>
      </c>
    </row>
    <row r="7138" spans="1:2" x14ac:dyDescent="0.25">
      <c r="A7138">
        <v>7109</v>
      </c>
      <c r="B7138">
        <v>0.44110238481077046</v>
      </c>
    </row>
    <row r="7139" spans="1:2" x14ac:dyDescent="0.25">
      <c r="A7139">
        <v>7110</v>
      </c>
      <c r="B7139">
        <v>0.10013156933150916</v>
      </c>
    </row>
    <row r="7140" spans="1:2" x14ac:dyDescent="0.25">
      <c r="A7140">
        <v>7111</v>
      </c>
      <c r="B7140">
        <v>0.27850541885326302</v>
      </c>
    </row>
    <row r="7141" spans="1:2" x14ac:dyDescent="0.25">
      <c r="A7141">
        <v>7112</v>
      </c>
      <c r="B7141">
        <v>0.24904552236562033</v>
      </c>
    </row>
    <row r="7142" spans="1:2" x14ac:dyDescent="0.25">
      <c r="A7142">
        <v>7113</v>
      </c>
      <c r="B7142">
        <v>9.96833686167342E-2</v>
      </c>
    </row>
    <row r="7143" spans="1:2" x14ac:dyDescent="0.25">
      <c r="A7143">
        <v>7114</v>
      </c>
      <c r="B7143">
        <v>0.29029006435935534</v>
      </c>
    </row>
    <row r="7144" spans="1:2" x14ac:dyDescent="0.25">
      <c r="A7144">
        <v>7115</v>
      </c>
      <c r="B7144">
        <v>0.1818296309957384</v>
      </c>
    </row>
    <row r="7145" spans="1:2" x14ac:dyDescent="0.25">
      <c r="A7145">
        <v>7116</v>
      </c>
      <c r="B7145">
        <v>8.3547347979076245E-2</v>
      </c>
    </row>
    <row r="7146" spans="1:2" x14ac:dyDescent="0.25">
      <c r="A7146">
        <v>7117</v>
      </c>
      <c r="B7146">
        <v>0.60189073136127758</v>
      </c>
    </row>
    <row r="7147" spans="1:2" x14ac:dyDescent="0.25">
      <c r="A7147">
        <v>7118</v>
      </c>
      <c r="B7147">
        <v>0.21750963839278581</v>
      </c>
    </row>
    <row r="7148" spans="1:2" x14ac:dyDescent="0.25">
      <c r="A7148">
        <v>7119</v>
      </c>
      <c r="B7148">
        <v>0.15420367552829076</v>
      </c>
    </row>
    <row r="7149" spans="1:2" x14ac:dyDescent="0.25">
      <c r="A7149">
        <v>7120</v>
      </c>
      <c r="B7149">
        <v>0.56156913077600557</v>
      </c>
    </row>
    <row r="7150" spans="1:2" x14ac:dyDescent="0.25">
      <c r="A7150">
        <v>7121</v>
      </c>
      <c r="B7150">
        <v>0.24392720101207399</v>
      </c>
    </row>
    <row r="7151" spans="1:2" x14ac:dyDescent="0.25">
      <c r="A7151">
        <v>7122</v>
      </c>
      <c r="B7151">
        <v>0.15834400778769708</v>
      </c>
    </row>
    <row r="7152" spans="1:2" x14ac:dyDescent="0.25">
      <c r="A7152">
        <v>7123</v>
      </c>
      <c r="B7152">
        <v>0.19536081306985578</v>
      </c>
    </row>
    <row r="7153" spans="1:2" x14ac:dyDescent="0.25">
      <c r="A7153">
        <v>7124</v>
      </c>
      <c r="B7153">
        <v>0.12507788991902929</v>
      </c>
    </row>
    <row r="7154" spans="1:2" x14ac:dyDescent="0.25">
      <c r="A7154">
        <v>7125</v>
      </c>
      <c r="B7154">
        <v>0.46549121365558116</v>
      </c>
    </row>
    <row r="7155" spans="1:2" x14ac:dyDescent="0.25">
      <c r="A7155">
        <v>7126</v>
      </c>
      <c r="B7155">
        <v>0.12893977905806595</v>
      </c>
    </row>
    <row r="7156" spans="1:2" x14ac:dyDescent="0.25">
      <c r="A7156">
        <v>7127</v>
      </c>
      <c r="B7156">
        <v>0.23835812747240068</v>
      </c>
    </row>
    <row r="7157" spans="1:2" x14ac:dyDescent="0.25">
      <c r="A7157">
        <v>7128</v>
      </c>
      <c r="B7157">
        <v>0.1577785438352747</v>
      </c>
    </row>
    <row r="7158" spans="1:2" x14ac:dyDescent="0.25">
      <c r="A7158">
        <v>7129</v>
      </c>
      <c r="B7158">
        <v>0.35605763054092104</v>
      </c>
    </row>
    <row r="7159" spans="1:2" x14ac:dyDescent="0.25">
      <c r="A7159">
        <v>7130</v>
      </c>
      <c r="B7159">
        <v>0.15356141508304982</v>
      </c>
    </row>
    <row r="7160" spans="1:2" x14ac:dyDescent="0.25">
      <c r="A7160">
        <v>7131</v>
      </c>
      <c r="B7160">
        <v>9.3988553127360833E-2</v>
      </c>
    </row>
    <row r="7161" spans="1:2" x14ac:dyDescent="0.25">
      <c r="A7161">
        <v>7132</v>
      </c>
      <c r="B7161">
        <v>0.16023096826551494</v>
      </c>
    </row>
    <row r="7162" spans="1:2" x14ac:dyDescent="0.25">
      <c r="A7162">
        <v>7133</v>
      </c>
      <c r="B7162">
        <v>0.2205650677793323</v>
      </c>
    </row>
    <row r="7163" spans="1:2" x14ac:dyDescent="0.25">
      <c r="A7163">
        <v>7134</v>
      </c>
      <c r="B7163">
        <v>0.14313343071629842</v>
      </c>
    </row>
    <row r="7164" spans="1:2" x14ac:dyDescent="0.25">
      <c r="A7164">
        <v>7135</v>
      </c>
      <c r="B7164">
        <v>8.4662319225467783E-2</v>
      </c>
    </row>
    <row r="7165" spans="1:2" x14ac:dyDescent="0.25">
      <c r="A7165">
        <v>7136</v>
      </c>
      <c r="B7165">
        <v>0.25328747936416746</v>
      </c>
    </row>
    <row r="7166" spans="1:2" x14ac:dyDescent="0.25">
      <c r="A7166">
        <v>7137</v>
      </c>
      <c r="B7166">
        <v>4.9668215510408134E-2</v>
      </c>
    </row>
    <row r="7167" spans="1:2" x14ac:dyDescent="0.25">
      <c r="A7167">
        <v>7138</v>
      </c>
      <c r="B7167">
        <v>5.906110907868109E-2</v>
      </c>
    </row>
    <row r="7168" spans="1:2" x14ac:dyDescent="0.25">
      <c r="A7168">
        <v>7139</v>
      </c>
      <c r="B7168">
        <v>0.14438860680849661</v>
      </c>
    </row>
    <row r="7169" spans="1:2" x14ac:dyDescent="0.25">
      <c r="A7169">
        <v>7140</v>
      </c>
      <c r="B7169">
        <v>0.26528950234569387</v>
      </c>
    </row>
    <row r="7170" spans="1:2" x14ac:dyDescent="0.25">
      <c r="A7170">
        <v>7141</v>
      </c>
      <c r="B7170">
        <v>0.58471739197740924</v>
      </c>
    </row>
    <row r="7171" spans="1:2" x14ac:dyDescent="0.25">
      <c r="A7171">
        <v>7142</v>
      </c>
      <c r="B7171">
        <v>0.33805391175904848</v>
      </c>
    </row>
    <row r="7172" spans="1:2" x14ac:dyDescent="0.25">
      <c r="A7172">
        <v>7143</v>
      </c>
      <c r="B7172">
        <v>0.71364127852389692</v>
      </c>
    </row>
    <row r="7173" spans="1:2" x14ac:dyDescent="0.25">
      <c r="A7173">
        <v>7144</v>
      </c>
      <c r="B7173">
        <v>0.11549012947284108</v>
      </c>
    </row>
    <row r="7174" spans="1:2" x14ac:dyDescent="0.25">
      <c r="A7174">
        <v>7145</v>
      </c>
      <c r="B7174">
        <v>0.3074904018855813</v>
      </c>
    </row>
    <row r="7175" spans="1:2" x14ac:dyDescent="0.25">
      <c r="A7175">
        <v>7146</v>
      </c>
      <c r="B7175">
        <v>0.46980891301754402</v>
      </c>
    </row>
    <row r="7176" spans="1:2" x14ac:dyDescent="0.25">
      <c r="A7176">
        <v>7147</v>
      </c>
      <c r="B7176">
        <v>0.50470349632938261</v>
      </c>
    </row>
    <row r="7177" spans="1:2" x14ac:dyDescent="0.25">
      <c r="A7177">
        <v>7148</v>
      </c>
      <c r="B7177">
        <v>9.9906840031182442E-2</v>
      </c>
    </row>
    <row r="7178" spans="1:2" x14ac:dyDescent="0.25">
      <c r="A7178">
        <v>7149</v>
      </c>
      <c r="B7178">
        <v>0.20628652656837543</v>
      </c>
    </row>
    <row r="7179" spans="1:2" x14ac:dyDescent="0.25">
      <c r="A7179">
        <v>7150</v>
      </c>
      <c r="B7179">
        <v>0.10219195239885957</v>
      </c>
    </row>
    <row r="7180" spans="1:2" x14ac:dyDescent="0.25">
      <c r="A7180">
        <v>7151</v>
      </c>
      <c r="B7180">
        <v>7.4615688093397359E-2</v>
      </c>
    </row>
    <row r="7181" spans="1:2" x14ac:dyDescent="0.25">
      <c r="A7181">
        <v>7152</v>
      </c>
      <c r="B7181">
        <v>0.18366386090461259</v>
      </c>
    </row>
    <row r="7182" spans="1:2" x14ac:dyDescent="0.25">
      <c r="A7182">
        <v>7153</v>
      </c>
      <c r="B7182">
        <v>0.12967781809772938</v>
      </c>
    </row>
    <row r="7183" spans="1:2" x14ac:dyDescent="0.25">
      <c r="A7183">
        <v>7154</v>
      </c>
      <c r="B7183">
        <v>0.27634977714516523</v>
      </c>
    </row>
    <row r="7184" spans="1:2" x14ac:dyDescent="0.25">
      <c r="A7184">
        <v>7155</v>
      </c>
      <c r="B7184">
        <v>0.11731590036309844</v>
      </c>
    </row>
    <row r="7185" spans="1:2" x14ac:dyDescent="0.25">
      <c r="A7185">
        <v>7156</v>
      </c>
      <c r="B7185">
        <v>0.13459737490978163</v>
      </c>
    </row>
    <row r="7186" spans="1:2" x14ac:dyDescent="0.25">
      <c r="A7186">
        <v>7157</v>
      </c>
      <c r="B7186">
        <v>0.17128774145462511</v>
      </c>
    </row>
    <row r="7187" spans="1:2" x14ac:dyDescent="0.25">
      <c r="A7187">
        <v>7158</v>
      </c>
      <c r="B7187">
        <v>0.22609630616840051</v>
      </c>
    </row>
    <row r="7188" spans="1:2" x14ac:dyDescent="0.25">
      <c r="A7188">
        <v>7159</v>
      </c>
      <c r="B7188">
        <v>0.10047797040889048</v>
      </c>
    </row>
    <row r="7189" spans="1:2" x14ac:dyDescent="0.25">
      <c r="A7189">
        <v>7160</v>
      </c>
      <c r="B7189">
        <v>5.1698894588222286E-2</v>
      </c>
    </row>
    <row r="7190" spans="1:2" x14ac:dyDescent="0.25">
      <c r="A7190">
        <v>7161</v>
      </c>
      <c r="B7190">
        <v>0.28105517391373025</v>
      </c>
    </row>
    <row r="7191" spans="1:2" x14ac:dyDescent="0.25">
      <c r="A7191">
        <v>7162</v>
      </c>
      <c r="B7191">
        <v>0.55008200626179238</v>
      </c>
    </row>
    <row r="7192" spans="1:2" x14ac:dyDescent="0.25">
      <c r="A7192">
        <v>7163</v>
      </c>
      <c r="B7192">
        <v>0.11438233155465939</v>
      </c>
    </row>
    <row r="7193" spans="1:2" x14ac:dyDescent="0.25">
      <c r="A7193">
        <v>7164</v>
      </c>
      <c r="B7193">
        <v>0.26114884640142305</v>
      </c>
    </row>
    <row r="7194" spans="1:2" x14ac:dyDescent="0.25">
      <c r="A7194">
        <v>7165</v>
      </c>
      <c r="B7194">
        <v>0.14790304794551826</v>
      </c>
    </row>
    <row r="7195" spans="1:2" x14ac:dyDescent="0.25">
      <c r="A7195">
        <v>7166</v>
      </c>
      <c r="B7195">
        <v>5.5199658407885252E-2</v>
      </c>
    </row>
    <row r="7196" spans="1:2" x14ac:dyDescent="0.25">
      <c r="A7196">
        <v>7167</v>
      </c>
      <c r="B7196">
        <v>7.6048583997380861E-2</v>
      </c>
    </row>
    <row r="7197" spans="1:2" x14ac:dyDescent="0.25">
      <c r="A7197">
        <v>7168</v>
      </c>
      <c r="B7197">
        <v>0.12676710136908059</v>
      </c>
    </row>
    <row r="7198" spans="1:2" x14ac:dyDescent="0.25">
      <c r="A7198">
        <v>7169</v>
      </c>
      <c r="B7198">
        <v>5.8982756628646479E-2</v>
      </c>
    </row>
    <row r="7199" spans="1:2" x14ac:dyDescent="0.25">
      <c r="A7199">
        <v>7170</v>
      </c>
      <c r="B7199">
        <v>0.14026416481604789</v>
      </c>
    </row>
    <row r="7200" spans="1:2" x14ac:dyDescent="0.25">
      <c r="A7200">
        <v>7171</v>
      </c>
      <c r="B7200">
        <v>0.19686436529562296</v>
      </c>
    </row>
    <row r="7201" spans="1:2" x14ac:dyDescent="0.25">
      <c r="A7201">
        <v>7172</v>
      </c>
      <c r="B7201">
        <v>0.18838879859861371</v>
      </c>
    </row>
    <row r="7202" spans="1:2" x14ac:dyDescent="0.25">
      <c r="A7202">
        <v>7173</v>
      </c>
      <c r="B7202">
        <v>0.18594257554020746</v>
      </c>
    </row>
    <row r="7203" spans="1:2" x14ac:dyDescent="0.25">
      <c r="A7203">
        <v>7174</v>
      </c>
      <c r="B7203">
        <v>0.20107057073962833</v>
      </c>
    </row>
    <row r="7204" spans="1:2" x14ac:dyDescent="0.25">
      <c r="A7204">
        <v>7175</v>
      </c>
      <c r="B7204">
        <v>0.16141311747711412</v>
      </c>
    </row>
    <row r="7205" spans="1:2" x14ac:dyDescent="0.25">
      <c r="A7205">
        <v>7176</v>
      </c>
      <c r="B7205">
        <v>0.21059016679130152</v>
      </c>
    </row>
    <row r="7206" spans="1:2" x14ac:dyDescent="0.25">
      <c r="A7206">
        <v>7177</v>
      </c>
      <c r="B7206">
        <v>0.40393520762841634</v>
      </c>
    </row>
    <row r="7207" spans="1:2" x14ac:dyDescent="0.25">
      <c r="A7207">
        <v>7178</v>
      </c>
      <c r="B7207">
        <v>0.4087964086405772</v>
      </c>
    </row>
    <row r="7208" spans="1:2" x14ac:dyDescent="0.25">
      <c r="A7208">
        <v>7179</v>
      </c>
      <c r="B7208">
        <v>6.9226545743307222E-2</v>
      </c>
    </row>
    <row r="7209" spans="1:2" x14ac:dyDescent="0.25">
      <c r="A7209">
        <v>7180</v>
      </c>
      <c r="B7209">
        <v>0.17601373249191238</v>
      </c>
    </row>
    <row r="7210" spans="1:2" x14ac:dyDescent="0.25">
      <c r="A7210">
        <v>7181</v>
      </c>
      <c r="B7210">
        <v>7.5548496177149788E-2</v>
      </c>
    </row>
    <row r="7211" spans="1:2" x14ac:dyDescent="0.25">
      <c r="A7211">
        <v>7182</v>
      </c>
      <c r="B7211">
        <v>0.21651783643915096</v>
      </c>
    </row>
    <row r="7212" spans="1:2" x14ac:dyDescent="0.25">
      <c r="A7212">
        <v>7183</v>
      </c>
      <c r="B7212">
        <v>0.34766400587871255</v>
      </c>
    </row>
    <row r="7213" spans="1:2" x14ac:dyDescent="0.25">
      <c r="A7213">
        <v>7184</v>
      </c>
      <c r="B7213">
        <v>2.0311644900132566E-2</v>
      </c>
    </row>
    <row r="7214" spans="1:2" x14ac:dyDescent="0.25">
      <c r="A7214">
        <v>7185</v>
      </c>
      <c r="B7214">
        <v>0.115075787854274</v>
      </c>
    </row>
    <row r="7215" spans="1:2" x14ac:dyDescent="0.25">
      <c r="A7215">
        <v>7186</v>
      </c>
      <c r="B7215">
        <v>0.22520439339144546</v>
      </c>
    </row>
    <row r="7216" spans="1:2" x14ac:dyDescent="0.25">
      <c r="A7216">
        <v>7187</v>
      </c>
      <c r="B7216">
        <v>0.13996840230737306</v>
      </c>
    </row>
    <row r="7217" spans="1:2" x14ac:dyDescent="0.25">
      <c r="A7217">
        <v>7188</v>
      </c>
      <c r="B7217">
        <v>0.10127386696286521</v>
      </c>
    </row>
    <row r="7218" spans="1:2" x14ac:dyDescent="0.25">
      <c r="A7218">
        <v>7189</v>
      </c>
      <c r="B7218">
        <v>0.12615910950289913</v>
      </c>
    </row>
    <row r="7219" spans="1:2" x14ac:dyDescent="0.25">
      <c r="A7219">
        <v>7190</v>
      </c>
      <c r="B7219">
        <v>0.11680746881572898</v>
      </c>
    </row>
    <row r="7220" spans="1:2" x14ac:dyDescent="0.25">
      <c r="A7220">
        <v>7191</v>
      </c>
      <c r="B7220">
        <v>0.21046719941760178</v>
      </c>
    </row>
    <row r="7221" spans="1:2" x14ac:dyDescent="0.25">
      <c r="A7221">
        <v>7192</v>
      </c>
      <c r="B7221">
        <v>0.19244534066075406</v>
      </c>
    </row>
    <row r="7222" spans="1:2" x14ac:dyDescent="0.25">
      <c r="A7222">
        <v>7193</v>
      </c>
      <c r="B7222">
        <v>0.38515052030114882</v>
      </c>
    </row>
    <row r="7223" spans="1:2" x14ac:dyDescent="0.25">
      <c r="A7223">
        <v>7194</v>
      </c>
      <c r="B7223">
        <v>0.21517564929243593</v>
      </c>
    </row>
    <row r="7224" spans="1:2" x14ac:dyDescent="0.25">
      <c r="A7224">
        <v>7195</v>
      </c>
      <c r="B7224">
        <v>0.15590236729348067</v>
      </c>
    </row>
    <row r="7225" spans="1:2" x14ac:dyDescent="0.25">
      <c r="A7225">
        <v>7196</v>
      </c>
      <c r="B7225">
        <v>0.10157879289435327</v>
      </c>
    </row>
    <row r="7226" spans="1:2" x14ac:dyDescent="0.25">
      <c r="A7226">
        <v>7197</v>
      </c>
      <c r="B7226">
        <v>0.29640514648448196</v>
      </c>
    </row>
    <row r="7227" spans="1:2" x14ac:dyDescent="0.25">
      <c r="A7227">
        <v>7198</v>
      </c>
      <c r="B7227">
        <v>0.27259554940196773</v>
      </c>
    </row>
    <row r="7228" spans="1:2" x14ac:dyDescent="0.25">
      <c r="A7228">
        <v>7199</v>
      </c>
      <c r="B7228">
        <v>0.16458448145130783</v>
      </c>
    </row>
    <row r="7229" spans="1:2" x14ac:dyDescent="0.25">
      <c r="A7229">
        <v>7200</v>
      </c>
      <c r="B7229">
        <v>0.11413175696957495</v>
      </c>
    </row>
    <row r="7230" spans="1:2" x14ac:dyDescent="0.25">
      <c r="A7230">
        <v>7201</v>
      </c>
      <c r="B7230">
        <v>0.21063657349519413</v>
      </c>
    </row>
    <row r="7231" spans="1:2" x14ac:dyDescent="0.25">
      <c r="A7231">
        <v>7202</v>
      </c>
      <c r="B7231">
        <v>0.2018297231483194</v>
      </c>
    </row>
    <row r="7232" spans="1:2" x14ac:dyDescent="0.25">
      <c r="A7232">
        <v>7203</v>
      </c>
      <c r="B7232">
        <v>0.27602125511472669</v>
      </c>
    </row>
    <row r="7233" spans="1:2" x14ac:dyDescent="0.25">
      <c r="A7233">
        <v>7204</v>
      </c>
      <c r="B7233">
        <v>0.13838200095965947</v>
      </c>
    </row>
    <row r="7234" spans="1:2" x14ac:dyDescent="0.25">
      <c r="A7234">
        <v>7205</v>
      </c>
      <c r="B7234">
        <v>0.63694250460671598</v>
      </c>
    </row>
    <row r="7235" spans="1:2" x14ac:dyDescent="0.25">
      <c r="A7235">
        <v>7206</v>
      </c>
      <c r="B7235">
        <v>6.1007993540632889E-2</v>
      </c>
    </row>
    <row r="7236" spans="1:2" x14ac:dyDescent="0.25">
      <c r="A7236">
        <v>7207</v>
      </c>
      <c r="B7236">
        <v>1.3208326971886926</v>
      </c>
    </row>
    <row r="7237" spans="1:2" x14ac:dyDescent="0.25">
      <c r="A7237">
        <v>7208</v>
      </c>
      <c r="B7237">
        <v>0.41921404384618227</v>
      </c>
    </row>
    <row r="7238" spans="1:2" x14ac:dyDescent="0.25">
      <c r="A7238">
        <v>7209</v>
      </c>
      <c r="B7238">
        <v>8.3723510031019396E-2</v>
      </c>
    </row>
    <row r="7239" spans="1:2" x14ac:dyDescent="0.25">
      <c r="A7239">
        <v>7210</v>
      </c>
      <c r="B7239">
        <v>0.23671728135306844</v>
      </c>
    </row>
    <row r="7240" spans="1:2" x14ac:dyDescent="0.25">
      <c r="A7240">
        <v>7211</v>
      </c>
      <c r="B7240">
        <v>0.13916045760883203</v>
      </c>
    </row>
    <row r="7241" spans="1:2" x14ac:dyDescent="0.25">
      <c r="A7241">
        <v>7212</v>
      </c>
      <c r="B7241">
        <v>0.12887294197812613</v>
      </c>
    </row>
    <row r="7242" spans="1:2" x14ac:dyDescent="0.25">
      <c r="A7242">
        <v>7213</v>
      </c>
      <c r="B7242">
        <v>0.43365029682611156</v>
      </c>
    </row>
    <row r="7243" spans="1:2" x14ac:dyDescent="0.25">
      <c r="A7243">
        <v>7214</v>
      </c>
      <c r="B7243">
        <v>5.0678048857876627E-2</v>
      </c>
    </row>
    <row r="7244" spans="1:2" x14ac:dyDescent="0.25">
      <c r="A7244">
        <v>7215</v>
      </c>
      <c r="B7244">
        <v>7.0015790331175234E-2</v>
      </c>
    </row>
    <row r="7245" spans="1:2" x14ac:dyDescent="0.25">
      <c r="A7245">
        <v>7216</v>
      </c>
      <c r="B7245">
        <v>0.14426648763141353</v>
      </c>
    </row>
    <row r="7246" spans="1:2" x14ac:dyDescent="0.25">
      <c r="A7246">
        <v>7217</v>
      </c>
      <c r="B7246">
        <v>0.10942888733782076</v>
      </c>
    </row>
    <row r="7247" spans="1:2" x14ac:dyDescent="0.25">
      <c r="A7247">
        <v>7218</v>
      </c>
      <c r="B7247">
        <v>0.38662431743436193</v>
      </c>
    </row>
    <row r="7248" spans="1:2" x14ac:dyDescent="0.25">
      <c r="A7248">
        <v>7219</v>
      </c>
      <c r="B7248">
        <v>6.140831096950327E-2</v>
      </c>
    </row>
    <row r="7249" spans="1:2" x14ac:dyDescent="0.25">
      <c r="A7249">
        <v>7220</v>
      </c>
      <c r="B7249">
        <v>0.19317854080635199</v>
      </c>
    </row>
    <row r="7250" spans="1:2" x14ac:dyDescent="0.25">
      <c r="A7250">
        <v>7221</v>
      </c>
      <c r="B7250">
        <v>0.18948119702766053</v>
      </c>
    </row>
    <row r="7251" spans="1:2" x14ac:dyDescent="0.25">
      <c r="A7251">
        <v>7222</v>
      </c>
      <c r="B7251">
        <v>0.48087442939262537</v>
      </c>
    </row>
    <row r="7252" spans="1:2" x14ac:dyDescent="0.25">
      <c r="A7252">
        <v>7223</v>
      </c>
      <c r="B7252">
        <v>7.1344109530615846E-2</v>
      </c>
    </row>
    <row r="7253" spans="1:2" x14ac:dyDescent="0.25">
      <c r="A7253">
        <v>7224</v>
      </c>
      <c r="B7253">
        <v>0.39942397647911215</v>
      </c>
    </row>
    <row r="7254" spans="1:2" x14ac:dyDescent="0.25">
      <c r="A7254">
        <v>7225</v>
      </c>
      <c r="B7254">
        <v>0.13065489560337126</v>
      </c>
    </row>
    <row r="7255" spans="1:2" x14ac:dyDescent="0.25">
      <c r="A7255">
        <v>7226</v>
      </c>
      <c r="B7255">
        <v>0.31596510525614607</v>
      </c>
    </row>
    <row r="7256" spans="1:2" x14ac:dyDescent="0.25">
      <c r="A7256">
        <v>7227</v>
      </c>
      <c r="B7256">
        <v>0.3846385030128</v>
      </c>
    </row>
    <row r="7257" spans="1:2" x14ac:dyDescent="0.25">
      <c r="A7257">
        <v>7228</v>
      </c>
      <c r="B7257">
        <v>9.0514063775907372E-2</v>
      </c>
    </row>
    <row r="7258" spans="1:2" x14ac:dyDescent="0.25">
      <c r="A7258">
        <v>7229</v>
      </c>
      <c r="B7258">
        <v>0.12538446408396253</v>
      </c>
    </row>
    <row r="7259" spans="1:2" x14ac:dyDescent="0.25">
      <c r="A7259">
        <v>7230</v>
      </c>
      <c r="B7259">
        <v>0.30683134935171474</v>
      </c>
    </row>
    <row r="7260" spans="1:2" x14ac:dyDescent="0.25">
      <c r="A7260">
        <v>7231</v>
      </c>
      <c r="B7260">
        <v>8.0542694581431859E-2</v>
      </c>
    </row>
    <row r="7261" spans="1:2" x14ac:dyDescent="0.25">
      <c r="A7261">
        <v>7232</v>
      </c>
      <c r="B7261">
        <v>0.29657621083167912</v>
      </c>
    </row>
    <row r="7262" spans="1:2" x14ac:dyDescent="0.25">
      <c r="A7262">
        <v>7233</v>
      </c>
      <c r="B7262">
        <v>0.21521701571010912</v>
      </c>
    </row>
    <row r="7263" spans="1:2" x14ac:dyDescent="0.25">
      <c r="A7263">
        <v>7234</v>
      </c>
      <c r="B7263">
        <v>0.2591522945605666</v>
      </c>
    </row>
    <row r="7264" spans="1:2" x14ac:dyDescent="0.25">
      <c r="A7264">
        <v>7235</v>
      </c>
      <c r="B7264">
        <v>0.14571296936059713</v>
      </c>
    </row>
    <row r="7265" spans="1:2" x14ac:dyDescent="0.25">
      <c r="A7265">
        <v>7236</v>
      </c>
      <c r="B7265">
        <v>0.11806123733635875</v>
      </c>
    </row>
    <row r="7266" spans="1:2" x14ac:dyDescent="0.25">
      <c r="A7266">
        <v>7237</v>
      </c>
      <c r="B7266">
        <v>0.14301260373809019</v>
      </c>
    </row>
    <row r="7267" spans="1:2" x14ac:dyDescent="0.25">
      <c r="A7267">
        <v>7238</v>
      </c>
      <c r="B7267">
        <v>8.4302148246744243E-2</v>
      </c>
    </row>
    <row r="7268" spans="1:2" x14ac:dyDescent="0.25">
      <c r="A7268">
        <v>7239</v>
      </c>
      <c r="B7268">
        <v>0.58980374288712589</v>
      </c>
    </row>
    <row r="7269" spans="1:2" x14ac:dyDescent="0.25">
      <c r="A7269">
        <v>7240</v>
      </c>
      <c r="B7269">
        <v>0.24327665558746334</v>
      </c>
    </row>
    <row r="7270" spans="1:2" x14ac:dyDescent="0.25">
      <c r="A7270">
        <v>7241</v>
      </c>
      <c r="B7270">
        <v>0.13250618374442319</v>
      </c>
    </row>
    <row r="7271" spans="1:2" x14ac:dyDescent="0.25">
      <c r="A7271">
        <v>7242</v>
      </c>
      <c r="B7271">
        <v>0.4051355682318391</v>
      </c>
    </row>
    <row r="7272" spans="1:2" x14ac:dyDescent="0.25">
      <c r="A7272">
        <v>7243</v>
      </c>
      <c r="B7272">
        <v>0.29667738304291807</v>
      </c>
    </row>
    <row r="7273" spans="1:2" x14ac:dyDescent="0.25">
      <c r="A7273">
        <v>7244</v>
      </c>
      <c r="B7273">
        <v>0.1302210022602418</v>
      </c>
    </row>
    <row r="7274" spans="1:2" x14ac:dyDescent="0.25">
      <c r="A7274">
        <v>7245</v>
      </c>
      <c r="B7274">
        <v>0.11158769887796581</v>
      </c>
    </row>
    <row r="7275" spans="1:2" x14ac:dyDescent="0.25">
      <c r="A7275">
        <v>7246</v>
      </c>
      <c r="B7275">
        <v>0.14349459639454867</v>
      </c>
    </row>
    <row r="7276" spans="1:2" x14ac:dyDescent="0.25">
      <c r="A7276">
        <v>7247</v>
      </c>
      <c r="B7276">
        <v>0.14135592036615985</v>
      </c>
    </row>
    <row r="7277" spans="1:2" x14ac:dyDescent="0.25">
      <c r="A7277">
        <v>7248</v>
      </c>
      <c r="B7277">
        <v>0.14331363673329031</v>
      </c>
    </row>
    <row r="7278" spans="1:2" x14ac:dyDescent="0.25">
      <c r="A7278">
        <v>7249</v>
      </c>
      <c r="B7278">
        <v>0.32494954102249662</v>
      </c>
    </row>
    <row r="7279" spans="1:2" x14ac:dyDescent="0.25">
      <c r="A7279">
        <v>7250</v>
      </c>
      <c r="B7279">
        <v>0.12818381744844939</v>
      </c>
    </row>
    <row r="7280" spans="1:2" x14ac:dyDescent="0.25">
      <c r="A7280">
        <v>7251</v>
      </c>
      <c r="B7280">
        <v>0.10732096520864963</v>
      </c>
    </row>
    <row r="7281" spans="1:2" x14ac:dyDescent="0.25">
      <c r="A7281">
        <v>7252</v>
      </c>
      <c r="B7281">
        <v>0.36768380708834542</v>
      </c>
    </row>
    <row r="7282" spans="1:2" x14ac:dyDescent="0.25">
      <c r="A7282">
        <v>7253</v>
      </c>
      <c r="B7282">
        <v>0.13774808534653235</v>
      </c>
    </row>
    <row r="7283" spans="1:2" x14ac:dyDescent="0.25">
      <c r="A7283">
        <v>7254</v>
      </c>
      <c r="B7283">
        <v>0.16513454319635187</v>
      </c>
    </row>
    <row r="7284" spans="1:2" x14ac:dyDescent="0.25">
      <c r="A7284">
        <v>7255</v>
      </c>
      <c r="B7284">
        <v>0.27240974346467078</v>
      </c>
    </row>
    <row r="7285" spans="1:2" x14ac:dyDescent="0.25">
      <c r="A7285">
        <v>7256</v>
      </c>
      <c r="B7285">
        <v>0.48922576892811659</v>
      </c>
    </row>
    <row r="7286" spans="1:2" x14ac:dyDescent="0.25">
      <c r="A7286">
        <v>7257</v>
      </c>
      <c r="B7286">
        <v>0.13469500618979621</v>
      </c>
    </row>
    <row r="7287" spans="1:2" x14ac:dyDescent="0.25">
      <c r="A7287">
        <v>7258</v>
      </c>
      <c r="B7287">
        <v>0.22570318482519178</v>
      </c>
    </row>
    <row r="7288" spans="1:2" x14ac:dyDescent="0.25">
      <c r="A7288">
        <v>7259</v>
      </c>
      <c r="B7288">
        <v>7.5719617362828215E-2</v>
      </c>
    </row>
    <row r="7289" spans="1:2" x14ac:dyDescent="0.25">
      <c r="A7289">
        <v>7260</v>
      </c>
      <c r="B7289">
        <v>9.2944141562756349E-2</v>
      </c>
    </row>
    <row r="7290" spans="1:2" x14ac:dyDescent="0.25">
      <c r="A7290">
        <v>7261</v>
      </c>
      <c r="B7290">
        <v>0.32412153970699559</v>
      </c>
    </row>
    <row r="7291" spans="1:2" x14ac:dyDescent="0.25">
      <c r="A7291">
        <v>7262</v>
      </c>
      <c r="B7291">
        <v>7.8475664468916503E-2</v>
      </c>
    </row>
    <row r="7292" spans="1:2" x14ac:dyDescent="0.25">
      <c r="A7292">
        <v>7263</v>
      </c>
      <c r="B7292">
        <v>0.30122006999542961</v>
      </c>
    </row>
    <row r="7293" spans="1:2" x14ac:dyDescent="0.25">
      <c r="A7293">
        <v>7264</v>
      </c>
      <c r="B7293">
        <v>0.13933482484868903</v>
      </c>
    </row>
    <row r="7294" spans="1:2" x14ac:dyDescent="0.25">
      <c r="A7294">
        <v>7265</v>
      </c>
      <c r="B7294">
        <v>0.41783639364462477</v>
      </c>
    </row>
    <row r="7295" spans="1:2" x14ac:dyDescent="0.25">
      <c r="A7295">
        <v>7266</v>
      </c>
      <c r="B7295">
        <v>0.24596956252321983</v>
      </c>
    </row>
    <row r="7296" spans="1:2" x14ac:dyDescent="0.25">
      <c r="A7296">
        <v>7267</v>
      </c>
      <c r="B7296">
        <v>0.7268098918821434</v>
      </c>
    </row>
    <row r="7297" spans="1:2" x14ac:dyDescent="0.25">
      <c r="A7297">
        <v>7268</v>
      </c>
      <c r="B7297">
        <v>0.18424038124960268</v>
      </c>
    </row>
    <row r="7298" spans="1:2" x14ac:dyDescent="0.25">
      <c r="A7298">
        <v>7269</v>
      </c>
      <c r="B7298">
        <v>0.27601141930934686</v>
      </c>
    </row>
    <row r="7299" spans="1:2" x14ac:dyDescent="0.25">
      <c r="A7299">
        <v>7270</v>
      </c>
      <c r="B7299">
        <v>5.6667559181764748E-2</v>
      </c>
    </row>
    <row r="7300" spans="1:2" x14ac:dyDescent="0.25">
      <c r="A7300">
        <v>7271</v>
      </c>
      <c r="B7300">
        <v>0.47223086278690407</v>
      </c>
    </row>
    <row r="7301" spans="1:2" x14ac:dyDescent="0.25">
      <c r="A7301">
        <v>7272</v>
      </c>
      <c r="B7301">
        <v>0.26493019700746812</v>
      </c>
    </row>
    <row r="7302" spans="1:2" x14ac:dyDescent="0.25">
      <c r="A7302">
        <v>7273</v>
      </c>
      <c r="B7302">
        <v>8.0529062170513005E-2</v>
      </c>
    </row>
    <row r="7303" spans="1:2" x14ac:dyDescent="0.25">
      <c r="A7303">
        <v>7274</v>
      </c>
      <c r="B7303">
        <v>0.15677477784673965</v>
      </c>
    </row>
    <row r="7304" spans="1:2" x14ac:dyDescent="0.25">
      <c r="A7304">
        <v>7275</v>
      </c>
      <c r="B7304">
        <v>0.18357419687364854</v>
      </c>
    </row>
    <row r="7305" spans="1:2" x14ac:dyDescent="0.25">
      <c r="A7305">
        <v>7276</v>
      </c>
      <c r="B7305">
        <v>0.18225304054892963</v>
      </c>
    </row>
    <row r="7306" spans="1:2" x14ac:dyDescent="0.25">
      <c r="A7306">
        <v>7277</v>
      </c>
      <c r="B7306">
        <v>0.12822977211678097</v>
      </c>
    </row>
    <row r="7307" spans="1:2" x14ac:dyDescent="0.25">
      <c r="A7307">
        <v>7278</v>
      </c>
      <c r="B7307">
        <v>0.1839826855197508</v>
      </c>
    </row>
    <row r="7308" spans="1:2" x14ac:dyDescent="0.25">
      <c r="A7308">
        <v>7279</v>
      </c>
      <c r="B7308">
        <v>0.21284263179436216</v>
      </c>
    </row>
    <row r="7309" spans="1:2" x14ac:dyDescent="0.25">
      <c r="A7309">
        <v>7280</v>
      </c>
      <c r="B7309">
        <v>0.4216112144936171</v>
      </c>
    </row>
    <row r="7310" spans="1:2" x14ac:dyDescent="0.25">
      <c r="A7310">
        <v>7281</v>
      </c>
      <c r="B7310">
        <v>0.38440823074793418</v>
      </c>
    </row>
    <row r="7311" spans="1:2" x14ac:dyDescent="0.25">
      <c r="A7311">
        <v>7282</v>
      </c>
      <c r="B7311">
        <v>9.6065670170854059E-2</v>
      </c>
    </row>
    <row r="7312" spans="1:2" x14ac:dyDescent="0.25">
      <c r="A7312">
        <v>7283</v>
      </c>
      <c r="B7312">
        <v>0.15828297325701438</v>
      </c>
    </row>
    <row r="7313" spans="1:2" x14ac:dyDescent="0.25">
      <c r="A7313">
        <v>7284</v>
      </c>
      <c r="B7313">
        <v>0.25231071946085198</v>
      </c>
    </row>
    <row r="7314" spans="1:2" x14ac:dyDescent="0.25">
      <c r="A7314">
        <v>7285</v>
      </c>
      <c r="B7314">
        <v>4.4117315112795014E-2</v>
      </c>
    </row>
    <row r="7315" spans="1:2" x14ac:dyDescent="0.25">
      <c r="A7315">
        <v>7286</v>
      </c>
      <c r="B7315">
        <v>0.17952651144463455</v>
      </c>
    </row>
    <row r="7316" spans="1:2" x14ac:dyDescent="0.25">
      <c r="A7316">
        <v>7287</v>
      </c>
      <c r="B7316">
        <v>0.14298726235167383</v>
      </c>
    </row>
    <row r="7317" spans="1:2" x14ac:dyDescent="0.25">
      <c r="A7317">
        <v>7288</v>
      </c>
      <c r="B7317">
        <v>0.24079733840515849</v>
      </c>
    </row>
    <row r="7318" spans="1:2" x14ac:dyDescent="0.25">
      <c r="A7318">
        <v>7289</v>
      </c>
      <c r="B7318">
        <v>6.1555279746210716E-2</v>
      </c>
    </row>
    <row r="7319" spans="1:2" x14ac:dyDescent="0.25">
      <c r="A7319">
        <v>7290</v>
      </c>
      <c r="B7319">
        <v>0.22397973094619011</v>
      </c>
    </row>
    <row r="7320" spans="1:2" x14ac:dyDescent="0.25">
      <c r="A7320">
        <v>7291</v>
      </c>
      <c r="B7320">
        <v>4.9485093391210939E-2</v>
      </c>
    </row>
    <row r="7321" spans="1:2" x14ac:dyDescent="0.25">
      <c r="A7321">
        <v>7292</v>
      </c>
      <c r="B7321">
        <v>0.23855761896210451</v>
      </c>
    </row>
    <row r="7322" spans="1:2" x14ac:dyDescent="0.25">
      <c r="A7322">
        <v>7293</v>
      </c>
      <c r="B7322">
        <v>0.11844626592757217</v>
      </c>
    </row>
    <row r="7323" spans="1:2" x14ac:dyDescent="0.25">
      <c r="A7323">
        <v>7294</v>
      </c>
      <c r="B7323">
        <v>0.10761412836335935</v>
      </c>
    </row>
    <row r="7324" spans="1:2" x14ac:dyDescent="0.25">
      <c r="A7324">
        <v>7295</v>
      </c>
      <c r="B7324">
        <v>0.16757293539777973</v>
      </c>
    </row>
    <row r="7325" spans="1:2" x14ac:dyDescent="0.25">
      <c r="A7325">
        <v>7296</v>
      </c>
      <c r="B7325">
        <v>0.11421781529583229</v>
      </c>
    </row>
    <row r="7326" spans="1:2" x14ac:dyDescent="0.25">
      <c r="A7326">
        <v>7297</v>
      </c>
      <c r="B7326">
        <v>0.3579000061729633</v>
      </c>
    </row>
    <row r="7327" spans="1:2" x14ac:dyDescent="0.25">
      <c r="A7327">
        <v>7298</v>
      </c>
      <c r="B7327">
        <v>0.1064494449012173</v>
      </c>
    </row>
    <row r="7328" spans="1:2" x14ac:dyDescent="0.25">
      <c r="A7328">
        <v>7299</v>
      </c>
      <c r="B7328">
        <v>1.9668130567084757E-2</v>
      </c>
    </row>
    <row r="7329" spans="1:2" x14ac:dyDescent="0.25">
      <c r="A7329">
        <v>7300</v>
      </c>
      <c r="B7329">
        <v>0.16477449479388059</v>
      </c>
    </row>
    <row r="7330" spans="1:2" x14ac:dyDescent="0.25">
      <c r="A7330">
        <v>7301</v>
      </c>
      <c r="B7330">
        <v>0.33161455854095334</v>
      </c>
    </row>
    <row r="7331" spans="1:2" x14ac:dyDescent="0.25">
      <c r="A7331">
        <v>7302</v>
      </c>
      <c r="B7331">
        <v>0.15336136036147618</v>
      </c>
    </row>
    <row r="7332" spans="1:2" x14ac:dyDescent="0.25">
      <c r="A7332">
        <v>7303</v>
      </c>
      <c r="B7332">
        <v>0.30763400749489833</v>
      </c>
    </row>
    <row r="7333" spans="1:2" x14ac:dyDescent="0.25">
      <c r="A7333">
        <v>7304</v>
      </c>
      <c r="B7333">
        <v>1.3208326971886926</v>
      </c>
    </row>
    <row r="7334" spans="1:2" x14ac:dyDescent="0.25">
      <c r="A7334">
        <v>7305</v>
      </c>
      <c r="B7334">
        <v>0.23387336504266534</v>
      </c>
    </row>
    <row r="7335" spans="1:2" x14ac:dyDescent="0.25">
      <c r="A7335">
        <v>7306</v>
      </c>
      <c r="B7335">
        <v>0.35971410070141363</v>
      </c>
    </row>
    <row r="7336" spans="1:2" x14ac:dyDescent="0.25">
      <c r="A7336">
        <v>7307</v>
      </c>
      <c r="B7336">
        <v>0.24019083066353614</v>
      </c>
    </row>
    <row r="7337" spans="1:2" x14ac:dyDescent="0.25">
      <c r="A7337">
        <v>7308</v>
      </c>
      <c r="B7337">
        <v>0.36912128644591441</v>
      </c>
    </row>
    <row r="7338" spans="1:2" x14ac:dyDescent="0.25">
      <c r="A7338">
        <v>7309</v>
      </c>
      <c r="B7338">
        <v>0.21269842237007033</v>
      </c>
    </row>
    <row r="7339" spans="1:2" x14ac:dyDescent="0.25">
      <c r="A7339">
        <v>7310</v>
      </c>
      <c r="B7339">
        <v>0.42175152929053866</v>
      </c>
    </row>
    <row r="7340" spans="1:2" x14ac:dyDescent="0.25">
      <c r="A7340">
        <v>7311</v>
      </c>
      <c r="B7340">
        <v>9.6398916289954534E-2</v>
      </c>
    </row>
    <row r="7341" spans="1:2" x14ac:dyDescent="0.25">
      <c r="A7341">
        <v>7312</v>
      </c>
      <c r="B7341">
        <v>6.4537291009647044E-2</v>
      </c>
    </row>
    <row r="7342" spans="1:2" x14ac:dyDescent="0.25">
      <c r="A7342">
        <v>7313</v>
      </c>
      <c r="B7342">
        <v>0.18193836771501976</v>
      </c>
    </row>
    <row r="7343" spans="1:2" x14ac:dyDescent="0.25">
      <c r="A7343">
        <v>7314</v>
      </c>
      <c r="B7343">
        <v>0.10745119398104307</v>
      </c>
    </row>
    <row r="7344" spans="1:2" x14ac:dyDescent="0.25">
      <c r="A7344">
        <v>7315</v>
      </c>
      <c r="B7344">
        <v>5.7273282110926908E-2</v>
      </c>
    </row>
    <row r="7345" spans="1:2" x14ac:dyDescent="0.25">
      <c r="A7345">
        <v>7316</v>
      </c>
      <c r="B7345">
        <v>0.1900030249333429</v>
      </c>
    </row>
    <row r="7346" spans="1:2" x14ac:dyDescent="0.25">
      <c r="A7346">
        <v>7317</v>
      </c>
      <c r="B7346">
        <v>8.7148052720353586E-2</v>
      </c>
    </row>
    <row r="7347" spans="1:2" x14ac:dyDescent="0.25">
      <c r="A7347">
        <v>7318</v>
      </c>
      <c r="B7347">
        <v>0.38831040024384456</v>
      </c>
    </row>
    <row r="7348" spans="1:2" x14ac:dyDescent="0.25">
      <c r="A7348">
        <v>7319</v>
      </c>
      <c r="B7348">
        <v>0.10368214170018515</v>
      </c>
    </row>
    <row r="7349" spans="1:2" x14ac:dyDescent="0.25">
      <c r="A7349">
        <v>7320</v>
      </c>
      <c r="B7349">
        <v>8.4132636841201452E-2</v>
      </c>
    </row>
    <row r="7350" spans="1:2" x14ac:dyDescent="0.25">
      <c r="A7350">
        <v>7321</v>
      </c>
      <c r="B7350">
        <v>0.19553983656984364</v>
      </c>
    </row>
    <row r="7351" spans="1:2" x14ac:dyDescent="0.25">
      <c r="A7351">
        <v>7322</v>
      </c>
      <c r="B7351">
        <v>6.1934186616295954E-2</v>
      </c>
    </row>
    <row r="7352" spans="1:2" x14ac:dyDescent="0.25">
      <c r="A7352">
        <v>7323</v>
      </c>
      <c r="B7352">
        <v>0.14337628571880467</v>
      </c>
    </row>
    <row r="7353" spans="1:2" x14ac:dyDescent="0.25">
      <c r="A7353">
        <v>7324</v>
      </c>
      <c r="B7353">
        <v>0.12977842249322963</v>
      </c>
    </row>
    <row r="7354" spans="1:2" x14ac:dyDescent="0.25">
      <c r="A7354">
        <v>7325</v>
      </c>
      <c r="B7354">
        <v>8.8456168102995558E-2</v>
      </c>
    </row>
    <row r="7355" spans="1:2" x14ac:dyDescent="0.25">
      <c r="A7355">
        <v>7326</v>
      </c>
      <c r="B7355">
        <v>0.24479242578317925</v>
      </c>
    </row>
    <row r="7356" spans="1:2" x14ac:dyDescent="0.25">
      <c r="A7356">
        <v>7327</v>
      </c>
      <c r="B7356">
        <v>5.4856000002892494E-2</v>
      </c>
    </row>
    <row r="7357" spans="1:2" x14ac:dyDescent="0.25">
      <c r="A7357">
        <v>7328</v>
      </c>
      <c r="B7357">
        <v>7.4469520871129416E-2</v>
      </c>
    </row>
    <row r="7358" spans="1:2" x14ac:dyDescent="0.25">
      <c r="A7358">
        <v>7329</v>
      </c>
      <c r="B7358">
        <v>0.1410989029264331</v>
      </c>
    </row>
    <row r="7359" spans="1:2" x14ac:dyDescent="0.25">
      <c r="A7359">
        <v>7330</v>
      </c>
      <c r="B7359">
        <v>8.8075363643820695E-2</v>
      </c>
    </row>
    <row r="7360" spans="1:2" x14ac:dyDescent="0.25">
      <c r="A7360">
        <v>7331</v>
      </c>
      <c r="B7360">
        <v>0.36796031045813177</v>
      </c>
    </row>
    <row r="7361" spans="1:2" x14ac:dyDescent="0.25">
      <c r="A7361">
        <v>7332</v>
      </c>
      <c r="B7361">
        <v>1.0253582289191855E-2</v>
      </c>
    </row>
    <row r="7362" spans="1:2" x14ac:dyDescent="0.25">
      <c r="A7362">
        <v>7333</v>
      </c>
      <c r="B7362">
        <v>0.37612961815350493</v>
      </c>
    </row>
    <row r="7363" spans="1:2" x14ac:dyDescent="0.25">
      <c r="A7363">
        <v>7334</v>
      </c>
      <c r="B7363">
        <v>0.54489850262278516</v>
      </c>
    </row>
    <row r="7364" spans="1:2" x14ac:dyDescent="0.25">
      <c r="A7364">
        <v>7335</v>
      </c>
      <c r="B7364">
        <v>0.23030954590070785</v>
      </c>
    </row>
    <row r="7365" spans="1:2" x14ac:dyDescent="0.25">
      <c r="A7365">
        <v>7336</v>
      </c>
      <c r="B7365">
        <v>0.18913662016932623</v>
      </c>
    </row>
    <row r="7366" spans="1:2" x14ac:dyDescent="0.25">
      <c r="A7366">
        <v>7337</v>
      </c>
      <c r="B7366">
        <v>0.11492771951636879</v>
      </c>
    </row>
    <row r="7367" spans="1:2" x14ac:dyDescent="0.25">
      <c r="A7367">
        <v>7338</v>
      </c>
      <c r="B7367">
        <v>0.20630970043014885</v>
      </c>
    </row>
    <row r="7368" spans="1:2" x14ac:dyDescent="0.25">
      <c r="A7368">
        <v>7339</v>
      </c>
      <c r="B7368">
        <v>0.14977652886567616</v>
      </c>
    </row>
    <row r="7369" spans="1:2" x14ac:dyDescent="0.25">
      <c r="A7369">
        <v>7340</v>
      </c>
      <c r="B7369">
        <v>0.14834519313207015</v>
      </c>
    </row>
    <row r="7370" spans="1:2" x14ac:dyDescent="0.25">
      <c r="A7370">
        <v>7341</v>
      </c>
      <c r="B7370">
        <v>0.11198805913598123</v>
      </c>
    </row>
    <row r="7371" spans="1:2" x14ac:dyDescent="0.25">
      <c r="A7371">
        <v>7342</v>
      </c>
      <c r="B7371">
        <v>0.16822359021139047</v>
      </c>
    </row>
    <row r="7372" spans="1:2" x14ac:dyDescent="0.25">
      <c r="A7372">
        <v>7343</v>
      </c>
      <c r="B7372">
        <v>0.34604870095898749</v>
      </c>
    </row>
    <row r="7373" spans="1:2" x14ac:dyDescent="0.25">
      <c r="A7373">
        <v>7344</v>
      </c>
      <c r="B7373">
        <v>7.6905958558020016E-2</v>
      </c>
    </row>
    <row r="7374" spans="1:2" x14ac:dyDescent="0.25">
      <c r="A7374">
        <v>7345</v>
      </c>
      <c r="B7374">
        <v>4.1074690806262672E-2</v>
      </c>
    </row>
    <row r="7375" spans="1:2" x14ac:dyDescent="0.25">
      <c r="A7375">
        <v>7346</v>
      </c>
      <c r="B7375">
        <v>0.55984793652764087</v>
      </c>
    </row>
    <row r="7376" spans="1:2" x14ac:dyDescent="0.25">
      <c r="A7376">
        <v>7347</v>
      </c>
      <c r="B7376">
        <v>0.11475715647363594</v>
      </c>
    </row>
    <row r="7377" spans="1:2" x14ac:dyDescent="0.25">
      <c r="A7377">
        <v>7348</v>
      </c>
      <c r="B7377">
        <v>6.4635738660291472E-2</v>
      </c>
    </row>
    <row r="7378" spans="1:2" x14ac:dyDescent="0.25">
      <c r="A7378">
        <v>7349</v>
      </c>
      <c r="B7378">
        <v>0.42724221987252298</v>
      </c>
    </row>
    <row r="7379" spans="1:2" x14ac:dyDescent="0.25">
      <c r="A7379">
        <v>7350</v>
      </c>
      <c r="B7379">
        <v>0.39401560595024687</v>
      </c>
    </row>
    <row r="7380" spans="1:2" x14ac:dyDescent="0.25">
      <c r="A7380">
        <v>7351</v>
      </c>
      <c r="B7380">
        <v>9.9690871809404599E-2</v>
      </c>
    </row>
    <row r="7381" spans="1:2" x14ac:dyDescent="0.25">
      <c r="A7381">
        <v>7352</v>
      </c>
      <c r="B7381">
        <v>0.58149315815922686</v>
      </c>
    </row>
    <row r="7382" spans="1:2" x14ac:dyDescent="0.25">
      <c r="A7382">
        <v>7353</v>
      </c>
      <c r="B7382">
        <v>0.35195877237370599</v>
      </c>
    </row>
    <row r="7383" spans="1:2" x14ac:dyDescent="0.25">
      <c r="A7383">
        <v>7354</v>
      </c>
      <c r="B7383">
        <v>8.6796385653997124E-2</v>
      </c>
    </row>
    <row r="7384" spans="1:2" x14ac:dyDescent="0.25">
      <c r="A7384">
        <v>7355</v>
      </c>
      <c r="B7384">
        <v>0.16338719030092333</v>
      </c>
    </row>
    <row r="7385" spans="1:2" x14ac:dyDescent="0.25">
      <c r="A7385">
        <v>7356</v>
      </c>
      <c r="B7385">
        <v>0.14261669068947697</v>
      </c>
    </row>
    <row r="7386" spans="1:2" x14ac:dyDescent="0.25">
      <c r="A7386">
        <v>7357</v>
      </c>
      <c r="B7386">
        <v>9.8557111314738086E-2</v>
      </c>
    </row>
    <row r="7387" spans="1:2" x14ac:dyDescent="0.25">
      <c r="A7387">
        <v>7358</v>
      </c>
      <c r="B7387">
        <v>0.10422524779032059</v>
      </c>
    </row>
    <row r="7388" spans="1:2" x14ac:dyDescent="0.25">
      <c r="A7388">
        <v>7359</v>
      </c>
      <c r="B7388">
        <v>7.8529872236071468E-2</v>
      </c>
    </row>
    <row r="7389" spans="1:2" x14ac:dyDescent="0.25">
      <c r="A7389">
        <v>7360</v>
      </c>
      <c r="B7389">
        <v>0.22231655155989458</v>
      </c>
    </row>
    <row r="7390" spans="1:2" x14ac:dyDescent="0.25">
      <c r="A7390">
        <v>7361</v>
      </c>
      <c r="B7390">
        <v>9.8657426743504029E-2</v>
      </c>
    </row>
    <row r="7391" spans="1:2" x14ac:dyDescent="0.25">
      <c r="A7391">
        <v>7362</v>
      </c>
      <c r="B7391">
        <v>0.54766172100288646</v>
      </c>
    </row>
    <row r="7392" spans="1:2" x14ac:dyDescent="0.25">
      <c r="A7392">
        <v>7363</v>
      </c>
      <c r="B7392">
        <v>0.27051128212550757</v>
      </c>
    </row>
    <row r="7393" spans="1:2" x14ac:dyDescent="0.25">
      <c r="A7393">
        <v>7364</v>
      </c>
      <c r="B7393">
        <v>8.2145006461537162E-2</v>
      </c>
    </row>
    <row r="7394" spans="1:2" x14ac:dyDescent="0.25">
      <c r="A7394">
        <v>7365</v>
      </c>
      <c r="B7394">
        <v>0.34752811551628593</v>
      </c>
    </row>
    <row r="7395" spans="1:2" x14ac:dyDescent="0.25">
      <c r="A7395">
        <v>7366</v>
      </c>
      <c r="B7395">
        <v>4.6183316289011248E-2</v>
      </c>
    </row>
    <row r="7396" spans="1:2" x14ac:dyDescent="0.25">
      <c r="A7396">
        <v>7367</v>
      </c>
      <c r="B7396">
        <v>0.37178701828504307</v>
      </c>
    </row>
    <row r="7397" spans="1:2" x14ac:dyDescent="0.25">
      <c r="A7397">
        <v>7368</v>
      </c>
      <c r="B7397">
        <v>0.17852108649360404</v>
      </c>
    </row>
    <row r="7398" spans="1:2" x14ac:dyDescent="0.25">
      <c r="A7398">
        <v>7369</v>
      </c>
      <c r="B7398">
        <v>8.4866031360966626E-2</v>
      </c>
    </row>
    <row r="7399" spans="1:2" x14ac:dyDescent="0.25">
      <c r="A7399">
        <v>7370</v>
      </c>
      <c r="B7399">
        <v>0.26671018444736599</v>
      </c>
    </row>
    <row r="7400" spans="1:2" x14ac:dyDescent="0.25">
      <c r="A7400">
        <v>7371</v>
      </c>
      <c r="B7400">
        <v>0.19608418231750158</v>
      </c>
    </row>
    <row r="7401" spans="1:2" x14ac:dyDescent="0.25">
      <c r="A7401">
        <v>7372</v>
      </c>
      <c r="B7401">
        <v>8.9859553561326952E-2</v>
      </c>
    </row>
    <row r="7402" spans="1:2" x14ac:dyDescent="0.25">
      <c r="A7402">
        <v>7373</v>
      </c>
      <c r="B7402">
        <v>0.10829596360591237</v>
      </c>
    </row>
    <row r="7403" spans="1:2" x14ac:dyDescent="0.25">
      <c r="A7403">
        <v>7374</v>
      </c>
      <c r="B7403">
        <v>9.3009845823165557E-2</v>
      </c>
    </row>
    <row r="7404" spans="1:2" x14ac:dyDescent="0.25">
      <c r="A7404">
        <v>7375</v>
      </c>
      <c r="B7404">
        <v>0.33313195907760429</v>
      </c>
    </row>
    <row r="7405" spans="1:2" x14ac:dyDescent="0.25">
      <c r="A7405">
        <v>7376</v>
      </c>
      <c r="B7405">
        <v>5.359587342696176E-2</v>
      </c>
    </row>
    <row r="7406" spans="1:2" x14ac:dyDescent="0.25">
      <c r="A7406">
        <v>7377</v>
      </c>
      <c r="B7406">
        <v>8.988454377088205E-2</v>
      </c>
    </row>
    <row r="7407" spans="1:2" x14ac:dyDescent="0.25">
      <c r="A7407">
        <v>7378</v>
      </c>
      <c r="B7407">
        <v>0.12883130178474123</v>
      </c>
    </row>
    <row r="7408" spans="1:2" x14ac:dyDescent="0.25">
      <c r="A7408">
        <v>7379</v>
      </c>
      <c r="B7408">
        <v>0.11568258512394972</v>
      </c>
    </row>
    <row r="7409" spans="1:2" x14ac:dyDescent="0.25">
      <c r="A7409">
        <v>7380</v>
      </c>
      <c r="B7409">
        <v>0.42471691523318972</v>
      </c>
    </row>
    <row r="7410" spans="1:2" x14ac:dyDescent="0.25">
      <c r="A7410">
        <v>7381</v>
      </c>
      <c r="B7410">
        <v>9.6720574266783418E-2</v>
      </c>
    </row>
    <row r="7411" spans="1:2" x14ac:dyDescent="0.25">
      <c r="A7411">
        <v>7382</v>
      </c>
      <c r="B7411">
        <v>8.0610169584340571E-2</v>
      </c>
    </row>
    <row r="7412" spans="1:2" x14ac:dyDescent="0.25">
      <c r="A7412">
        <v>7383</v>
      </c>
      <c r="B7412">
        <v>3.9630323811734841E-2</v>
      </c>
    </row>
    <row r="7413" spans="1:2" x14ac:dyDescent="0.25">
      <c r="A7413">
        <v>7384</v>
      </c>
      <c r="B7413">
        <v>0.23061213068236641</v>
      </c>
    </row>
    <row r="7414" spans="1:2" x14ac:dyDescent="0.25">
      <c r="A7414">
        <v>7385</v>
      </c>
      <c r="B7414">
        <v>0.24021079093129255</v>
      </c>
    </row>
    <row r="7415" spans="1:2" x14ac:dyDescent="0.25">
      <c r="A7415">
        <v>7386</v>
      </c>
      <c r="B7415">
        <v>0.15710127488000381</v>
      </c>
    </row>
    <row r="7416" spans="1:2" x14ac:dyDescent="0.25">
      <c r="A7416">
        <v>7387</v>
      </c>
      <c r="B7416">
        <v>0.16042657786732137</v>
      </c>
    </row>
    <row r="7417" spans="1:2" x14ac:dyDescent="0.25">
      <c r="A7417">
        <v>7388</v>
      </c>
      <c r="B7417">
        <v>0.24821448953604774</v>
      </c>
    </row>
    <row r="7418" spans="1:2" x14ac:dyDescent="0.25">
      <c r="A7418">
        <v>7389</v>
      </c>
      <c r="B7418">
        <v>2.639051540825723E-2</v>
      </c>
    </row>
    <row r="7419" spans="1:2" x14ac:dyDescent="0.25">
      <c r="A7419">
        <v>7390</v>
      </c>
      <c r="B7419">
        <v>0.22819509563512516</v>
      </c>
    </row>
    <row r="7420" spans="1:2" x14ac:dyDescent="0.25">
      <c r="A7420">
        <v>7391</v>
      </c>
      <c r="B7420">
        <v>6.580481216048345E-2</v>
      </c>
    </row>
    <row r="7421" spans="1:2" x14ac:dyDescent="0.25">
      <c r="A7421">
        <v>7392</v>
      </c>
      <c r="B7421">
        <v>6.1729559168873335E-2</v>
      </c>
    </row>
    <row r="7422" spans="1:2" x14ac:dyDescent="0.25">
      <c r="A7422">
        <v>7393</v>
      </c>
      <c r="B7422">
        <v>0.18764506077467313</v>
      </c>
    </row>
    <row r="7423" spans="1:2" x14ac:dyDescent="0.25">
      <c r="A7423">
        <v>7394</v>
      </c>
      <c r="B7423">
        <v>0.24178537863878186</v>
      </c>
    </row>
    <row r="7424" spans="1:2" x14ac:dyDescent="0.25">
      <c r="A7424">
        <v>7395</v>
      </c>
      <c r="B7424">
        <v>4.2690325280961401E-2</v>
      </c>
    </row>
    <row r="7425" spans="1:2" x14ac:dyDescent="0.25">
      <c r="A7425">
        <v>7396</v>
      </c>
      <c r="B7425">
        <v>0.21090840720352005</v>
      </c>
    </row>
    <row r="7426" spans="1:2" x14ac:dyDescent="0.25">
      <c r="A7426">
        <v>7397</v>
      </c>
      <c r="B7426">
        <v>0.16463756015811848</v>
      </c>
    </row>
    <row r="7427" spans="1:2" x14ac:dyDescent="0.25">
      <c r="A7427">
        <v>7398</v>
      </c>
      <c r="B7427">
        <v>0.23944550469087053</v>
      </c>
    </row>
    <row r="7428" spans="1:2" x14ac:dyDescent="0.25">
      <c r="A7428">
        <v>7399</v>
      </c>
      <c r="B7428">
        <v>0.21155731217331017</v>
      </c>
    </row>
    <row r="7429" spans="1:2" x14ac:dyDescent="0.25">
      <c r="A7429">
        <v>7400</v>
      </c>
      <c r="B7429">
        <v>0.64494687776363557</v>
      </c>
    </row>
    <row r="7430" spans="1:2" x14ac:dyDescent="0.25">
      <c r="A7430">
        <v>7401</v>
      </c>
      <c r="B7430">
        <v>0.22253900734953724</v>
      </c>
    </row>
    <row r="7431" spans="1:2" x14ac:dyDescent="0.25">
      <c r="A7431">
        <v>7402</v>
      </c>
      <c r="B7431">
        <v>0.30962474165841225</v>
      </c>
    </row>
    <row r="7432" spans="1:2" x14ac:dyDescent="0.25">
      <c r="A7432">
        <v>7403</v>
      </c>
      <c r="B7432">
        <v>3.3789573553140231E-2</v>
      </c>
    </row>
    <row r="7433" spans="1:2" x14ac:dyDescent="0.25">
      <c r="A7433">
        <v>7404</v>
      </c>
      <c r="B7433">
        <v>9.6607675801958698E-2</v>
      </c>
    </row>
    <row r="7434" spans="1:2" x14ac:dyDescent="0.25">
      <c r="A7434">
        <v>7405</v>
      </c>
      <c r="B7434">
        <v>0.15622641612126847</v>
      </c>
    </row>
    <row r="7435" spans="1:2" x14ac:dyDescent="0.25">
      <c r="A7435">
        <v>7406</v>
      </c>
      <c r="B7435">
        <v>0.22229247795202017</v>
      </c>
    </row>
    <row r="7436" spans="1:2" x14ac:dyDescent="0.25">
      <c r="A7436">
        <v>7407</v>
      </c>
      <c r="B7436">
        <v>5.2539016131499215E-2</v>
      </c>
    </row>
    <row r="7437" spans="1:2" x14ac:dyDescent="0.25">
      <c r="A7437">
        <v>7408</v>
      </c>
      <c r="B7437">
        <v>0.10278387147410394</v>
      </c>
    </row>
    <row r="7438" spans="1:2" x14ac:dyDescent="0.25">
      <c r="A7438">
        <v>7409</v>
      </c>
      <c r="B7438">
        <v>0.1731392375431777</v>
      </c>
    </row>
    <row r="7439" spans="1:2" x14ac:dyDescent="0.25">
      <c r="A7439">
        <v>7410</v>
      </c>
      <c r="B7439">
        <v>9.1201741205795023E-2</v>
      </c>
    </row>
    <row r="7440" spans="1:2" x14ac:dyDescent="0.25">
      <c r="A7440">
        <v>7411</v>
      </c>
      <c r="B7440">
        <v>0.11436946821112208</v>
      </c>
    </row>
    <row r="7441" spans="1:2" x14ac:dyDescent="0.25">
      <c r="A7441">
        <v>7412</v>
      </c>
      <c r="B7441">
        <v>0.37277838354993187</v>
      </c>
    </row>
    <row r="7442" spans="1:2" x14ac:dyDescent="0.25">
      <c r="A7442">
        <v>7413</v>
      </c>
      <c r="B7442">
        <v>0.16025566654072376</v>
      </c>
    </row>
    <row r="7443" spans="1:2" x14ac:dyDescent="0.25">
      <c r="A7443">
        <v>7414</v>
      </c>
      <c r="B7443">
        <v>0.79739551723750957</v>
      </c>
    </row>
    <row r="7444" spans="1:2" x14ac:dyDescent="0.25">
      <c r="A7444">
        <v>7415</v>
      </c>
      <c r="B7444">
        <v>0.26578132379327213</v>
      </c>
    </row>
    <row r="7445" spans="1:2" x14ac:dyDescent="0.25">
      <c r="A7445">
        <v>7416</v>
      </c>
      <c r="B7445">
        <v>0.24161200306395905</v>
      </c>
    </row>
    <row r="7446" spans="1:2" x14ac:dyDescent="0.25">
      <c r="A7446">
        <v>7417</v>
      </c>
      <c r="B7446">
        <v>0.87038478918638396</v>
      </c>
    </row>
    <row r="7447" spans="1:2" x14ac:dyDescent="0.25">
      <c r="A7447">
        <v>7418</v>
      </c>
      <c r="B7447">
        <v>6.5617094576708335E-2</v>
      </c>
    </row>
    <row r="7448" spans="1:2" x14ac:dyDescent="0.25">
      <c r="A7448">
        <v>7419</v>
      </c>
      <c r="B7448">
        <v>0.26837627333214448</v>
      </c>
    </row>
    <row r="7449" spans="1:2" x14ac:dyDescent="0.25">
      <c r="A7449">
        <v>7420</v>
      </c>
      <c r="B7449">
        <v>0.26924231230468137</v>
      </c>
    </row>
    <row r="7450" spans="1:2" x14ac:dyDescent="0.25">
      <c r="A7450">
        <v>7421</v>
      </c>
      <c r="B7450">
        <v>0.27339291279015321</v>
      </c>
    </row>
    <row r="7451" spans="1:2" x14ac:dyDescent="0.25">
      <c r="A7451">
        <v>7422</v>
      </c>
      <c r="B7451">
        <v>0.15078373512447618</v>
      </c>
    </row>
    <row r="7452" spans="1:2" x14ac:dyDescent="0.25">
      <c r="A7452">
        <v>7423</v>
      </c>
      <c r="B7452">
        <v>0.18216726754379878</v>
      </c>
    </row>
    <row r="7453" spans="1:2" x14ac:dyDescent="0.25">
      <c r="A7453">
        <v>7424</v>
      </c>
      <c r="B7453">
        <v>8.1232755219753844E-2</v>
      </c>
    </row>
    <row r="7454" spans="1:2" x14ac:dyDescent="0.25">
      <c r="A7454">
        <v>7425</v>
      </c>
      <c r="B7454">
        <v>0.42240521350103105</v>
      </c>
    </row>
    <row r="7455" spans="1:2" x14ac:dyDescent="0.25">
      <c r="A7455">
        <v>7426</v>
      </c>
      <c r="B7455">
        <v>0.1210743444986625</v>
      </c>
    </row>
    <row r="7456" spans="1:2" x14ac:dyDescent="0.25">
      <c r="A7456">
        <v>7427</v>
      </c>
      <c r="B7456">
        <v>4.3227859592432152E-2</v>
      </c>
    </row>
    <row r="7457" spans="1:2" x14ac:dyDescent="0.25">
      <c r="A7457">
        <v>7428</v>
      </c>
      <c r="B7457">
        <v>0.14933520097257263</v>
      </c>
    </row>
    <row r="7458" spans="1:2" x14ac:dyDescent="0.25">
      <c r="A7458">
        <v>7429</v>
      </c>
      <c r="B7458">
        <v>0.34703418269154096</v>
      </c>
    </row>
    <row r="7459" spans="1:2" x14ac:dyDescent="0.25">
      <c r="A7459">
        <v>7430</v>
      </c>
      <c r="B7459">
        <v>0.20256829738837451</v>
      </c>
    </row>
    <row r="7460" spans="1:2" x14ac:dyDescent="0.25">
      <c r="A7460">
        <v>7431</v>
      </c>
      <c r="B7460">
        <v>0.20018592288885614</v>
      </c>
    </row>
    <row r="7461" spans="1:2" x14ac:dyDescent="0.25">
      <c r="A7461">
        <v>7432</v>
      </c>
      <c r="B7461">
        <v>0.2887804433726241</v>
      </c>
    </row>
    <row r="7462" spans="1:2" x14ac:dyDescent="0.25">
      <c r="A7462">
        <v>7433</v>
      </c>
      <c r="B7462">
        <v>0.37283816253252522</v>
      </c>
    </row>
    <row r="7463" spans="1:2" x14ac:dyDescent="0.25">
      <c r="A7463">
        <v>7434</v>
      </c>
      <c r="B7463">
        <v>0.1054209820891301</v>
      </c>
    </row>
    <row r="7464" spans="1:2" x14ac:dyDescent="0.25">
      <c r="A7464">
        <v>7435</v>
      </c>
      <c r="B7464">
        <v>0.15504038149717925</v>
      </c>
    </row>
    <row r="7465" spans="1:2" x14ac:dyDescent="0.25">
      <c r="A7465">
        <v>7436</v>
      </c>
      <c r="B7465">
        <v>0.32031044032115324</v>
      </c>
    </row>
    <row r="7466" spans="1:2" x14ac:dyDescent="0.25">
      <c r="A7466">
        <v>7437</v>
      </c>
      <c r="B7466">
        <v>8.9199295172072313E-2</v>
      </c>
    </row>
    <row r="7467" spans="1:2" x14ac:dyDescent="0.25">
      <c r="A7467">
        <v>7438</v>
      </c>
      <c r="B7467">
        <v>6.955496146746809E-2</v>
      </c>
    </row>
    <row r="7468" spans="1:2" x14ac:dyDescent="0.25">
      <c r="A7468">
        <v>7439</v>
      </c>
      <c r="B7468">
        <v>0.20401521793804012</v>
      </c>
    </row>
    <row r="7469" spans="1:2" x14ac:dyDescent="0.25">
      <c r="A7469">
        <v>7440</v>
      </c>
      <c r="B7469">
        <v>3.2377432939459209E-2</v>
      </c>
    </row>
    <row r="7470" spans="1:2" x14ac:dyDescent="0.25">
      <c r="A7470">
        <v>7441</v>
      </c>
      <c r="B7470">
        <v>9.3892739234546455E-2</v>
      </c>
    </row>
    <row r="7471" spans="1:2" x14ac:dyDescent="0.25">
      <c r="A7471">
        <v>7442</v>
      </c>
      <c r="B7471">
        <v>9.6619408612727109E-2</v>
      </c>
    </row>
    <row r="7472" spans="1:2" x14ac:dyDescent="0.25">
      <c r="A7472">
        <v>7443</v>
      </c>
      <c r="B7472">
        <v>0.32504519046919106</v>
      </c>
    </row>
    <row r="7473" spans="1:2" x14ac:dyDescent="0.25">
      <c r="A7473">
        <v>7444</v>
      </c>
      <c r="B7473">
        <v>0.10781741239978906</v>
      </c>
    </row>
    <row r="7474" spans="1:2" x14ac:dyDescent="0.25">
      <c r="A7474">
        <v>7445</v>
      </c>
      <c r="B7474">
        <v>0.10311372111191336</v>
      </c>
    </row>
    <row r="7475" spans="1:2" x14ac:dyDescent="0.25">
      <c r="A7475">
        <v>7446</v>
      </c>
      <c r="B7475">
        <v>0.7181617574217789</v>
      </c>
    </row>
    <row r="7476" spans="1:2" x14ac:dyDescent="0.25">
      <c r="A7476">
        <v>7447</v>
      </c>
      <c r="B7476">
        <v>0.2381331489987828</v>
      </c>
    </row>
    <row r="7477" spans="1:2" x14ac:dyDescent="0.25">
      <c r="A7477">
        <v>7448</v>
      </c>
      <c r="B7477">
        <v>0.37579007378792278</v>
      </c>
    </row>
    <row r="7478" spans="1:2" x14ac:dyDescent="0.25">
      <c r="A7478">
        <v>7449</v>
      </c>
      <c r="B7478">
        <v>8.3950108666445172E-2</v>
      </c>
    </row>
    <row r="7479" spans="1:2" x14ac:dyDescent="0.25">
      <c r="A7479">
        <v>7450</v>
      </c>
      <c r="B7479">
        <v>0.28901905102773839</v>
      </c>
    </row>
    <row r="7480" spans="1:2" x14ac:dyDescent="0.25">
      <c r="A7480">
        <v>7451</v>
      </c>
      <c r="B7480">
        <v>0.32822149918729249</v>
      </c>
    </row>
    <row r="7481" spans="1:2" x14ac:dyDescent="0.25">
      <c r="A7481">
        <v>7452</v>
      </c>
      <c r="B7481">
        <v>0.12843298688507279</v>
      </c>
    </row>
    <row r="7482" spans="1:2" x14ac:dyDescent="0.25">
      <c r="A7482">
        <v>7453</v>
      </c>
      <c r="B7482">
        <v>0.69700792294329816</v>
      </c>
    </row>
    <row r="7483" spans="1:2" x14ac:dyDescent="0.25">
      <c r="A7483">
        <v>7454</v>
      </c>
      <c r="B7483">
        <v>0.10869200460538818</v>
      </c>
    </row>
    <row r="7484" spans="1:2" x14ac:dyDescent="0.25">
      <c r="A7484">
        <v>7455</v>
      </c>
      <c r="B7484">
        <v>0.21299545069558129</v>
      </c>
    </row>
    <row r="7485" spans="1:2" x14ac:dyDescent="0.25">
      <c r="A7485">
        <v>7456</v>
      </c>
      <c r="B7485">
        <v>0.10730714785791796</v>
      </c>
    </row>
    <row r="7486" spans="1:2" x14ac:dyDescent="0.25">
      <c r="A7486">
        <v>7457</v>
      </c>
      <c r="B7486">
        <v>0.2247944914124973</v>
      </c>
    </row>
    <row r="7487" spans="1:2" x14ac:dyDescent="0.25">
      <c r="A7487">
        <v>7458</v>
      </c>
      <c r="B7487">
        <v>0.22024490675639211</v>
      </c>
    </row>
    <row r="7488" spans="1:2" x14ac:dyDescent="0.25">
      <c r="A7488">
        <v>7459</v>
      </c>
      <c r="B7488">
        <v>0.19983602346739904</v>
      </c>
    </row>
    <row r="7489" spans="1:2" x14ac:dyDescent="0.25">
      <c r="A7489">
        <v>7460</v>
      </c>
      <c r="B7489">
        <v>0.39158395749863584</v>
      </c>
    </row>
    <row r="7490" spans="1:2" x14ac:dyDescent="0.25">
      <c r="A7490">
        <v>7461</v>
      </c>
      <c r="B7490">
        <v>0.24254160093132959</v>
      </c>
    </row>
    <row r="7491" spans="1:2" x14ac:dyDescent="0.25">
      <c r="A7491">
        <v>7462</v>
      </c>
      <c r="B7491">
        <v>0.27282841836619826</v>
      </c>
    </row>
    <row r="7492" spans="1:2" x14ac:dyDescent="0.25">
      <c r="A7492">
        <v>7463</v>
      </c>
      <c r="B7492">
        <v>0.18984859550073363</v>
      </c>
    </row>
    <row r="7493" spans="1:2" x14ac:dyDescent="0.25">
      <c r="A7493">
        <v>7464</v>
      </c>
      <c r="B7493">
        <v>9.9446651293180324E-2</v>
      </c>
    </row>
    <row r="7494" spans="1:2" x14ac:dyDescent="0.25">
      <c r="A7494">
        <v>7465</v>
      </c>
      <c r="B7494">
        <v>0.10449969819026123</v>
      </c>
    </row>
    <row r="7495" spans="1:2" x14ac:dyDescent="0.25">
      <c r="A7495">
        <v>7466</v>
      </c>
      <c r="B7495">
        <v>5.6688763537983827E-2</v>
      </c>
    </row>
    <row r="7496" spans="1:2" x14ac:dyDescent="0.25">
      <c r="A7496">
        <v>7467</v>
      </c>
      <c r="B7496">
        <v>0.14681140047392402</v>
      </c>
    </row>
    <row r="7497" spans="1:2" x14ac:dyDescent="0.25">
      <c r="A7497">
        <v>7468</v>
      </c>
      <c r="B7497">
        <v>4.0326972632606206E-2</v>
      </c>
    </row>
    <row r="7498" spans="1:2" x14ac:dyDescent="0.25">
      <c r="A7498">
        <v>7469</v>
      </c>
      <c r="B7498">
        <v>0.13052478039751281</v>
      </c>
    </row>
    <row r="7499" spans="1:2" x14ac:dyDescent="0.25">
      <c r="A7499">
        <v>7470</v>
      </c>
      <c r="B7499">
        <v>0.10339335267678484</v>
      </c>
    </row>
    <row r="7500" spans="1:2" x14ac:dyDescent="0.25">
      <c r="A7500">
        <v>7471</v>
      </c>
      <c r="B7500">
        <v>0.16400985985992564</v>
      </c>
    </row>
    <row r="7501" spans="1:2" x14ac:dyDescent="0.25">
      <c r="A7501">
        <v>7472</v>
      </c>
      <c r="B7501">
        <v>9.9659019427825263E-2</v>
      </c>
    </row>
    <row r="7502" spans="1:2" x14ac:dyDescent="0.25">
      <c r="A7502">
        <v>7473</v>
      </c>
      <c r="B7502">
        <v>0.54196750790596393</v>
      </c>
    </row>
    <row r="7503" spans="1:2" x14ac:dyDescent="0.25">
      <c r="A7503">
        <v>7474</v>
      </c>
      <c r="B7503">
        <v>0.19889818850043722</v>
      </c>
    </row>
    <row r="7504" spans="1:2" x14ac:dyDescent="0.25">
      <c r="A7504">
        <v>7475</v>
      </c>
      <c r="B7504">
        <v>0.10987619162007363</v>
      </c>
    </row>
    <row r="7505" spans="1:2" x14ac:dyDescent="0.25">
      <c r="A7505">
        <v>7476</v>
      </c>
      <c r="B7505">
        <v>0.14494062483488435</v>
      </c>
    </row>
    <row r="7506" spans="1:2" x14ac:dyDescent="0.25">
      <c r="A7506">
        <v>7477</v>
      </c>
      <c r="B7506">
        <v>0.16300460910703857</v>
      </c>
    </row>
    <row r="7507" spans="1:2" x14ac:dyDescent="0.25">
      <c r="A7507">
        <v>7478</v>
      </c>
      <c r="B7507">
        <v>0.35185208402497464</v>
      </c>
    </row>
    <row r="7508" spans="1:2" x14ac:dyDescent="0.25">
      <c r="A7508">
        <v>7479</v>
      </c>
      <c r="B7508">
        <v>0.15335270258023656</v>
      </c>
    </row>
    <row r="7509" spans="1:2" x14ac:dyDescent="0.25">
      <c r="A7509">
        <v>7480</v>
      </c>
      <c r="B7509">
        <v>0.2150296502775903</v>
      </c>
    </row>
    <row r="7510" spans="1:2" x14ac:dyDescent="0.25">
      <c r="A7510">
        <v>7481</v>
      </c>
      <c r="B7510">
        <v>0.16006651353171999</v>
      </c>
    </row>
    <row r="7511" spans="1:2" x14ac:dyDescent="0.25">
      <c r="A7511">
        <v>7482</v>
      </c>
      <c r="B7511">
        <v>7.1546968706332467E-2</v>
      </c>
    </row>
    <row r="7512" spans="1:2" x14ac:dyDescent="0.25">
      <c r="A7512">
        <v>7483</v>
      </c>
      <c r="B7512">
        <v>0.24047038308955163</v>
      </c>
    </row>
    <row r="7513" spans="1:2" x14ac:dyDescent="0.25">
      <c r="A7513">
        <v>7484</v>
      </c>
      <c r="B7513">
        <v>7.4639585796809446E-2</v>
      </c>
    </row>
    <row r="7514" spans="1:2" x14ac:dyDescent="0.25">
      <c r="A7514">
        <v>7485</v>
      </c>
      <c r="B7514">
        <v>8.7324027272988186E-2</v>
      </c>
    </row>
    <row r="7515" spans="1:2" x14ac:dyDescent="0.25">
      <c r="A7515">
        <v>7486</v>
      </c>
      <c r="B7515">
        <v>0.18399508050325339</v>
      </c>
    </row>
    <row r="7516" spans="1:2" x14ac:dyDescent="0.25">
      <c r="A7516">
        <v>7487</v>
      </c>
      <c r="B7516">
        <v>0.45377315557032066</v>
      </c>
    </row>
    <row r="7517" spans="1:2" x14ac:dyDescent="0.25">
      <c r="A7517">
        <v>7488</v>
      </c>
      <c r="B7517">
        <v>0.13458825634701529</v>
      </c>
    </row>
    <row r="7518" spans="1:2" x14ac:dyDescent="0.25">
      <c r="A7518">
        <v>7489</v>
      </c>
      <c r="B7518">
        <v>0.61154121397011141</v>
      </c>
    </row>
    <row r="7519" spans="1:2" x14ac:dyDescent="0.25">
      <c r="A7519">
        <v>7490</v>
      </c>
      <c r="B7519">
        <v>0.21533453144210923</v>
      </c>
    </row>
    <row r="7520" spans="1:2" x14ac:dyDescent="0.25">
      <c r="A7520">
        <v>7491</v>
      </c>
      <c r="B7520">
        <v>0.20739651589862754</v>
      </c>
    </row>
    <row r="7521" spans="1:2" x14ac:dyDescent="0.25">
      <c r="A7521">
        <v>7492</v>
      </c>
      <c r="B7521">
        <v>0.21680347170812611</v>
      </c>
    </row>
    <row r="7522" spans="1:2" x14ac:dyDescent="0.25">
      <c r="A7522">
        <v>7493</v>
      </c>
      <c r="B7522">
        <v>0.14479284033904202</v>
      </c>
    </row>
    <row r="7523" spans="1:2" x14ac:dyDescent="0.25">
      <c r="A7523">
        <v>7494</v>
      </c>
      <c r="B7523">
        <v>0.15181411547175408</v>
      </c>
    </row>
    <row r="7524" spans="1:2" x14ac:dyDescent="0.25">
      <c r="A7524">
        <v>7495</v>
      </c>
      <c r="B7524">
        <v>0.14147760561433484</v>
      </c>
    </row>
    <row r="7525" spans="1:2" x14ac:dyDescent="0.25">
      <c r="A7525">
        <v>7496</v>
      </c>
      <c r="B7525">
        <v>0.23957828576822762</v>
      </c>
    </row>
    <row r="7526" spans="1:2" x14ac:dyDescent="0.25">
      <c r="A7526">
        <v>7497</v>
      </c>
      <c r="B7526">
        <v>0.19918775062096036</v>
      </c>
    </row>
    <row r="7527" spans="1:2" x14ac:dyDescent="0.25">
      <c r="A7527">
        <v>7498</v>
      </c>
      <c r="B7527">
        <v>0.18595687780308293</v>
      </c>
    </row>
    <row r="7528" spans="1:2" x14ac:dyDescent="0.25">
      <c r="A7528">
        <v>7499</v>
      </c>
      <c r="B7528">
        <v>0.63215626092194044</v>
      </c>
    </row>
    <row r="7529" spans="1:2" x14ac:dyDescent="0.25">
      <c r="A7529">
        <v>7500</v>
      </c>
      <c r="B7529">
        <v>5.7124314089280571E-2</v>
      </c>
    </row>
    <row r="7530" spans="1:2" x14ac:dyDescent="0.25">
      <c r="A7530">
        <v>7501</v>
      </c>
      <c r="B7530">
        <v>9.222888467052176E-2</v>
      </c>
    </row>
    <row r="7531" spans="1:2" x14ac:dyDescent="0.25">
      <c r="A7531">
        <v>7502</v>
      </c>
      <c r="B7531">
        <v>0.18883050353799319</v>
      </c>
    </row>
    <row r="7532" spans="1:2" x14ac:dyDescent="0.25">
      <c r="A7532">
        <v>7503</v>
      </c>
      <c r="B7532">
        <v>0.25855444570316177</v>
      </c>
    </row>
    <row r="7533" spans="1:2" x14ac:dyDescent="0.25">
      <c r="A7533">
        <v>7504</v>
      </c>
      <c r="B7533">
        <v>0.32670282434277725</v>
      </c>
    </row>
    <row r="7534" spans="1:2" x14ac:dyDescent="0.25">
      <c r="A7534">
        <v>7505</v>
      </c>
      <c r="B7534">
        <v>0.31163858993638144</v>
      </c>
    </row>
    <row r="7535" spans="1:2" x14ac:dyDescent="0.25">
      <c r="A7535">
        <v>7506</v>
      </c>
      <c r="B7535">
        <v>0.20636626035453229</v>
      </c>
    </row>
    <row r="7536" spans="1:2" x14ac:dyDescent="0.25">
      <c r="A7536">
        <v>7507</v>
      </c>
      <c r="B7536">
        <v>0.11092784055758731</v>
      </c>
    </row>
    <row r="7537" spans="1:2" x14ac:dyDescent="0.25">
      <c r="A7537">
        <v>7508</v>
      </c>
      <c r="B7537">
        <v>0.16575347309839653</v>
      </c>
    </row>
    <row r="7538" spans="1:2" x14ac:dyDescent="0.25">
      <c r="A7538">
        <v>7509</v>
      </c>
      <c r="B7538">
        <v>0.42181059971549262</v>
      </c>
    </row>
    <row r="7539" spans="1:2" x14ac:dyDescent="0.25">
      <c r="A7539">
        <v>7510</v>
      </c>
      <c r="B7539">
        <v>7.5483466997064999E-2</v>
      </c>
    </row>
    <row r="7540" spans="1:2" x14ac:dyDescent="0.25">
      <c r="A7540">
        <v>7511</v>
      </c>
      <c r="B7540">
        <v>0.14487164763584434</v>
      </c>
    </row>
    <row r="7541" spans="1:2" x14ac:dyDescent="0.25">
      <c r="A7541">
        <v>7512</v>
      </c>
      <c r="B7541">
        <v>0.23767281263885104</v>
      </c>
    </row>
    <row r="7542" spans="1:2" x14ac:dyDescent="0.25">
      <c r="A7542">
        <v>7513</v>
      </c>
      <c r="B7542">
        <v>9.2358373726699028E-2</v>
      </c>
    </row>
    <row r="7543" spans="1:2" x14ac:dyDescent="0.25">
      <c r="A7543">
        <v>7514</v>
      </c>
      <c r="B7543">
        <v>0.24424632030279089</v>
      </c>
    </row>
    <row r="7544" spans="1:2" x14ac:dyDescent="0.25">
      <c r="A7544">
        <v>7515</v>
      </c>
      <c r="B7544">
        <v>0.37659542672977137</v>
      </c>
    </row>
    <row r="7545" spans="1:2" x14ac:dyDescent="0.25">
      <c r="A7545">
        <v>7516</v>
      </c>
      <c r="B7545">
        <v>0.221741317322768</v>
      </c>
    </row>
    <row r="7546" spans="1:2" x14ac:dyDescent="0.25">
      <c r="A7546">
        <v>7517</v>
      </c>
      <c r="B7546">
        <v>8.0679205571599175E-2</v>
      </c>
    </row>
    <row r="7547" spans="1:2" x14ac:dyDescent="0.25">
      <c r="A7547">
        <v>7518</v>
      </c>
      <c r="B7547">
        <v>0.15433549941105837</v>
      </c>
    </row>
    <row r="7548" spans="1:2" x14ac:dyDescent="0.25">
      <c r="A7548">
        <v>7519</v>
      </c>
      <c r="B7548">
        <v>0.43842809832495949</v>
      </c>
    </row>
    <row r="7549" spans="1:2" x14ac:dyDescent="0.25">
      <c r="A7549">
        <v>7520</v>
      </c>
      <c r="B7549">
        <v>0.13604213550366137</v>
      </c>
    </row>
    <row r="7550" spans="1:2" x14ac:dyDescent="0.25">
      <c r="A7550">
        <v>7521</v>
      </c>
      <c r="B7550">
        <v>0.22994220962602493</v>
      </c>
    </row>
    <row r="7551" spans="1:2" x14ac:dyDescent="0.25">
      <c r="A7551">
        <v>7522</v>
      </c>
      <c r="B7551">
        <v>0.45314916912058351</v>
      </c>
    </row>
    <row r="7552" spans="1:2" x14ac:dyDescent="0.25">
      <c r="A7552">
        <v>7523</v>
      </c>
      <c r="B7552">
        <v>0.10780879851490441</v>
      </c>
    </row>
    <row r="7553" spans="1:2" x14ac:dyDescent="0.25">
      <c r="A7553">
        <v>7524</v>
      </c>
      <c r="B7553">
        <v>0.17939086473135191</v>
      </c>
    </row>
    <row r="7554" spans="1:2" x14ac:dyDescent="0.25">
      <c r="A7554">
        <v>7525</v>
      </c>
      <c r="B7554">
        <v>0.25351509036156827</v>
      </c>
    </row>
    <row r="7555" spans="1:2" x14ac:dyDescent="0.25">
      <c r="A7555">
        <v>7526</v>
      </c>
      <c r="B7555">
        <v>0.10741937488821854</v>
      </c>
    </row>
    <row r="7556" spans="1:2" x14ac:dyDescent="0.25">
      <c r="A7556">
        <v>7527</v>
      </c>
      <c r="B7556">
        <v>0.29469573125702758</v>
      </c>
    </row>
    <row r="7557" spans="1:2" x14ac:dyDescent="0.25">
      <c r="A7557">
        <v>7528</v>
      </c>
      <c r="B7557">
        <v>0.23732214437285831</v>
      </c>
    </row>
    <row r="7558" spans="1:2" x14ac:dyDescent="0.25">
      <c r="A7558">
        <v>7529</v>
      </c>
      <c r="B7558">
        <v>0.20566645382237936</v>
      </c>
    </row>
    <row r="7559" spans="1:2" x14ac:dyDescent="0.25">
      <c r="A7559">
        <v>7530</v>
      </c>
      <c r="B7559">
        <v>0.18764475835243696</v>
      </c>
    </row>
    <row r="7560" spans="1:2" x14ac:dyDescent="0.25">
      <c r="A7560">
        <v>7531</v>
      </c>
      <c r="B7560">
        <v>0.11348263300651386</v>
      </c>
    </row>
    <row r="7561" spans="1:2" x14ac:dyDescent="0.25">
      <c r="A7561">
        <v>7532</v>
      </c>
      <c r="B7561">
        <v>0.16121930814075267</v>
      </c>
    </row>
    <row r="7562" spans="1:2" x14ac:dyDescent="0.25">
      <c r="A7562">
        <v>7533</v>
      </c>
      <c r="B7562">
        <v>0.16928043294505693</v>
      </c>
    </row>
    <row r="7563" spans="1:2" x14ac:dyDescent="0.25">
      <c r="A7563">
        <v>7534</v>
      </c>
      <c r="B7563">
        <v>0.20802913561810157</v>
      </c>
    </row>
    <row r="7564" spans="1:2" x14ac:dyDescent="0.25">
      <c r="A7564">
        <v>7535</v>
      </c>
      <c r="B7564">
        <v>5.5744275849202739E-2</v>
      </c>
    </row>
    <row r="7565" spans="1:2" x14ac:dyDescent="0.25">
      <c r="A7565">
        <v>7536</v>
      </c>
      <c r="B7565">
        <v>0.11270015189699172</v>
      </c>
    </row>
    <row r="7566" spans="1:2" x14ac:dyDescent="0.25">
      <c r="A7566">
        <v>7537</v>
      </c>
      <c r="B7566">
        <v>8.8792005615545233E-2</v>
      </c>
    </row>
    <row r="7567" spans="1:2" x14ac:dyDescent="0.25">
      <c r="A7567">
        <v>7538</v>
      </c>
      <c r="B7567">
        <v>9.6332962036918934E-2</v>
      </c>
    </row>
    <row r="7568" spans="1:2" x14ac:dyDescent="0.25">
      <c r="A7568">
        <v>7539</v>
      </c>
      <c r="B7568">
        <v>0.2338181152293255</v>
      </c>
    </row>
    <row r="7569" spans="1:2" x14ac:dyDescent="0.25">
      <c r="A7569">
        <v>7540</v>
      </c>
      <c r="B7569">
        <v>0.63378653925145612</v>
      </c>
    </row>
    <row r="7570" spans="1:2" x14ac:dyDescent="0.25">
      <c r="A7570">
        <v>7541</v>
      </c>
      <c r="B7570">
        <v>0.10209415694030935</v>
      </c>
    </row>
    <row r="7571" spans="1:2" x14ac:dyDescent="0.25">
      <c r="A7571">
        <v>7542</v>
      </c>
      <c r="B7571">
        <v>0.16200379016337463</v>
      </c>
    </row>
    <row r="7572" spans="1:2" x14ac:dyDescent="0.25">
      <c r="A7572">
        <v>7543</v>
      </c>
      <c r="B7572">
        <v>0.27995127508047912</v>
      </c>
    </row>
    <row r="7573" spans="1:2" x14ac:dyDescent="0.25">
      <c r="A7573">
        <v>7544</v>
      </c>
      <c r="B7573">
        <v>0.11761485927682193</v>
      </c>
    </row>
    <row r="7574" spans="1:2" x14ac:dyDescent="0.25">
      <c r="A7574">
        <v>7545</v>
      </c>
      <c r="B7574">
        <v>9.3064154116574649E-2</v>
      </c>
    </row>
    <row r="7575" spans="1:2" x14ac:dyDescent="0.25">
      <c r="A7575">
        <v>7546</v>
      </c>
      <c r="B7575">
        <v>0.39550281516059793</v>
      </c>
    </row>
    <row r="7576" spans="1:2" x14ac:dyDescent="0.25">
      <c r="A7576">
        <v>7547</v>
      </c>
      <c r="B7576">
        <v>0.10128456613502537</v>
      </c>
    </row>
    <row r="7577" spans="1:2" x14ac:dyDescent="0.25">
      <c r="A7577">
        <v>7548</v>
      </c>
      <c r="B7577">
        <v>4.0647529681989036E-2</v>
      </c>
    </row>
    <row r="7578" spans="1:2" x14ac:dyDescent="0.25">
      <c r="A7578">
        <v>7549</v>
      </c>
      <c r="B7578">
        <v>0.32773849879289862</v>
      </c>
    </row>
    <row r="7579" spans="1:2" x14ac:dyDescent="0.25">
      <c r="A7579">
        <v>7550</v>
      </c>
      <c r="B7579">
        <v>0.4376922313550633</v>
      </c>
    </row>
    <row r="7580" spans="1:2" x14ac:dyDescent="0.25">
      <c r="A7580">
        <v>7551</v>
      </c>
      <c r="B7580">
        <v>0.24114265424356199</v>
      </c>
    </row>
    <row r="7581" spans="1:2" x14ac:dyDescent="0.25">
      <c r="A7581">
        <v>7552</v>
      </c>
      <c r="B7581">
        <v>0.20059593945696225</v>
      </c>
    </row>
    <row r="7582" spans="1:2" x14ac:dyDescent="0.25">
      <c r="A7582">
        <v>7553</v>
      </c>
      <c r="B7582">
        <v>7.7206814622806527E-2</v>
      </c>
    </row>
    <row r="7583" spans="1:2" x14ac:dyDescent="0.25">
      <c r="A7583">
        <v>7554</v>
      </c>
      <c r="B7583">
        <v>0.56551303455277213</v>
      </c>
    </row>
    <row r="7584" spans="1:2" x14ac:dyDescent="0.25">
      <c r="A7584">
        <v>7555</v>
      </c>
      <c r="B7584">
        <v>0.13588765394039515</v>
      </c>
    </row>
    <row r="7585" spans="1:2" x14ac:dyDescent="0.25">
      <c r="A7585">
        <v>7556</v>
      </c>
      <c r="B7585">
        <v>0.44142357162036067</v>
      </c>
    </row>
    <row r="7586" spans="1:2" x14ac:dyDescent="0.25">
      <c r="A7586">
        <v>7557</v>
      </c>
      <c r="B7586">
        <v>7.5686748492287917E-2</v>
      </c>
    </row>
    <row r="7587" spans="1:2" x14ac:dyDescent="0.25">
      <c r="A7587">
        <v>7558</v>
      </c>
      <c r="B7587">
        <v>9.7595285836151874E-2</v>
      </c>
    </row>
    <row r="7588" spans="1:2" x14ac:dyDescent="0.25">
      <c r="A7588">
        <v>7559</v>
      </c>
      <c r="B7588">
        <v>0.41729748235818898</v>
      </c>
    </row>
    <row r="7589" spans="1:2" x14ac:dyDescent="0.25">
      <c r="A7589">
        <v>7560</v>
      </c>
      <c r="B7589">
        <v>0.33266347126518081</v>
      </c>
    </row>
    <row r="7590" spans="1:2" x14ac:dyDescent="0.25">
      <c r="A7590">
        <v>7561</v>
      </c>
      <c r="B7590">
        <v>0.34414129084849732</v>
      </c>
    </row>
    <row r="7591" spans="1:2" x14ac:dyDescent="0.25">
      <c r="A7591">
        <v>7562</v>
      </c>
      <c r="B7591">
        <v>5.0547216376139265E-2</v>
      </c>
    </row>
    <row r="7592" spans="1:2" x14ac:dyDescent="0.25">
      <c r="A7592">
        <v>7563</v>
      </c>
      <c r="B7592">
        <v>0.22215788797635072</v>
      </c>
    </row>
    <row r="7593" spans="1:2" x14ac:dyDescent="0.25">
      <c r="A7593">
        <v>7564</v>
      </c>
      <c r="B7593">
        <v>0.21237140030111282</v>
      </c>
    </row>
    <row r="7594" spans="1:2" x14ac:dyDescent="0.25">
      <c r="A7594">
        <v>7565</v>
      </c>
      <c r="B7594">
        <v>0.20250714031295361</v>
      </c>
    </row>
    <row r="7595" spans="1:2" x14ac:dyDescent="0.25">
      <c r="A7595">
        <v>7566</v>
      </c>
      <c r="B7595">
        <v>0.46984084788092284</v>
      </c>
    </row>
    <row r="7596" spans="1:2" x14ac:dyDescent="0.25">
      <c r="A7596">
        <v>7567</v>
      </c>
      <c r="B7596">
        <v>0.11511631109401506</v>
      </c>
    </row>
    <row r="7597" spans="1:2" x14ac:dyDescent="0.25">
      <c r="A7597">
        <v>7568</v>
      </c>
      <c r="B7597">
        <v>0.33866219111583873</v>
      </c>
    </row>
    <row r="7598" spans="1:2" x14ac:dyDescent="0.25">
      <c r="A7598">
        <v>7569</v>
      </c>
      <c r="B7598">
        <v>0.26816040697390409</v>
      </c>
    </row>
    <row r="7599" spans="1:2" x14ac:dyDescent="0.25">
      <c r="A7599">
        <v>7570</v>
      </c>
      <c r="B7599">
        <v>0.24008063173533239</v>
      </c>
    </row>
    <row r="7600" spans="1:2" x14ac:dyDescent="0.25">
      <c r="A7600">
        <v>7571</v>
      </c>
      <c r="B7600">
        <v>0.40443991447272026</v>
      </c>
    </row>
    <row r="7601" spans="1:2" x14ac:dyDescent="0.25">
      <c r="A7601">
        <v>7572</v>
      </c>
      <c r="B7601">
        <v>0.16299715938177842</v>
      </c>
    </row>
    <row r="7602" spans="1:2" x14ac:dyDescent="0.25">
      <c r="A7602">
        <v>7573</v>
      </c>
      <c r="B7602">
        <v>0.14041630253983961</v>
      </c>
    </row>
    <row r="7603" spans="1:2" x14ac:dyDescent="0.25">
      <c r="A7603">
        <v>7574</v>
      </c>
      <c r="B7603">
        <v>0.13114354991933841</v>
      </c>
    </row>
    <row r="7604" spans="1:2" x14ac:dyDescent="0.25">
      <c r="A7604">
        <v>7575</v>
      </c>
      <c r="B7604">
        <v>1.8631196636174043E-2</v>
      </c>
    </row>
    <row r="7605" spans="1:2" x14ac:dyDescent="0.25">
      <c r="A7605">
        <v>7576</v>
      </c>
      <c r="B7605">
        <v>0.35470546529796465</v>
      </c>
    </row>
    <row r="7606" spans="1:2" x14ac:dyDescent="0.25">
      <c r="A7606">
        <v>7577</v>
      </c>
      <c r="B7606">
        <v>0.13789968991406742</v>
      </c>
    </row>
    <row r="7607" spans="1:2" x14ac:dyDescent="0.25">
      <c r="A7607">
        <v>7578</v>
      </c>
      <c r="B7607">
        <v>8.5838387647651837E-2</v>
      </c>
    </row>
    <row r="7608" spans="1:2" x14ac:dyDescent="0.25">
      <c r="A7608">
        <v>7579</v>
      </c>
      <c r="B7608">
        <v>4.4523767957347395E-2</v>
      </c>
    </row>
    <row r="7609" spans="1:2" x14ac:dyDescent="0.25">
      <c r="A7609">
        <v>7580</v>
      </c>
      <c r="B7609">
        <v>0.19933491712966217</v>
      </c>
    </row>
    <row r="7610" spans="1:2" x14ac:dyDescent="0.25">
      <c r="A7610">
        <v>7581</v>
      </c>
      <c r="B7610">
        <v>0.18199316049438558</v>
      </c>
    </row>
    <row r="7611" spans="1:2" x14ac:dyDescent="0.25">
      <c r="A7611">
        <v>7582</v>
      </c>
      <c r="B7611">
        <v>0.37040926148318043</v>
      </c>
    </row>
    <row r="7612" spans="1:2" x14ac:dyDescent="0.25">
      <c r="A7612">
        <v>7583</v>
      </c>
      <c r="B7612">
        <v>7.8480682370341684E-2</v>
      </c>
    </row>
    <row r="7613" spans="1:2" x14ac:dyDescent="0.25">
      <c r="A7613">
        <v>7584</v>
      </c>
      <c r="B7613">
        <v>0.11920685646551664</v>
      </c>
    </row>
    <row r="7614" spans="1:2" x14ac:dyDescent="0.25">
      <c r="A7614">
        <v>7585</v>
      </c>
      <c r="B7614">
        <v>0.25409228336583001</v>
      </c>
    </row>
    <row r="7615" spans="1:2" x14ac:dyDescent="0.25">
      <c r="A7615">
        <v>7586</v>
      </c>
      <c r="B7615">
        <v>0.25927110180978546</v>
      </c>
    </row>
    <row r="7616" spans="1:2" x14ac:dyDescent="0.25">
      <c r="A7616">
        <v>7587</v>
      </c>
      <c r="B7616">
        <v>0.11434356972568678</v>
      </c>
    </row>
    <row r="7617" spans="1:2" x14ac:dyDescent="0.25">
      <c r="A7617">
        <v>7588</v>
      </c>
      <c r="B7617">
        <v>0.55029115204301871</v>
      </c>
    </row>
    <row r="7618" spans="1:2" x14ac:dyDescent="0.25">
      <c r="A7618">
        <v>7589</v>
      </c>
      <c r="B7618">
        <v>8.9615626510563207E-2</v>
      </c>
    </row>
    <row r="7619" spans="1:2" x14ac:dyDescent="0.25">
      <c r="A7619">
        <v>7590</v>
      </c>
      <c r="B7619">
        <v>6.4739313733783221E-2</v>
      </c>
    </row>
    <row r="7620" spans="1:2" x14ac:dyDescent="0.25">
      <c r="A7620">
        <v>7591</v>
      </c>
      <c r="B7620">
        <v>0.14653998684607059</v>
      </c>
    </row>
    <row r="7621" spans="1:2" x14ac:dyDescent="0.25">
      <c r="A7621">
        <v>7592</v>
      </c>
      <c r="B7621">
        <v>0.36207962229793755</v>
      </c>
    </row>
    <row r="7622" spans="1:2" x14ac:dyDescent="0.25">
      <c r="A7622">
        <v>7593</v>
      </c>
      <c r="B7622">
        <v>0.12326975278106667</v>
      </c>
    </row>
    <row r="7623" spans="1:2" x14ac:dyDescent="0.25">
      <c r="A7623">
        <v>7594</v>
      </c>
      <c r="B7623">
        <v>0.35498846430656167</v>
      </c>
    </row>
    <row r="7624" spans="1:2" x14ac:dyDescent="0.25">
      <c r="A7624">
        <v>7595</v>
      </c>
      <c r="B7624">
        <v>0.40438935492015671</v>
      </c>
    </row>
    <row r="7625" spans="1:2" x14ac:dyDescent="0.25">
      <c r="A7625">
        <v>7596</v>
      </c>
      <c r="B7625">
        <v>0.35518266110282204</v>
      </c>
    </row>
    <row r="7626" spans="1:2" x14ac:dyDescent="0.25">
      <c r="A7626">
        <v>7597</v>
      </c>
      <c r="B7626">
        <v>0.20961281866891626</v>
      </c>
    </row>
    <row r="7627" spans="1:2" x14ac:dyDescent="0.25">
      <c r="A7627">
        <v>7598</v>
      </c>
      <c r="B7627">
        <v>0.1844496085092906</v>
      </c>
    </row>
    <row r="7628" spans="1:2" x14ac:dyDescent="0.25">
      <c r="A7628">
        <v>7599</v>
      </c>
      <c r="B7628">
        <v>0.34094125910640694</v>
      </c>
    </row>
    <row r="7629" spans="1:2" x14ac:dyDescent="0.25">
      <c r="A7629">
        <v>7600</v>
      </c>
      <c r="B7629">
        <v>2.7338460141115132E-2</v>
      </c>
    </row>
    <row r="7630" spans="1:2" x14ac:dyDescent="0.25">
      <c r="A7630">
        <v>7601</v>
      </c>
      <c r="B7630">
        <v>5.4388677823650977E-2</v>
      </c>
    </row>
    <row r="7631" spans="1:2" x14ac:dyDescent="0.25">
      <c r="A7631">
        <v>7602</v>
      </c>
      <c r="B7631">
        <v>5.5293089797213722E-2</v>
      </c>
    </row>
    <row r="7632" spans="1:2" x14ac:dyDescent="0.25">
      <c r="A7632">
        <v>7603</v>
      </c>
      <c r="B7632">
        <v>0.43055303962259106</v>
      </c>
    </row>
    <row r="7633" spans="1:2" x14ac:dyDescent="0.25">
      <c r="A7633">
        <v>7604</v>
      </c>
      <c r="B7633">
        <v>7.7498910166251919E-2</v>
      </c>
    </row>
    <row r="7634" spans="1:2" x14ac:dyDescent="0.25">
      <c r="A7634">
        <v>7605</v>
      </c>
      <c r="B7634">
        <v>0.19185664173767533</v>
      </c>
    </row>
    <row r="7635" spans="1:2" x14ac:dyDescent="0.25">
      <c r="A7635">
        <v>7606</v>
      </c>
      <c r="B7635">
        <v>9.5880233567586196E-2</v>
      </c>
    </row>
    <row r="7636" spans="1:2" x14ac:dyDescent="0.25">
      <c r="A7636">
        <v>7607</v>
      </c>
      <c r="B7636">
        <v>1.3208326971886926</v>
      </c>
    </row>
    <row r="7637" spans="1:2" x14ac:dyDescent="0.25">
      <c r="A7637">
        <v>7608</v>
      </c>
      <c r="B7637">
        <v>0.24827607956687905</v>
      </c>
    </row>
    <row r="7638" spans="1:2" x14ac:dyDescent="0.25">
      <c r="A7638">
        <v>7609</v>
      </c>
      <c r="B7638">
        <v>3.2088833960367803E-2</v>
      </c>
    </row>
    <row r="7639" spans="1:2" x14ac:dyDescent="0.25">
      <c r="A7639">
        <v>7610</v>
      </c>
      <c r="B7639">
        <v>0.17275205117916329</v>
      </c>
    </row>
    <row r="7640" spans="1:2" x14ac:dyDescent="0.25">
      <c r="A7640">
        <v>7611</v>
      </c>
      <c r="B7640">
        <v>0.11160629749179267</v>
      </c>
    </row>
    <row r="7641" spans="1:2" x14ac:dyDescent="0.25">
      <c r="A7641">
        <v>7612</v>
      </c>
      <c r="B7641">
        <v>0.240643526297808</v>
      </c>
    </row>
    <row r="7642" spans="1:2" x14ac:dyDescent="0.25">
      <c r="A7642">
        <v>7613</v>
      </c>
      <c r="B7642">
        <v>9.6509661672958449E-2</v>
      </c>
    </row>
    <row r="7643" spans="1:2" x14ac:dyDescent="0.25">
      <c r="A7643">
        <v>7614</v>
      </c>
      <c r="B7643">
        <v>7.6183969864691337E-2</v>
      </c>
    </row>
    <row r="7644" spans="1:2" x14ac:dyDescent="0.25">
      <c r="A7644">
        <v>7615</v>
      </c>
      <c r="B7644">
        <v>9.8965357257758388E-2</v>
      </c>
    </row>
    <row r="7645" spans="1:2" x14ac:dyDescent="0.25">
      <c r="A7645">
        <v>7616</v>
      </c>
      <c r="B7645">
        <v>0.15925623014777243</v>
      </c>
    </row>
    <row r="7646" spans="1:2" x14ac:dyDescent="0.25">
      <c r="A7646">
        <v>7617</v>
      </c>
      <c r="B7646">
        <v>0.13680614849885081</v>
      </c>
    </row>
    <row r="7647" spans="1:2" x14ac:dyDescent="0.25">
      <c r="A7647">
        <v>7618</v>
      </c>
      <c r="B7647">
        <v>0.309499501687033</v>
      </c>
    </row>
    <row r="7648" spans="1:2" x14ac:dyDescent="0.25">
      <c r="A7648">
        <v>7619</v>
      </c>
      <c r="B7648">
        <v>0.3015079194388362</v>
      </c>
    </row>
    <row r="7649" spans="1:2" x14ac:dyDescent="0.25">
      <c r="A7649">
        <v>7620</v>
      </c>
      <c r="B7649">
        <v>8.4880544584716083E-2</v>
      </c>
    </row>
    <row r="7650" spans="1:2" x14ac:dyDescent="0.25">
      <c r="A7650">
        <v>7621</v>
      </c>
      <c r="B7650">
        <v>0.30856015769321793</v>
      </c>
    </row>
    <row r="7651" spans="1:2" x14ac:dyDescent="0.25">
      <c r="A7651">
        <v>7622</v>
      </c>
      <c r="B7651">
        <v>0.12078263532950249</v>
      </c>
    </row>
    <row r="7652" spans="1:2" x14ac:dyDescent="0.25">
      <c r="A7652">
        <v>7623</v>
      </c>
      <c r="B7652">
        <v>8.3826114335952814E-2</v>
      </c>
    </row>
    <row r="7653" spans="1:2" x14ac:dyDescent="0.25">
      <c r="A7653">
        <v>7624</v>
      </c>
      <c r="B7653">
        <v>0.6200071727377845</v>
      </c>
    </row>
    <row r="7654" spans="1:2" x14ac:dyDescent="0.25">
      <c r="A7654">
        <v>7625</v>
      </c>
      <c r="B7654">
        <v>0.33136378744181794</v>
      </c>
    </row>
    <row r="7655" spans="1:2" x14ac:dyDescent="0.25">
      <c r="A7655">
        <v>7626</v>
      </c>
      <c r="B7655">
        <v>0.25636461975868391</v>
      </c>
    </row>
    <row r="7656" spans="1:2" x14ac:dyDescent="0.25">
      <c r="A7656">
        <v>7627</v>
      </c>
      <c r="B7656">
        <v>0.14125335349424431</v>
      </c>
    </row>
    <row r="7657" spans="1:2" x14ac:dyDescent="0.25">
      <c r="A7657">
        <v>7628</v>
      </c>
      <c r="B7657">
        <v>0.49033897873951243</v>
      </c>
    </row>
    <row r="7658" spans="1:2" x14ac:dyDescent="0.25">
      <c r="A7658">
        <v>7629</v>
      </c>
      <c r="B7658">
        <v>0.12761785453348207</v>
      </c>
    </row>
    <row r="7659" spans="1:2" x14ac:dyDescent="0.25">
      <c r="A7659">
        <v>7630</v>
      </c>
      <c r="B7659">
        <v>6.8033741829189476E-2</v>
      </c>
    </row>
    <row r="7660" spans="1:2" x14ac:dyDescent="0.25">
      <c r="A7660">
        <v>7631</v>
      </c>
      <c r="B7660">
        <v>0.23413755021841609</v>
      </c>
    </row>
    <row r="7661" spans="1:2" x14ac:dyDescent="0.25">
      <c r="A7661">
        <v>7632</v>
      </c>
      <c r="B7661">
        <v>0.19433249342146564</v>
      </c>
    </row>
    <row r="7662" spans="1:2" x14ac:dyDescent="0.25">
      <c r="A7662">
        <v>7633</v>
      </c>
      <c r="B7662">
        <v>7.654495405458335E-2</v>
      </c>
    </row>
    <row r="7663" spans="1:2" x14ac:dyDescent="0.25">
      <c r="A7663">
        <v>7634</v>
      </c>
      <c r="B7663">
        <v>0.14554003793137141</v>
      </c>
    </row>
    <row r="7664" spans="1:2" x14ac:dyDescent="0.25">
      <c r="A7664">
        <v>7635</v>
      </c>
      <c r="B7664">
        <v>0.35525077541207495</v>
      </c>
    </row>
    <row r="7665" spans="1:2" x14ac:dyDescent="0.25">
      <c r="A7665">
        <v>7636</v>
      </c>
      <c r="B7665">
        <v>9.5548940291227832E-2</v>
      </c>
    </row>
    <row r="7666" spans="1:2" x14ac:dyDescent="0.25">
      <c r="A7666">
        <v>7637</v>
      </c>
      <c r="B7666">
        <v>0.25054745802596584</v>
      </c>
    </row>
    <row r="7667" spans="1:2" x14ac:dyDescent="0.25">
      <c r="A7667">
        <v>7638</v>
      </c>
      <c r="B7667">
        <v>0.21518481030259945</v>
      </c>
    </row>
    <row r="7668" spans="1:2" x14ac:dyDescent="0.25">
      <c r="A7668">
        <v>7639</v>
      </c>
      <c r="B7668">
        <v>0.1454423136928806</v>
      </c>
    </row>
    <row r="7669" spans="1:2" x14ac:dyDescent="0.25">
      <c r="A7669">
        <v>7640</v>
      </c>
      <c r="B7669">
        <v>0.11552672128251584</v>
      </c>
    </row>
    <row r="7670" spans="1:2" x14ac:dyDescent="0.25">
      <c r="A7670">
        <v>7641</v>
      </c>
      <c r="B7670">
        <v>5.6836023237429437E-2</v>
      </c>
    </row>
    <row r="7671" spans="1:2" x14ac:dyDescent="0.25">
      <c r="A7671">
        <v>7642</v>
      </c>
      <c r="B7671">
        <v>0.13144348158384439</v>
      </c>
    </row>
    <row r="7672" spans="1:2" x14ac:dyDescent="0.25">
      <c r="A7672">
        <v>7643</v>
      </c>
      <c r="B7672">
        <v>0.18204525084454307</v>
      </c>
    </row>
    <row r="7673" spans="1:2" x14ac:dyDescent="0.25">
      <c r="A7673">
        <v>7644</v>
      </c>
      <c r="B7673">
        <v>7.9672843323751449E-2</v>
      </c>
    </row>
    <row r="7674" spans="1:2" x14ac:dyDescent="0.25">
      <c r="A7674">
        <v>7645</v>
      </c>
      <c r="B7674">
        <v>0.19310830921741401</v>
      </c>
    </row>
    <row r="7675" spans="1:2" x14ac:dyDescent="0.25">
      <c r="A7675">
        <v>7646</v>
      </c>
      <c r="B7675">
        <v>0.37436533702596503</v>
      </c>
    </row>
    <row r="7676" spans="1:2" x14ac:dyDescent="0.25">
      <c r="A7676">
        <v>7647</v>
      </c>
      <c r="B7676">
        <v>0.13163115951125762</v>
      </c>
    </row>
    <row r="7677" spans="1:2" x14ac:dyDescent="0.25">
      <c r="A7677">
        <v>7648</v>
      </c>
      <c r="B7677">
        <v>0.10810411300969101</v>
      </c>
    </row>
    <row r="7678" spans="1:2" x14ac:dyDescent="0.25">
      <c r="A7678">
        <v>7649</v>
      </c>
      <c r="B7678">
        <v>0.16156187174817524</v>
      </c>
    </row>
    <row r="7679" spans="1:2" x14ac:dyDescent="0.25">
      <c r="A7679">
        <v>7650</v>
      </c>
      <c r="B7679">
        <v>6.9803846972420897E-2</v>
      </c>
    </row>
    <row r="7680" spans="1:2" x14ac:dyDescent="0.25">
      <c r="A7680">
        <v>7651</v>
      </c>
      <c r="B7680">
        <v>9.1723650305849835E-2</v>
      </c>
    </row>
    <row r="7681" spans="1:2" x14ac:dyDescent="0.25">
      <c r="A7681">
        <v>7652</v>
      </c>
      <c r="B7681">
        <v>8.2799292636064184E-2</v>
      </c>
    </row>
    <row r="7682" spans="1:2" x14ac:dyDescent="0.25">
      <c r="A7682">
        <v>7653</v>
      </c>
      <c r="B7682">
        <v>0.23735237851466351</v>
      </c>
    </row>
    <row r="7683" spans="1:2" x14ac:dyDescent="0.25">
      <c r="A7683">
        <v>7654</v>
      </c>
      <c r="B7683">
        <v>0.15607554163005274</v>
      </c>
    </row>
    <row r="7684" spans="1:2" x14ac:dyDescent="0.25">
      <c r="A7684">
        <v>7655</v>
      </c>
      <c r="B7684">
        <v>0.82959835854980546</v>
      </c>
    </row>
    <row r="7685" spans="1:2" x14ac:dyDescent="0.25">
      <c r="A7685">
        <v>7656</v>
      </c>
      <c r="B7685">
        <v>0.21119284723389439</v>
      </c>
    </row>
    <row r="7686" spans="1:2" x14ac:dyDescent="0.25">
      <c r="A7686">
        <v>7657</v>
      </c>
      <c r="B7686">
        <v>0.12360429824178504</v>
      </c>
    </row>
    <row r="7687" spans="1:2" x14ac:dyDescent="0.25">
      <c r="A7687">
        <v>7658</v>
      </c>
      <c r="B7687">
        <v>0.14650883841587256</v>
      </c>
    </row>
    <row r="7688" spans="1:2" x14ac:dyDescent="0.25">
      <c r="A7688">
        <v>7659</v>
      </c>
      <c r="B7688">
        <v>5.7524580387131319E-2</v>
      </c>
    </row>
    <row r="7689" spans="1:2" x14ac:dyDescent="0.25">
      <c r="A7689">
        <v>7660</v>
      </c>
      <c r="B7689">
        <v>9.4677957031976248E-2</v>
      </c>
    </row>
    <row r="7690" spans="1:2" x14ac:dyDescent="0.25">
      <c r="A7690">
        <v>7661</v>
      </c>
      <c r="B7690">
        <v>0.18253576160921228</v>
      </c>
    </row>
    <row r="7691" spans="1:2" x14ac:dyDescent="0.25">
      <c r="A7691">
        <v>7662</v>
      </c>
      <c r="B7691">
        <v>0.11785937938724934</v>
      </c>
    </row>
    <row r="7692" spans="1:2" x14ac:dyDescent="0.25">
      <c r="A7692">
        <v>7663</v>
      </c>
      <c r="B7692">
        <v>0.26123569508233169</v>
      </c>
    </row>
    <row r="7693" spans="1:2" x14ac:dyDescent="0.25">
      <c r="A7693">
        <v>7664</v>
      </c>
      <c r="B7693">
        <v>8.5318786407160535E-2</v>
      </c>
    </row>
    <row r="7694" spans="1:2" x14ac:dyDescent="0.25">
      <c r="A7694">
        <v>7665</v>
      </c>
      <c r="B7694">
        <v>8.2173351051428409E-2</v>
      </c>
    </row>
    <row r="7695" spans="1:2" x14ac:dyDescent="0.25">
      <c r="A7695">
        <v>7666</v>
      </c>
      <c r="B7695">
        <v>0.19781926443460446</v>
      </c>
    </row>
    <row r="7696" spans="1:2" x14ac:dyDescent="0.25">
      <c r="A7696">
        <v>7667</v>
      </c>
      <c r="B7696">
        <v>0.10598368919121136</v>
      </c>
    </row>
    <row r="7697" spans="1:2" x14ac:dyDescent="0.25">
      <c r="A7697">
        <v>7668</v>
      </c>
      <c r="B7697">
        <v>0.29280910189364084</v>
      </c>
    </row>
    <row r="7698" spans="1:2" x14ac:dyDescent="0.25">
      <c r="A7698">
        <v>7669</v>
      </c>
      <c r="B7698">
        <v>0.16380393424241582</v>
      </c>
    </row>
    <row r="7699" spans="1:2" x14ac:dyDescent="0.25">
      <c r="A7699">
        <v>7670</v>
      </c>
      <c r="B7699">
        <v>0.29440994230955259</v>
      </c>
    </row>
    <row r="7700" spans="1:2" x14ac:dyDescent="0.25">
      <c r="A7700">
        <v>7671</v>
      </c>
      <c r="B7700">
        <v>0.15887363560007936</v>
      </c>
    </row>
    <row r="7701" spans="1:2" x14ac:dyDescent="0.25">
      <c r="A7701">
        <v>7672</v>
      </c>
      <c r="B7701">
        <v>0.19741075301218972</v>
      </c>
    </row>
    <row r="7702" spans="1:2" x14ac:dyDescent="0.25">
      <c r="A7702">
        <v>7673</v>
      </c>
      <c r="B7702">
        <v>0.24233812720628292</v>
      </c>
    </row>
    <row r="7703" spans="1:2" x14ac:dyDescent="0.25">
      <c r="A7703">
        <v>7674</v>
      </c>
      <c r="B7703">
        <v>5.2263209681376585E-2</v>
      </c>
    </row>
    <row r="7704" spans="1:2" x14ac:dyDescent="0.25">
      <c r="A7704">
        <v>7675</v>
      </c>
      <c r="B7704">
        <v>6.2448461405555267E-2</v>
      </c>
    </row>
    <row r="7705" spans="1:2" x14ac:dyDescent="0.25">
      <c r="A7705">
        <v>7676</v>
      </c>
      <c r="B7705">
        <v>9.5477375826202651E-2</v>
      </c>
    </row>
    <row r="7706" spans="1:2" x14ac:dyDescent="0.25">
      <c r="A7706">
        <v>7677</v>
      </c>
      <c r="B7706">
        <v>0.17219959954214761</v>
      </c>
    </row>
    <row r="7707" spans="1:2" x14ac:dyDescent="0.25">
      <c r="A7707">
        <v>7678</v>
      </c>
      <c r="B7707">
        <v>5.3318571454335231E-2</v>
      </c>
    </row>
    <row r="7708" spans="1:2" x14ac:dyDescent="0.25">
      <c r="A7708">
        <v>7679</v>
      </c>
      <c r="B7708">
        <v>0.15735872236266538</v>
      </c>
    </row>
    <row r="7709" spans="1:2" x14ac:dyDescent="0.25">
      <c r="A7709">
        <v>7680</v>
      </c>
      <c r="B7709">
        <v>0.42864222481631054</v>
      </c>
    </row>
    <row r="7710" spans="1:2" x14ac:dyDescent="0.25">
      <c r="A7710">
        <v>7681</v>
      </c>
      <c r="B7710">
        <v>7.7047327920591144E-2</v>
      </c>
    </row>
    <row r="7711" spans="1:2" x14ac:dyDescent="0.25">
      <c r="A7711">
        <v>7682</v>
      </c>
      <c r="B7711">
        <v>6.1318023122723941E-2</v>
      </c>
    </row>
    <row r="7712" spans="1:2" x14ac:dyDescent="0.25">
      <c r="A7712">
        <v>7683</v>
      </c>
      <c r="B7712">
        <v>0.13816103263218815</v>
      </c>
    </row>
    <row r="7713" spans="1:2" x14ac:dyDescent="0.25">
      <c r="A7713">
        <v>7684</v>
      </c>
      <c r="B7713">
        <v>0.31772076285409306</v>
      </c>
    </row>
    <row r="7714" spans="1:2" x14ac:dyDescent="0.25">
      <c r="A7714">
        <v>7685</v>
      </c>
      <c r="B7714">
        <v>0.27832868045213921</v>
      </c>
    </row>
    <row r="7715" spans="1:2" x14ac:dyDescent="0.25">
      <c r="A7715">
        <v>7686</v>
      </c>
      <c r="B7715">
        <v>8.4595125729417839E-2</v>
      </c>
    </row>
    <row r="7716" spans="1:2" x14ac:dyDescent="0.25">
      <c r="A7716">
        <v>7687</v>
      </c>
      <c r="B7716">
        <v>0.2134399320829993</v>
      </c>
    </row>
    <row r="7717" spans="1:2" x14ac:dyDescent="0.25">
      <c r="A7717">
        <v>7688</v>
      </c>
      <c r="B7717">
        <v>0.21832860699194945</v>
      </c>
    </row>
    <row r="7718" spans="1:2" x14ac:dyDescent="0.25">
      <c r="A7718">
        <v>7689</v>
      </c>
      <c r="B7718">
        <v>0.24169638746980709</v>
      </c>
    </row>
    <row r="7719" spans="1:2" x14ac:dyDescent="0.25">
      <c r="A7719">
        <v>7690</v>
      </c>
      <c r="B7719">
        <v>0.35935273585279603</v>
      </c>
    </row>
    <row r="7720" spans="1:2" x14ac:dyDescent="0.25">
      <c r="A7720">
        <v>7691</v>
      </c>
      <c r="B7720">
        <v>0.26945274205273756</v>
      </c>
    </row>
    <row r="7721" spans="1:2" x14ac:dyDescent="0.25">
      <c r="A7721">
        <v>7692</v>
      </c>
      <c r="B7721">
        <v>0.31470203345850345</v>
      </c>
    </row>
    <row r="7722" spans="1:2" x14ac:dyDescent="0.25">
      <c r="A7722">
        <v>7693</v>
      </c>
      <c r="B7722">
        <v>0.22053930733284696</v>
      </c>
    </row>
    <row r="7723" spans="1:2" x14ac:dyDescent="0.25">
      <c r="A7723">
        <v>7694</v>
      </c>
      <c r="B7723">
        <v>0.2659396938139143</v>
      </c>
    </row>
    <row r="7724" spans="1:2" x14ac:dyDescent="0.25">
      <c r="A7724">
        <v>7695</v>
      </c>
      <c r="B7724">
        <v>0.21451161868009611</v>
      </c>
    </row>
    <row r="7725" spans="1:2" x14ac:dyDescent="0.25">
      <c r="A7725">
        <v>7696</v>
      </c>
      <c r="B7725">
        <v>0.1544088006319754</v>
      </c>
    </row>
    <row r="7726" spans="1:2" x14ac:dyDescent="0.25">
      <c r="A7726">
        <v>7697</v>
      </c>
      <c r="B7726">
        <v>0.19408679600910045</v>
      </c>
    </row>
    <row r="7727" spans="1:2" x14ac:dyDescent="0.25">
      <c r="A7727">
        <v>7698</v>
      </c>
      <c r="B7727">
        <v>0.1408666113806242</v>
      </c>
    </row>
    <row r="7728" spans="1:2" x14ac:dyDescent="0.25">
      <c r="A7728">
        <v>7699</v>
      </c>
      <c r="B7728">
        <v>0.12840366556459926</v>
      </c>
    </row>
    <row r="7729" spans="1:2" x14ac:dyDescent="0.25">
      <c r="A7729">
        <v>7700</v>
      </c>
      <c r="B7729">
        <v>0.29712095151537832</v>
      </c>
    </row>
    <row r="7730" spans="1:2" x14ac:dyDescent="0.25">
      <c r="A7730">
        <v>7701</v>
      </c>
      <c r="B7730">
        <v>0.1118081239774236</v>
      </c>
    </row>
    <row r="7731" spans="1:2" x14ac:dyDescent="0.25">
      <c r="A7731">
        <v>7702</v>
      </c>
      <c r="B7731">
        <v>0.16634574292935819</v>
      </c>
    </row>
    <row r="7732" spans="1:2" x14ac:dyDescent="0.25">
      <c r="A7732">
        <v>7703</v>
      </c>
      <c r="B7732">
        <v>0.17674184523001596</v>
      </c>
    </row>
    <row r="7733" spans="1:2" x14ac:dyDescent="0.25">
      <c r="A7733">
        <v>7704</v>
      </c>
      <c r="B7733">
        <v>0.1187955257431875</v>
      </c>
    </row>
    <row r="7734" spans="1:2" x14ac:dyDescent="0.25">
      <c r="A7734">
        <v>7705</v>
      </c>
      <c r="B7734">
        <v>0.26699197408137759</v>
      </c>
    </row>
    <row r="7735" spans="1:2" x14ac:dyDescent="0.25">
      <c r="A7735">
        <v>7706</v>
      </c>
      <c r="B7735">
        <v>0.15405859017329382</v>
      </c>
    </row>
    <row r="7736" spans="1:2" x14ac:dyDescent="0.25">
      <c r="A7736">
        <v>7707</v>
      </c>
      <c r="B7736">
        <v>0.49115707635117567</v>
      </c>
    </row>
    <row r="7737" spans="1:2" x14ac:dyDescent="0.25">
      <c r="A7737">
        <v>7708</v>
      </c>
      <c r="B7737">
        <v>0.1368548306163854</v>
      </c>
    </row>
    <row r="7738" spans="1:2" x14ac:dyDescent="0.25">
      <c r="A7738">
        <v>7709</v>
      </c>
      <c r="B7738">
        <v>0.11046100935184916</v>
      </c>
    </row>
    <row r="7739" spans="1:2" x14ac:dyDescent="0.25">
      <c r="A7739">
        <v>7710</v>
      </c>
      <c r="B7739">
        <v>0.17109789629065866</v>
      </c>
    </row>
    <row r="7740" spans="1:2" x14ac:dyDescent="0.25">
      <c r="A7740">
        <v>7711</v>
      </c>
      <c r="B7740">
        <v>6.6017443747065876E-2</v>
      </c>
    </row>
    <row r="7741" spans="1:2" x14ac:dyDescent="0.25">
      <c r="A7741">
        <v>7712</v>
      </c>
      <c r="B7741">
        <v>0.23189495657609135</v>
      </c>
    </row>
    <row r="7742" spans="1:2" x14ac:dyDescent="0.25">
      <c r="A7742">
        <v>7713</v>
      </c>
      <c r="B7742">
        <v>4.2029173765847611E-2</v>
      </c>
    </row>
    <row r="7743" spans="1:2" x14ac:dyDescent="0.25">
      <c r="A7743">
        <v>7714</v>
      </c>
      <c r="B7743">
        <v>0.16494534637247474</v>
      </c>
    </row>
    <row r="7744" spans="1:2" x14ac:dyDescent="0.25">
      <c r="A7744">
        <v>7715</v>
      </c>
      <c r="B7744">
        <v>0.11619092828390301</v>
      </c>
    </row>
    <row r="7745" spans="1:2" x14ac:dyDescent="0.25">
      <c r="A7745">
        <v>7716</v>
      </c>
      <c r="B7745">
        <v>0.12541377224438552</v>
      </c>
    </row>
    <row r="7746" spans="1:2" x14ac:dyDescent="0.25">
      <c r="A7746">
        <v>7717</v>
      </c>
      <c r="B7746">
        <v>9.9059520715211749E-2</v>
      </c>
    </row>
    <row r="7747" spans="1:2" x14ac:dyDescent="0.25">
      <c r="A7747">
        <v>7718</v>
      </c>
      <c r="B7747">
        <v>0.73373969380313042</v>
      </c>
    </row>
    <row r="7748" spans="1:2" x14ac:dyDescent="0.25">
      <c r="A7748">
        <v>7719</v>
      </c>
      <c r="B7748">
        <v>0.10292649282186231</v>
      </c>
    </row>
    <row r="7749" spans="1:2" x14ac:dyDescent="0.25">
      <c r="A7749">
        <v>7720</v>
      </c>
      <c r="B7749">
        <v>0.1956698488811692</v>
      </c>
    </row>
    <row r="7750" spans="1:2" x14ac:dyDescent="0.25">
      <c r="A7750">
        <v>7721</v>
      </c>
      <c r="B7750">
        <v>0.13269160106977129</v>
      </c>
    </row>
    <row r="7751" spans="1:2" x14ac:dyDescent="0.25">
      <c r="A7751">
        <v>7722</v>
      </c>
      <c r="B7751">
        <v>8.4561866787269069E-2</v>
      </c>
    </row>
    <row r="7752" spans="1:2" x14ac:dyDescent="0.25">
      <c r="A7752">
        <v>7723</v>
      </c>
      <c r="B7752">
        <v>0.39205442441048444</v>
      </c>
    </row>
    <row r="7753" spans="1:2" x14ac:dyDescent="0.25">
      <c r="A7753">
        <v>7724</v>
      </c>
      <c r="B7753">
        <v>0.22717925064912117</v>
      </c>
    </row>
    <row r="7754" spans="1:2" x14ac:dyDescent="0.25">
      <c r="A7754">
        <v>7725</v>
      </c>
      <c r="B7754">
        <v>0.13232065485248365</v>
      </c>
    </row>
    <row r="7755" spans="1:2" x14ac:dyDescent="0.25">
      <c r="A7755">
        <v>7726</v>
      </c>
      <c r="B7755">
        <v>0.3934376169189493</v>
      </c>
    </row>
    <row r="7756" spans="1:2" x14ac:dyDescent="0.25">
      <c r="A7756">
        <v>7727</v>
      </c>
      <c r="B7756">
        <v>0.39842381521471598</v>
      </c>
    </row>
    <row r="7757" spans="1:2" x14ac:dyDescent="0.25">
      <c r="A7757">
        <v>7728</v>
      </c>
      <c r="B7757">
        <v>0.22836556527916999</v>
      </c>
    </row>
    <row r="7758" spans="1:2" x14ac:dyDescent="0.25">
      <c r="A7758">
        <v>7729</v>
      </c>
      <c r="B7758">
        <v>0.19618063234286306</v>
      </c>
    </row>
    <row r="7759" spans="1:2" x14ac:dyDescent="0.25">
      <c r="A7759">
        <v>7730</v>
      </c>
      <c r="B7759">
        <v>0.25741540038020561</v>
      </c>
    </row>
    <row r="7760" spans="1:2" x14ac:dyDescent="0.25">
      <c r="A7760">
        <v>7731</v>
      </c>
      <c r="B7760">
        <v>0.25732769509961778</v>
      </c>
    </row>
    <row r="7761" spans="1:2" x14ac:dyDescent="0.25">
      <c r="A7761">
        <v>7732</v>
      </c>
      <c r="B7761">
        <v>0.23574893127003493</v>
      </c>
    </row>
    <row r="7762" spans="1:2" x14ac:dyDescent="0.25">
      <c r="A7762">
        <v>7733</v>
      </c>
      <c r="B7762">
        <v>0.18598710189170228</v>
      </c>
    </row>
    <row r="7763" spans="1:2" x14ac:dyDescent="0.25">
      <c r="A7763">
        <v>7734</v>
      </c>
      <c r="B7763">
        <v>0.1491362512515467</v>
      </c>
    </row>
    <row r="7764" spans="1:2" x14ac:dyDescent="0.25">
      <c r="A7764">
        <v>7735</v>
      </c>
      <c r="B7764">
        <v>7.3644124194560928E-2</v>
      </c>
    </row>
    <row r="7765" spans="1:2" x14ac:dyDescent="0.25">
      <c r="A7765">
        <v>7736</v>
      </c>
      <c r="B7765">
        <v>0.28772493780218922</v>
      </c>
    </row>
    <row r="7766" spans="1:2" x14ac:dyDescent="0.25">
      <c r="A7766">
        <v>7737</v>
      </c>
      <c r="B7766">
        <v>6.8730975451334803E-2</v>
      </c>
    </row>
    <row r="7767" spans="1:2" x14ac:dyDescent="0.25">
      <c r="A7767">
        <v>7738</v>
      </c>
      <c r="B7767">
        <v>0.11289300086672846</v>
      </c>
    </row>
    <row r="7768" spans="1:2" x14ac:dyDescent="0.25">
      <c r="A7768">
        <v>7739</v>
      </c>
      <c r="B7768">
        <v>0.1110408555242605</v>
      </c>
    </row>
    <row r="7769" spans="1:2" x14ac:dyDescent="0.25">
      <c r="A7769">
        <v>7740</v>
      </c>
      <c r="B7769">
        <v>0.25204347195570165</v>
      </c>
    </row>
    <row r="7770" spans="1:2" x14ac:dyDescent="0.25">
      <c r="A7770">
        <v>7741</v>
      </c>
      <c r="B7770">
        <v>0.17119537291314027</v>
      </c>
    </row>
    <row r="7771" spans="1:2" x14ac:dyDescent="0.25">
      <c r="A7771">
        <v>7742</v>
      </c>
      <c r="B7771">
        <v>0.24855162667278782</v>
      </c>
    </row>
    <row r="7772" spans="1:2" x14ac:dyDescent="0.25">
      <c r="A7772">
        <v>7743</v>
      </c>
      <c r="B7772">
        <v>0.11947050529582115</v>
      </c>
    </row>
    <row r="7773" spans="1:2" x14ac:dyDescent="0.25">
      <c r="A7773">
        <v>7744</v>
      </c>
      <c r="B7773">
        <v>0.27625296756425466</v>
      </c>
    </row>
    <row r="7774" spans="1:2" x14ac:dyDescent="0.25">
      <c r="A7774">
        <v>7745</v>
      </c>
      <c r="B7774">
        <v>0.15708085956744514</v>
      </c>
    </row>
    <row r="7775" spans="1:2" x14ac:dyDescent="0.25">
      <c r="A7775">
        <v>7746</v>
      </c>
      <c r="B7775">
        <v>0.14994333255417688</v>
      </c>
    </row>
    <row r="7776" spans="1:2" x14ac:dyDescent="0.25">
      <c r="A7776">
        <v>7747</v>
      </c>
      <c r="B7776">
        <v>0.23250256799734706</v>
      </c>
    </row>
    <row r="7777" spans="1:2" x14ac:dyDescent="0.25">
      <c r="A7777">
        <v>7748</v>
      </c>
      <c r="B7777">
        <v>0.1671670475587024</v>
      </c>
    </row>
    <row r="7778" spans="1:2" x14ac:dyDescent="0.25">
      <c r="A7778">
        <v>7749</v>
      </c>
      <c r="B7778">
        <v>7.4080118870042788E-2</v>
      </c>
    </row>
    <row r="7779" spans="1:2" x14ac:dyDescent="0.25">
      <c r="A7779">
        <v>7750</v>
      </c>
      <c r="B7779">
        <v>0.11905395329639883</v>
      </c>
    </row>
    <row r="7780" spans="1:2" x14ac:dyDescent="0.25">
      <c r="A7780">
        <v>7751</v>
      </c>
      <c r="B7780">
        <v>0.13913869988124561</v>
      </c>
    </row>
    <row r="7781" spans="1:2" x14ac:dyDescent="0.25">
      <c r="A7781">
        <v>7752</v>
      </c>
      <c r="B7781">
        <v>0.36618513960389865</v>
      </c>
    </row>
    <row r="7782" spans="1:2" x14ac:dyDescent="0.25">
      <c r="A7782">
        <v>7753</v>
      </c>
      <c r="B7782">
        <v>0.52310832396812756</v>
      </c>
    </row>
    <row r="7783" spans="1:2" x14ac:dyDescent="0.25">
      <c r="A7783">
        <v>7754</v>
      </c>
      <c r="B7783">
        <v>0.22934074424598372</v>
      </c>
    </row>
    <row r="7784" spans="1:2" x14ac:dyDescent="0.25">
      <c r="A7784">
        <v>7755</v>
      </c>
      <c r="B7784">
        <v>0.12105298554468522</v>
      </c>
    </row>
    <row r="7785" spans="1:2" x14ac:dyDescent="0.25">
      <c r="A7785">
        <v>7756</v>
      </c>
      <c r="B7785">
        <v>0.12878227945643231</v>
      </c>
    </row>
    <row r="7786" spans="1:2" x14ac:dyDescent="0.25">
      <c r="A7786">
        <v>7757</v>
      </c>
      <c r="B7786">
        <v>0.47380874949791651</v>
      </c>
    </row>
    <row r="7787" spans="1:2" x14ac:dyDescent="0.25">
      <c r="A7787">
        <v>7758</v>
      </c>
      <c r="B7787">
        <v>0.12569080350810344</v>
      </c>
    </row>
    <row r="7788" spans="1:2" x14ac:dyDescent="0.25">
      <c r="A7788">
        <v>7759</v>
      </c>
      <c r="B7788">
        <v>0.19026119726734139</v>
      </c>
    </row>
    <row r="7789" spans="1:2" x14ac:dyDescent="0.25">
      <c r="A7789">
        <v>7760</v>
      </c>
      <c r="B7789">
        <v>0.26966231198794921</v>
      </c>
    </row>
    <row r="7790" spans="1:2" x14ac:dyDescent="0.25">
      <c r="A7790">
        <v>7761</v>
      </c>
      <c r="B7790">
        <v>0.37163458704753433</v>
      </c>
    </row>
    <row r="7791" spans="1:2" x14ac:dyDescent="0.25">
      <c r="A7791">
        <v>7762</v>
      </c>
      <c r="B7791">
        <v>0.30571936095810365</v>
      </c>
    </row>
    <row r="7792" spans="1:2" x14ac:dyDescent="0.25">
      <c r="A7792">
        <v>7763</v>
      </c>
      <c r="B7792">
        <v>0.11012385170908202</v>
      </c>
    </row>
    <row r="7793" spans="1:2" x14ac:dyDescent="0.25">
      <c r="A7793">
        <v>7764</v>
      </c>
      <c r="B7793">
        <v>0.53565428351983502</v>
      </c>
    </row>
    <row r="7794" spans="1:2" x14ac:dyDescent="0.25">
      <c r="A7794">
        <v>7765</v>
      </c>
      <c r="B7794">
        <v>0.24967809804652769</v>
      </c>
    </row>
    <row r="7795" spans="1:2" x14ac:dyDescent="0.25">
      <c r="A7795">
        <v>7766</v>
      </c>
      <c r="B7795">
        <v>0.2356510294726149</v>
      </c>
    </row>
    <row r="7796" spans="1:2" x14ac:dyDescent="0.25">
      <c r="A7796">
        <v>7767</v>
      </c>
      <c r="B7796">
        <v>0.1207892023548942</v>
      </c>
    </row>
    <row r="7797" spans="1:2" x14ac:dyDescent="0.25">
      <c r="A7797">
        <v>7768</v>
      </c>
      <c r="B7797">
        <v>0.11817907141112909</v>
      </c>
    </row>
    <row r="7798" spans="1:2" x14ac:dyDescent="0.25">
      <c r="A7798">
        <v>7769</v>
      </c>
      <c r="B7798">
        <v>8.187854448296622E-2</v>
      </c>
    </row>
    <row r="7799" spans="1:2" x14ac:dyDescent="0.25">
      <c r="A7799">
        <v>7770</v>
      </c>
      <c r="B7799">
        <v>0.12965594365565386</v>
      </c>
    </row>
    <row r="7800" spans="1:2" x14ac:dyDescent="0.25">
      <c r="A7800">
        <v>7771</v>
      </c>
      <c r="B7800">
        <v>0.48214615293182456</v>
      </c>
    </row>
    <row r="7801" spans="1:2" x14ac:dyDescent="0.25">
      <c r="A7801">
        <v>7772</v>
      </c>
      <c r="B7801">
        <v>0.15620798064230906</v>
      </c>
    </row>
    <row r="7802" spans="1:2" x14ac:dyDescent="0.25">
      <c r="A7802">
        <v>7773</v>
      </c>
      <c r="B7802">
        <v>0.31241627607319289</v>
      </c>
    </row>
    <row r="7803" spans="1:2" x14ac:dyDescent="0.25">
      <c r="A7803">
        <v>7774</v>
      </c>
      <c r="B7803">
        <v>0.22592377588642848</v>
      </c>
    </row>
    <row r="7804" spans="1:2" x14ac:dyDescent="0.25">
      <c r="A7804">
        <v>7775</v>
      </c>
      <c r="B7804">
        <v>0.2984211588946869</v>
      </c>
    </row>
    <row r="7805" spans="1:2" x14ac:dyDescent="0.25">
      <c r="A7805">
        <v>7776</v>
      </c>
      <c r="B7805">
        <v>6.4237646624543246E-2</v>
      </c>
    </row>
    <row r="7806" spans="1:2" x14ac:dyDescent="0.25">
      <c r="A7806">
        <v>7777</v>
      </c>
      <c r="B7806">
        <v>0.18404664396600035</v>
      </c>
    </row>
    <row r="7807" spans="1:2" x14ac:dyDescent="0.25">
      <c r="A7807">
        <v>7778</v>
      </c>
      <c r="B7807">
        <v>0.50273409260151058</v>
      </c>
    </row>
    <row r="7808" spans="1:2" x14ac:dyDescent="0.25">
      <c r="A7808">
        <v>7779</v>
      </c>
      <c r="B7808">
        <v>0.13821776583751663</v>
      </c>
    </row>
    <row r="7809" spans="1:2" x14ac:dyDescent="0.25">
      <c r="A7809">
        <v>7780</v>
      </c>
      <c r="B7809">
        <v>0.22482561750785807</v>
      </c>
    </row>
    <row r="7810" spans="1:2" x14ac:dyDescent="0.25">
      <c r="A7810">
        <v>7781</v>
      </c>
      <c r="B7810">
        <v>0.11557677311662802</v>
      </c>
    </row>
    <row r="7811" spans="1:2" x14ac:dyDescent="0.25">
      <c r="A7811">
        <v>7782</v>
      </c>
      <c r="B7811">
        <v>7.0580494298300406E-2</v>
      </c>
    </row>
    <row r="7812" spans="1:2" x14ac:dyDescent="0.25">
      <c r="A7812">
        <v>7783</v>
      </c>
      <c r="B7812">
        <v>7.707680217441773E-2</v>
      </c>
    </row>
    <row r="7813" spans="1:2" x14ac:dyDescent="0.25">
      <c r="A7813">
        <v>7784</v>
      </c>
      <c r="B7813">
        <v>0.30218607968374966</v>
      </c>
    </row>
    <row r="7814" spans="1:2" x14ac:dyDescent="0.25">
      <c r="A7814">
        <v>7785</v>
      </c>
      <c r="B7814">
        <v>0.18132596022744749</v>
      </c>
    </row>
    <row r="7815" spans="1:2" x14ac:dyDescent="0.25">
      <c r="A7815">
        <v>7786</v>
      </c>
      <c r="B7815">
        <v>5.656040155848837E-2</v>
      </c>
    </row>
    <row r="7816" spans="1:2" x14ac:dyDescent="0.25">
      <c r="A7816">
        <v>7787</v>
      </c>
      <c r="B7816">
        <v>0.22065164285381592</v>
      </c>
    </row>
    <row r="7817" spans="1:2" x14ac:dyDescent="0.25">
      <c r="A7817">
        <v>7788</v>
      </c>
      <c r="B7817">
        <v>0.21085119495314703</v>
      </c>
    </row>
    <row r="7818" spans="1:2" x14ac:dyDescent="0.25">
      <c r="A7818">
        <v>7789</v>
      </c>
      <c r="B7818">
        <v>0.33406428455883369</v>
      </c>
    </row>
    <row r="7819" spans="1:2" x14ac:dyDescent="0.25">
      <c r="A7819">
        <v>7790</v>
      </c>
      <c r="B7819">
        <v>0.12561454252219525</v>
      </c>
    </row>
    <row r="7820" spans="1:2" x14ac:dyDescent="0.25">
      <c r="A7820">
        <v>7791</v>
      </c>
      <c r="B7820">
        <v>9.8035172923250452E-2</v>
      </c>
    </row>
    <row r="7821" spans="1:2" x14ac:dyDescent="0.25">
      <c r="A7821">
        <v>7792</v>
      </c>
      <c r="B7821">
        <v>0.10151860033202753</v>
      </c>
    </row>
    <row r="7822" spans="1:2" x14ac:dyDescent="0.25">
      <c r="A7822">
        <v>7793</v>
      </c>
      <c r="B7822">
        <v>0.22646255080204039</v>
      </c>
    </row>
    <row r="7823" spans="1:2" x14ac:dyDescent="0.25">
      <c r="A7823">
        <v>7794</v>
      </c>
      <c r="B7823">
        <v>0.14226688354701669</v>
      </c>
    </row>
    <row r="7824" spans="1:2" x14ac:dyDescent="0.25">
      <c r="A7824">
        <v>7795</v>
      </c>
      <c r="B7824">
        <v>0.18328561520422154</v>
      </c>
    </row>
    <row r="7825" spans="1:2" x14ac:dyDescent="0.25">
      <c r="A7825">
        <v>7796</v>
      </c>
      <c r="B7825">
        <v>0.18520628375472048</v>
      </c>
    </row>
    <row r="7826" spans="1:2" x14ac:dyDescent="0.25">
      <c r="A7826">
        <v>7797</v>
      </c>
      <c r="B7826">
        <v>0.12551168941522364</v>
      </c>
    </row>
    <row r="7827" spans="1:2" x14ac:dyDescent="0.25">
      <c r="A7827">
        <v>7798</v>
      </c>
      <c r="B7827">
        <v>0.14084613234922891</v>
      </c>
    </row>
    <row r="7828" spans="1:2" x14ac:dyDescent="0.25">
      <c r="A7828">
        <v>7799</v>
      </c>
      <c r="B7828">
        <v>0.38328935766411748</v>
      </c>
    </row>
    <row r="7829" spans="1:2" x14ac:dyDescent="0.25">
      <c r="A7829">
        <v>7800</v>
      </c>
      <c r="B7829">
        <v>6.1288033035207787E-2</v>
      </c>
    </row>
    <row r="7830" spans="1:2" x14ac:dyDescent="0.25">
      <c r="A7830">
        <v>7801</v>
      </c>
      <c r="B7830">
        <v>0.10669506920877832</v>
      </c>
    </row>
    <row r="7831" spans="1:2" x14ac:dyDescent="0.25">
      <c r="A7831">
        <v>7802</v>
      </c>
      <c r="B7831">
        <v>5.8305866489200435E-2</v>
      </c>
    </row>
    <row r="7832" spans="1:2" x14ac:dyDescent="0.25">
      <c r="A7832">
        <v>7803</v>
      </c>
      <c r="B7832">
        <v>0.11291822585933331</v>
      </c>
    </row>
    <row r="7833" spans="1:2" x14ac:dyDescent="0.25">
      <c r="A7833">
        <v>7804</v>
      </c>
      <c r="B7833">
        <v>0.61183097782865148</v>
      </c>
    </row>
    <row r="7834" spans="1:2" x14ac:dyDescent="0.25">
      <c r="A7834">
        <v>7805</v>
      </c>
      <c r="B7834">
        <v>9.8008127281023968E-2</v>
      </c>
    </row>
    <row r="7835" spans="1:2" x14ac:dyDescent="0.25">
      <c r="A7835">
        <v>7806</v>
      </c>
      <c r="B7835">
        <v>0.3175627980362849</v>
      </c>
    </row>
    <row r="7836" spans="1:2" x14ac:dyDescent="0.25">
      <c r="A7836">
        <v>7807</v>
      </c>
      <c r="B7836">
        <v>7.9727532419876748E-2</v>
      </c>
    </row>
    <row r="7837" spans="1:2" x14ac:dyDescent="0.25">
      <c r="A7837">
        <v>7808</v>
      </c>
      <c r="B7837">
        <v>0.21293360226875868</v>
      </c>
    </row>
    <row r="7838" spans="1:2" x14ac:dyDescent="0.25">
      <c r="A7838">
        <v>7809</v>
      </c>
      <c r="B7838">
        <v>0.16425422416011229</v>
      </c>
    </row>
    <row r="7839" spans="1:2" x14ac:dyDescent="0.25">
      <c r="A7839">
        <v>7810</v>
      </c>
      <c r="B7839">
        <v>0.1475165379480794</v>
      </c>
    </row>
    <row r="7840" spans="1:2" x14ac:dyDescent="0.25">
      <c r="A7840">
        <v>7811</v>
      </c>
      <c r="B7840">
        <v>2.7950362787518921E-2</v>
      </c>
    </row>
    <row r="7841" spans="1:2" x14ac:dyDescent="0.25">
      <c r="A7841">
        <v>7812</v>
      </c>
      <c r="B7841">
        <v>0.16268063265214797</v>
      </c>
    </row>
    <row r="7842" spans="1:2" x14ac:dyDescent="0.25">
      <c r="A7842">
        <v>7813</v>
      </c>
      <c r="B7842">
        <v>0.26170510880735171</v>
      </c>
    </row>
    <row r="7843" spans="1:2" x14ac:dyDescent="0.25">
      <c r="A7843">
        <v>7814</v>
      </c>
      <c r="B7843">
        <v>0.26831335319250332</v>
      </c>
    </row>
    <row r="7844" spans="1:2" x14ac:dyDescent="0.25">
      <c r="A7844">
        <v>7815</v>
      </c>
      <c r="B7844">
        <v>0.2056415720556419</v>
      </c>
    </row>
    <row r="7845" spans="1:2" x14ac:dyDescent="0.25">
      <c r="A7845">
        <v>7816</v>
      </c>
      <c r="B7845">
        <v>0.20656447745630882</v>
      </c>
    </row>
    <row r="7846" spans="1:2" x14ac:dyDescent="0.25">
      <c r="A7846">
        <v>7817</v>
      </c>
      <c r="B7846">
        <v>6.7989026811155387E-2</v>
      </c>
    </row>
    <row r="7847" spans="1:2" x14ac:dyDescent="0.25">
      <c r="A7847">
        <v>7818</v>
      </c>
      <c r="B7847">
        <v>0.24425798939308838</v>
      </c>
    </row>
    <row r="7848" spans="1:2" x14ac:dyDescent="0.25">
      <c r="A7848">
        <v>7819</v>
      </c>
      <c r="B7848">
        <v>7.8988435210370606E-2</v>
      </c>
    </row>
    <row r="7849" spans="1:2" x14ac:dyDescent="0.25">
      <c r="A7849">
        <v>7820</v>
      </c>
      <c r="B7849">
        <v>0.20316264735999059</v>
      </c>
    </row>
    <row r="7850" spans="1:2" x14ac:dyDescent="0.25">
      <c r="A7850">
        <v>7821</v>
      </c>
      <c r="B7850">
        <v>0.11117348959775272</v>
      </c>
    </row>
    <row r="7851" spans="1:2" x14ac:dyDescent="0.25">
      <c r="A7851">
        <v>7822</v>
      </c>
      <c r="B7851">
        <v>0.15803205569523382</v>
      </c>
    </row>
    <row r="7852" spans="1:2" x14ac:dyDescent="0.25">
      <c r="A7852">
        <v>7823</v>
      </c>
      <c r="B7852">
        <v>0.24671895893119372</v>
      </c>
    </row>
    <row r="7853" spans="1:2" x14ac:dyDescent="0.25">
      <c r="A7853">
        <v>7824</v>
      </c>
      <c r="B7853">
        <v>0.3021857222527452</v>
      </c>
    </row>
    <row r="7854" spans="1:2" x14ac:dyDescent="0.25">
      <c r="A7854">
        <v>7825</v>
      </c>
      <c r="B7854">
        <v>0.17566627877275612</v>
      </c>
    </row>
    <row r="7855" spans="1:2" x14ac:dyDescent="0.25">
      <c r="A7855">
        <v>7826</v>
      </c>
      <c r="B7855">
        <v>0.2113492308676935</v>
      </c>
    </row>
    <row r="7856" spans="1:2" x14ac:dyDescent="0.25">
      <c r="A7856">
        <v>7827</v>
      </c>
      <c r="B7856">
        <v>9.5112997557026999E-2</v>
      </c>
    </row>
    <row r="7857" spans="1:2" x14ac:dyDescent="0.25">
      <c r="A7857">
        <v>7828</v>
      </c>
      <c r="B7857">
        <v>0.13687594430934255</v>
      </c>
    </row>
    <row r="7858" spans="1:2" x14ac:dyDescent="0.25">
      <c r="A7858">
        <v>7829</v>
      </c>
      <c r="B7858">
        <v>0.49931888930682239</v>
      </c>
    </row>
    <row r="7859" spans="1:2" x14ac:dyDescent="0.25">
      <c r="A7859">
        <v>7830</v>
      </c>
      <c r="B7859">
        <v>0.21233608558536443</v>
      </c>
    </row>
    <row r="7860" spans="1:2" x14ac:dyDescent="0.25">
      <c r="A7860">
        <v>7831</v>
      </c>
      <c r="B7860">
        <v>0.30719888544010787</v>
      </c>
    </row>
    <row r="7861" spans="1:2" x14ac:dyDescent="0.25">
      <c r="A7861">
        <v>7832</v>
      </c>
      <c r="B7861">
        <v>0.18749096274332086</v>
      </c>
    </row>
    <row r="7862" spans="1:2" x14ac:dyDescent="0.25">
      <c r="A7862">
        <v>7833</v>
      </c>
      <c r="B7862">
        <v>0.22668003906754527</v>
      </c>
    </row>
    <row r="7863" spans="1:2" x14ac:dyDescent="0.25">
      <c r="A7863">
        <v>7834</v>
      </c>
      <c r="B7863">
        <v>0.15342881183669557</v>
      </c>
    </row>
    <row r="7864" spans="1:2" x14ac:dyDescent="0.25">
      <c r="A7864">
        <v>7835</v>
      </c>
      <c r="B7864">
        <v>0.18513713022668357</v>
      </c>
    </row>
    <row r="7865" spans="1:2" x14ac:dyDescent="0.25">
      <c r="A7865">
        <v>7836</v>
      </c>
      <c r="B7865">
        <v>0.22945851856763816</v>
      </c>
    </row>
    <row r="7866" spans="1:2" x14ac:dyDescent="0.25">
      <c r="A7866">
        <v>7837</v>
      </c>
      <c r="B7866">
        <v>0.48580729177634857</v>
      </c>
    </row>
    <row r="7867" spans="1:2" x14ac:dyDescent="0.25">
      <c r="A7867">
        <v>7838</v>
      </c>
      <c r="B7867">
        <v>0.22410351073888882</v>
      </c>
    </row>
    <row r="7868" spans="1:2" x14ac:dyDescent="0.25">
      <c r="A7868">
        <v>7839</v>
      </c>
      <c r="B7868">
        <v>0.17843973660984949</v>
      </c>
    </row>
    <row r="7869" spans="1:2" x14ac:dyDescent="0.25">
      <c r="A7869">
        <v>7840</v>
      </c>
      <c r="B7869">
        <v>0.14376560618337506</v>
      </c>
    </row>
    <row r="7870" spans="1:2" x14ac:dyDescent="0.25">
      <c r="A7870">
        <v>7841</v>
      </c>
      <c r="B7870">
        <v>0.2323091489169346</v>
      </c>
    </row>
    <row r="7871" spans="1:2" x14ac:dyDescent="0.25">
      <c r="A7871">
        <v>7842</v>
      </c>
      <c r="B7871">
        <v>4.7998680066304339E-2</v>
      </c>
    </row>
    <row r="7872" spans="1:2" x14ac:dyDescent="0.25">
      <c r="A7872">
        <v>7843</v>
      </c>
      <c r="B7872">
        <v>0.20932042915769095</v>
      </c>
    </row>
    <row r="7873" spans="1:2" x14ac:dyDescent="0.25">
      <c r="A7873">
        <v>7844</v>
      </c>
      <c r="B7873">
        <v>0.21565097125675284</v>
      </c>
    </row>
    <row r="7874" spans="1:2" x14ac:dyDescent="0.25">
      <c r="A7874">
        <v>7845</v>
      </c>
      <c r="B7874">
        <v>0.33946825951980875</v>
      </c>
    </row>
    <row r="7875" spans="1:2" x14ac:dyDescent="0.25">
      <c r="A7875">
        <v>7846</v>
      </c>
      <c r="B7875">
        <v>0.10781732403244217</v>
      </c>
    </row>
    <row r="7876" spans="1:2" x14ac:dyDescent="0.25">
      <c r="A7876">
        <v>7847</v>
      </c>
      <c r="B7876">
        <v>0.46653016547085469</v>
      </c>
    </row>
    <row r="7877" spans="1:2" x14ac:dyDescent="0.25">
      <c r="A7877">
        <v>7848</v>
      </c>
      <c r="B7877">
        <v>0.29686578405054703</v>
      </c>
    </row>
    <row r="7878" spans="1:2" x14ac:dyDescent="0.25">
      <c r="A7878">
        <v>7849</v>
      </c>
      <c r="B7878">
        <v>0.2208819102231892</v>
      </c>
    </row>
    <row r="7879" spans="1:2" x14ac:dyDescent="0.25">
      <c r="A7879">
        <v>7850</v>
      </c>
      <c r="B7879">
        <v>0.1247288675138009</v>
      </c>
    </row>
    <row r="7880" spans="1:2" x14ac:dyDescent="0.25">
      <c r="A7880">
        <v>7851</v>
      </c>
      <c r="B7880">
        <v>8.6692275843867919E-2</v>
      </c>
    </row>
    <row r="7881" spans="1:2" x14ac:dyDescent="0.25">
      <c r="A7881">
        <v>7852</v>
      </c>
      <c r="B7881">
        <v>0.33795068302545367</v>
      </c>
    </row>
    <row r="7882" spans="1:2" x14ac:dyDescent="0.25">
      <c r="A7882">
        <v>7853</v>
      </c>
      <c r="B7882">
        <v>0.13112354310631774</v>
      </c>
    </row>
    <row r="7883" spans="1:2" x14ac:dyDescent="0.25">
      <c r="A7883">
        <v>7854</v>
      </c>
      <c r="B7883">
        <v>0.25378483876833707</v>
      </c>
    </row>
    <row r="7884" spans="1:2" x14ac:dyDescent="0.25">
      <c r="A7884">
        <v>7855</v>
      </c>
      <c r="B7884">
        <v>0.23510498980852559</v>
      </c>
    </row>
    <row r="7885" spans="1:2" x14ac:dyDescent="0.25">
      <c r="A7885">
        <v>7856</v>
      </c>
      <c r="B7885">
        <v>8.9980772068790654E-2</v>
      </c>
    </row>
    <row r="7886" spans="1:2" x14ac:dyDescent="0.25">
      <c r="A7886">
        <v>7857</v>
      </c>
      <c r="B7886">
        <v>0.11231019944311328</v>
      </c>
    </row>
    <row r="7887" spans="1:2" x14ac:dyDescent="0.25">
      <c r="A7887">
        <v>7858</v>
      </c>
      <c r="B7887">
        <v>0.13379888149472227</v>
      </c>
    </row>
    <row r="7888" spans="1:2" x14ac:dyDescent="0.25">
      <c r="A7888">
        <v>7859</v>
      </c>
      <c r="B7888">
        <v>0.27181181102798169</v>
      </c>
    </row>
    <row r="7889" spans="1:2" x14ac:dyDescent="0.25">
      <c r="A7889">
        <v>7860</v>
      </c>
      <c r="B7889">
        <v>0.33817578340269522</v>
      </c>
    </row>
    <row r="7890" spans="1:2" x14ac:dyDescent="0.25">
      <c r="A7890">
        <v>7861</v>
      </c>
      <c r="B7890">
        <v>0.17553908503047178</v>
      </c>
    </row>
    <row r="7891" spans="1:2" x14ac:dyDescent="0.25">
      <c r="A7891">
        <v>7862</v>
      </c>
      <c r="B7891">
        <v>0.52491413829974731</v>
      </c>
    </row>
    <row r="7892" spans="1:2" x14ac:dyDescent="0.25">
      <c r="A7892">
        <v>7863</v>
      </c>
      <c r="B7892">
        <v>0.10576491007335574</v>
      </c>
    </row>
    <row r="7893" spans="1:2" x14ac:dyDescent="0.25">
      <c r="A7893">
        <v>7864</v>
      </c>
      <c r="B7893">
        <v>9.852611990687643E-2</v>
      </c>
    </row>
    <row r="7894" spans="1:2" x14ac:dyDescent="0.25">
      <c r="A7894">
        <v>7865</v>
      </c>
      <c r="B7894">
        <v>0.24055466616954935</v>
      </c>
    </row>
    <row r="7895" spans="1:2" x14ac:dyDescent="0.25">
      <c r="A7895">
        <v>7866</v>
      </c>
      <c r="B7895">
        <v>0.33485885555837902</v>
      </c>
    </row>
    <row r="7896" spans="1:2" x14ac:dyDescent="0.25">
      <c r="A7896">
        <v>7867</v>
      </c>
      <c r="B7896">
        <v>0.14248126689204565</v>
      </c>
    </row>
    <row r="7897" spans="1:2" x14ac:dyDescent="0.25">
      <c r="A7897">
        <v>7868</v>
      </c>
      <c r="B7897">
        <v>0.10212143289832258</v>
      </c>
    </row>
    <row r="7898" spans="1:2" x14ac:dyDescent="0.25">
      <c r="A7898">
        <v>7869</v>
      </c>
      <c r="B7898">
        <v>0.31399549288733125</v>
      </c>
    </row>
    <row r="7899" spans="1:2" x14ac:dyDescent="0.25">
      <c r="A7899">
        <v>7870</v>
      </c>
      <c r="B7899">
        <v>8.7989405212608299E-2</v>
      </c>
    </row>
    <row r="7900" spans="1:2" x14ac:dyDescent="0.25">
      <c r="A7900">
        <v>7871</v>
      </c>
      <c r="B7900">
        <v>7.0212182963261163E-2</v>
      </c>
    </row>
    <row r="7901" spans="1:2" x14ac:dyDescent="0.25">
      <c r="A7901">
        <v>7872</v>
      </c>
      <c r="B7901">
        <v>0.13231098681615308</v>
      </c>
    </row>
    <row r="7902" spans="1:2" x14ac:dyDescent="0.25">
      <c r="A7902">
        <v>7873</v>
      </c>
      <c r="B7902">
        <v>4.2140059236029453E-2</v>
      </c>
    </row>
    <row r="7903" spans="1:2" x14ac:dyDescent="0.25">
      <c r="A7903">
        <v>7874</v>
      </c>
      <c r="B7903">
        <v>0.10252334109883537</v>
      </c>
    </row>
    <row r="7904" spans="1:2" x14ac:dyDescent="0.25">
      <c r="A7904">
        <v>7875</v>
      </c>
      <c r="B7904">
        <v>0.30843520192886414</v>
      </c>
    </row>
    <row r="7905" spans="1:2" x14ac:dyDescent="0.25">
      <c r="A7905">
        <v>7876</v>
      </c>
      <c r="B7905">
        <v>0.3350156354724374</v>
      </c>
    </row>
    <row r="7906" spans="1:2" x14ac:dyDescent="0.25">
      <c r="A7906">
        <v>7877</v>
      </c>
      <c r="B7906">
        <v>0.15503148339837128</v>
      </c>
    </row>
    <row r="7907" spans="1:2" x14ac:dyDescent="0.25">
      <c r="A7907">
        <v>7878</v>
      </c>
      <c r="B7907">
        <v>0.43140540156508655</v>
      </c>
    </row>
    <row r="7908" spans="1:2" x14ac:dyDescent="0.25">
      <c r="A7908">
        <v>7879</v>
      </c>
      <c r="B7908">
        <v>0.14492375679998712</v>
      </c>
    </row>
    <row r="7909" spans="1:2" x14ac:dyDescent="0.25">
      <c r="A7909">
        <v>7880</v>
      </c>
      <c r="B7909">
        <v>0.39030315105898256</v>
      </c>
    </row>
    <row r="7910" spans="1:2" x14ac:dyDescent="0.25">
      <c r="A7910">
        <v>7881</v>
      </c>
      <c r="B7910">
        <v>5.9833198404860399E-2</v>
      </c>
    </row>
    <row r="7911" spans="1:2" x14ac:dyDescent="0.25">
      <c r="A7911">
        <v>7882</v>
      </c>
      <c r="B7911">
        <v>4.9523010072295696E-2</v>
      </c>
    </row>
    <row r="7912" spans="1:2" x14ac:dyDescent="0.25">
      <c r="A7912">
        <v>7883</v>
      </c>
      <c r="B7912">
        <v>0.18207028998105224</v>
      </c>
    </row>
    <row r="7913" spans="1:2" x14ac:dyDescent="0.25">
      <c r="A7913">
        <v>7884</v>
      </c>
      <c r="B7913">
        <v>0.37367511928567904</v>
      </c>
    </row>
    <row r="7914" spans="1:2" x14ac:dyDescent="0.25">
      <c r="A7914">
        <v>7885</v>
      </c>
      <c r="B7914">
        <v>5.5703310505101786E-2</v>
      </c>
    </row>
    <row r="7915" spans="1:2" x14ac:dyDescent="0.25">
      <c r="A7915">
        <v>7886</v>
      </c>
      <c r="B7915">
        <v>0.51721724374305578</v>
      </c>
    </row>
    <row r="7916" spans="1:2" x14ac:dyDescent="0.25">
      <c r="A7916">
        <v>7887</v>
      </c>
      <c r="B7916">
        <v>0.21823445055035073</v>
      </c>
    </row>
    <row r="7917" spans="1:2" x14ac:dyDescent="0.25">
      <c r="A7917">
        <v>7888</v>
      </c>
      <c r="B7917">
        <v>8.3482842274031188E-2</v>
      </c>
    </row>
    <row r="7918" spans="1:2" x14ac:dyDescent="0.25">
      <c r="A7918">
        <v>7889</v>
      </c>
      <c r="B7918">
        <v>0.19520337241931709</v>
      </c>
    </row>
    <row r="7919" spans="1:2" x14ac:dyDescent="0.25">
      <c r="A7919">
        <v>7890</v>
      </c>
      <c r="B7919">
        <v>0.17284643836719576</v>
      </c>
    </row>
    <row r="7920" spans="1:2" x14ac:dyDescent="0.25">
      <c r="A7920">
        <v>7891</v>
      </c>
      <c r="B7920">
        <v>8.0798904270733801E-2</v>
      </c>
    </row>
    <row r="7921" spans="1:2" x14ac:dyDescent="0.25">
      <c r="A7921">
        <v>7892</v>
      </c>
      <c r="B7921">
        <v>0.13377692943491559</v>
      </c>
    </row>
    <row r="7922" spans="1:2" x14ac:dyDescent="0.25">
      <c r="A7922">
        <v>7893</v>
      </c>
      <c r="B7922">
        <v>0.17393002000012941</v>
      </c>
    </row>
    <row r="7923" spans="1:2" x14ac:dyDescent="0.25">
      <c r="A7923">
        <v>7894</v>
      </c>
      <c r="B7923">
        <v>9.0183563642727865E-2</v>
      </c>
    </row>
    <row r="7924" spans="1:2" x14ac:dyDescent="0.25">
      <c r="A7924">
        <v>7895</v>
      </c>
      <c r="B7924">
        <v>9.9811620081941096E-2</v>
      </c>
    </row>
    <row r="7925" spans="1:2" x14ac:dyDescent="0.25">
      <c r="A7925">
        <v>7896</v>
      </c>
      <c r="B7925">
        <v>0.14933997089637971</v>
      </c>
    </row>
    <row r="7926" spans="1:2" x14ac:dyDescent="0.25">
      <c r="A7926">
        <v>7897</v>
      </c>
      <c r="B7926">
        <v>0.21176509647405128</v>
      </c>
    </row>
    <row r="7927" spans="1:2" x14ac:dyDescent="0.25">
      <c r="A7927">
        <v>7898</v>
      </c>
      <c r="B7927">
        <v>0.37954033388884156</v>
      </c>
    </row>
    <row r="7928" spans="1:2" x14ac:dyDescent="0.25">
      <c r="A7928">
        <v>7899</v>
      </c>
      <c r="B7928">
        <v>0.10192918171478042</v>
      </c>
    </row>
    <row r="7929" spans="1:2" x14ac:dyDescent="0.25">
      <c r="A7929">
        <v>7900</v>
      </c>
      <c r="B7929">
        <v>0.46156135893456524</v>
      </c>
    </row>
    <row r="7930" spans="1:2" x14ac:dyDescent="0.25">
      <c r="A7930">
        <v>7901</v>
      </c>
      <c r="B7930">
        <v>0.11486628209124886</v>
      </c>
    </row>
    <row r="7931" spans="1:2" x14ac:dyDescent="0.25">
      <c r="A7931">
        <v>7902</v>
      </c>
      <c r="B7931">
        <v>8.9897598847211616E-2</v>
      </c>
    </row>
    <row r="7932" spans="1:2" x14ac:dyDescent="0.25">
      <c r="A7932">
        <v>7903</v>
      </c>
      <c r="B7932">
        <v>0.12868466266736042</v>
      </c>
    </row>
    <row r="7933" spans="1:2" x14ac:dyDescent="0.25">
      <c r="A7933">
        <v>7904</v>
      </c>
      <c r="B7933">
        <v>0.22113349452451397</v>
      </c>
    </row>
    <row r="7934" spans="1:2" x14ac:dyDescent="0.25">
      <c r="A7934">
        <v>7905</v>
      </c>
      <c r="B7934">
        <v>0.11608372835021576</v>
      </c>
    </row>
    <row r="7935" spans="1:2" x14ac:dyDescent="0.25">
      <c r="A7935">
        <v>7906</v>
      </c>
      <c r="B7935">
        <v>0.26734326382129042</v>
      </c>
    </row>
    <row r="7936" spans="1:2" x14ac:dyDescent="0.25">
      <c r="A7936">
        <v>7907</v>
      </c>
      <c r="B7936">
        <v>0.11073531075711526</v>
      </c>
    </row>
    <row r="7937" spans="1:2" x14ac:dyDescent="0.25">
      <c r="A7937">
        <v>7908</v>
      </c>
      <c r="B7937">
        <v>4.4281230804293484E-2</v>
      </c>
    </row>
    <row r="7938" spans="1:2" x14ac:dyDescent="0.25">
      <c r="A7938">
        <v>7909</v>
      </c>
      <c r="B7938">
        <v>0.20065100220336685</v>
      </c>
    </row>
    <row r="7939" spans="1:2" x14ac:dyDescent="0.25">
      <c r="A7939">
        <v>7910</v>
      </c>
      <c r="B7939">
        <v>0.12139961585512785</v>
      </c>
    </row>
    <row r="7940" spans="1:2" x14ac:dyDescent="0.25">
      <c r="A7940">
        <v>7911</v>
      </c>
      <c r="B7940">
        <v>0.14597200676020824</v>
      </c>
    </row>
    <row r="7941" spans="1:2" x14ac:dyDescent="0.25">
      <c r="A7941">
        <v>7912</v>
      </c>
      <c r="B7941">
        <v>2.9480392832731968E-2</v>
      </c>
    </row>
    <row r="7942" spans="1:2" x14ac:dyDescent="0.25">
      <c r="A7942">
        <v>7913</v>
      </c>
      <c r="B7942">
        <v>6.7209190321832799E-2</v>
      </c>
    </row>
    <row r="7943" spans="1:2" x14ac:dyDescent="0.25">
      <c r="A7943">
        <v>7914</v>
      </c>
      <c r="B7943">
        <v>0.10590082197029274</v>
      </c>
    </row>
    <row r="7944" spans="1:2" x14ac:dyDescent="0.25">
      <c r="A7944">
        <v>7915</v>
      </c>
      <c r="B7944">
        <v>0.16067649108305904</v>
      </c>
    </row>
    <row r="7945" spans="1:2" x14ac:dyDescent="0.25">
      <c r="A7945">
        <v>7916</v>
      </c>
      <c r="B7945">
        <v>0.15794760588668494</v>
      </c>
    </row>
    <row r="7946" spans="1:2" x14ac:dyDescent="0.25">
      <c r="A7946">
        <v>7917</v>
      </c>
      <c r="B7946">
        <v>7.3041508191716786E-2</v>
      </c>
    </row>
    <row r="7947" spans="1:2" x14ac:dyDescent="0.25">
      <c r="A7947">
        <v>7918</v>
      </c>
      <c r="B7947">
        <v>0.128888219958841</v>
      </c>
    </row>
    <row r="7948" spans="1:2" x14ac:dyDescent="0.25">
      <c r="A7948">
        <v>7919</v>
      </c>
      <c r="B7948">
        <v>0.48771842357368717</v>
      </c>
    </row>
    <row r="7949" spans="1:2" x14ac:dyDescent="0.25">
      <c r="A7949">
        <v>7920</v>
      </c>
      <c r="B7949">
        <v>0.14239881528439738</v>
      </c>
    </row>
    <row r="7950" spans="1:2" x14ac:dyDescent="0.25">
      <c r="A7950">
        <v>7921</v>
      </c>
      <c r="B7950">
        <v>0.10716240878732018</v>
      </c>
    </row>
    <row r="7951" spans="1:2" x14ac:dyDescent="0.25">
      <c r="A7951">
        <v>7922</v>
      </c>
      <c r="B7951">
        <v>0.47943530924919342</v>
      </c>
    </row>
    <row r="7952" spans="1:2" x14ac:dyDescent="0.25">
      <c r="A7952">
        <v>7923</v>
      </c>
      <c r="B7952">
        <v>0.11828797382604261</v>
      </c>
    </row>
    <row r="7953" spans="1:2" x14ac:dyDescent="0.25">
      <c r="A7953">
        <v>7924</v>
      </c>
      <c r="B7953">
        <v>0.20878068879188857</v>
      </c>
    </row>
    <row r="7954" spans="1:2" x14ac:dyDescent="0.25">
      <c r="A7954">
        <v>7925</v>
      </c>
      <c r="B7954">
        <v>0.17091665843929743</v>
      </c>
    </row>
    <row r="7955" spans="1:2" x14ac:dyDescent="0.25">
      <c r="A7955">
        <v>7926</v>
      </c>
      <c r="B7955">
        <v>0.14447376634703218</v>
      </c>
    </row>
    <row r="7956" spans="1:2" x14ac:dyDescent="0.25">
      <c r="A7956">
        <v>7927</v>
      </c>
      <c r="B7956">
        <v>0.67241520731605131</v>
      </c>
    </row>
    <row r="7957" spans="1:2" x14ac:dyDescent="0.25">
      <c r="A7957">
        <v>7928</v>
      </c>
      <c r="B7957">
        <v>0.13274613207817809</v>
      </c>
    </row>
    <row r="7958" spans="1:2" x14ac:dyDescent="0.25">
      <c r="A7958">
        <v>7929</v>
      </c>
      <c r="B7958">
        <v>0.12198724473318212</v>
      </c>
    </row>
    <row r="7959" spans="1:2" x14ac:dyDescent="0.25">
      <c r="A7959">
        <v>7930</v>
      </c>
      <c r="B7959">
        <v>0.22323977892166066</v>
      </c>
    </row>
    <row r="7960" spans="1:2" x14ac:dyDescent="0.25">
      <c r="A7960">
        <v>7931</v>
      </c>
      <c r="B7960">
        <v>0.11001333526674048</v>
      </c>
    </row>
    <row r="7961" spans="1:2" x14ac:dyDescent="0.25">
      <c r="A7961">
        <v>7932</v>
      </c>
      <c r="B7961">
        <v>0.23657772476447925</v>
      </c>
    </row>
    <row r="7962" spans="1:2" x14ac:dyDescent="0.25">
      <c r="A7962">
        <v>7933</v>
      </c>
      <c r="B7962">
        <v>0.17423652327628222</v>
      </c>
    </row>
    <row r="7963" spans="1:2" x14ac:dyDescent="0.25">
      <c r="A7963">
        <v>7934</v>
      </c>
      <c r="B7963">
        <v>0.12379183542397548</v>
      </c>
    </row>
    <row r="7964" spans="1:2" x14ac:dyDescent="0.25">
      <c r="A7964">
        <v>7935</v>
      </c>
      <c r="B7964">
        <v>0.13424126793901994</v>
      </c>
    </row>
    <row r="7965" spans="1:2" x14ac:dyDescent="0.25">
      <c r="A7965">
        <v>7936</v>
      </c>
      <c r="B7965">
        <v>4.8260755414526832E-2</v>
      </c>
    </row>
    <row r="7966" spans="1:2" x14ac:dyDescent="0.25">
      <c r="A7966">
        <v>7937</v>
      </c>
      <c r="B7966">
        <v>0.31364858014078156</v>
      </c>
    </row>
    <row r="7967" spans="1:2" x14ac:dyDescent="0.25">
      <c r="A7967">
        <v>7938</v>
      </c>
      <c r="B7967">
        <v>0.54771573399915197</v>
      </c>
    </row>
    <row r="7968" spans="1:2" x14ac:dyDescent="0.25">
      <c r="A7968">
        <v>7939</v>
      </c>
      <c r="B7968">
        <v>9.2796955743894724E-2</v>
      </c>
    </row>
    <row r="7969" spans="1:2" x14ac:dyDescent="0.25">
      <c r="A7969">
        <v>7940</v>
      </c>
      <c r="B7969">
        <v>0.20961893316452052</v>
      </c>
    </row>
    <row r="7970" spans="1:2" x14ac:dyDescent="0.25">
      <c r="A7970">
        <v>7941</v>
      </c>
      <c r="B7970">
        <v>4.0945533944300408E-2</v>
      </c>
    </row>
    <row r="7971" spans="1:2" x14ac:dyDescent="0.25">
      <c r="A7971">
        <v>7942</v>
      </c>
      <c r="B7971">
        <v>0.45340000724909285</v>
      </c>
    </row>
    <row r="7972" spans="1:2" x14ac:dyDescent="0.25">
      <c r="A7972">
        <v>7943</v>
      </c>
      <c r="B7972">
        <v>0.11598653173435486</v>
      </c>
    </row>
    <row r="7973" spans="1:2" x14ac:dyDescent="0.25">
      <c r="A7973">
        <v>7944</v>
      </c>
      <c r="B7973">
        <v>0.15691660236126523</v>
      </c>
    </row>
    <row r="7974" spans="1:2" x14ac:dyDescent="0.25">
      <c r="A7974">
        <v>7945</v>
      </c>
      <c r="B7974">
        <v>0.16092414309069605</v>
      </c>
    </row>
    <row r="7975" spans="1:2" x14ac:dyDescent="0.25">
      <c r="A7975">
        <v>7946</v>
      </c>
      <c r="B7975">
        <v>0.24231372912917554</v>
      </c>
    </row>
    <row r="7976" spans="1:2" x14ac:dyDescent="0.25">
      <c r="A7976">
        <v>7947</v>
      </c>
      <c r="B7976">
        <v>0.50776839203800839</v>
      </c>
    </row>
    <row r="7977" spans="1:2" x14ac:dyDescent="0.25">
      <c r="A7977">
        <v>7948</v>
      </c>
      <c r="B7977">
        <v>0.35198848033432156</v>
      </c>
    </row>
    <row r="7978" spans="1:2" x14ac:dyDescent="0.25">
      <c r="A7978">
        <v>7949</v>
      </c>
      <c r="B7978">
        <v>8.4369303668191023E-2</v>
      </c>
    </row>
    <row r="7979" spans="1:2" x14ac:dyDescent="0.25">
      <c r="A7979">
        <v>7950</v>
      </c>
      <c r="B7979">
        <v>0.10565061278113323</v>
      </c>
    </row>
    <row r="7980" spans="1:2" x14ac:dyDescent="0.25">
      <c r="A7980">
        <v>7951</v>
      </c>
      <c r="B7980">
        <v>6.9021276618239591E-2</v>
      </c>
    </row>
    <row r="7981" spans="1:2" x14ac:dyDescent="0.25">
      <c r="A7981">
        <v>7952</v>
      </c>
      <c r="B7981">
        <v>0.26344160900735164</v>
      </c>
    </row>
    <row r="7982" spans="1:2" x14ac:dyDescent="0.25">
      <c r="A7982">
        <v>7953</v>
      </c>
      <c r="B7982">
        <v>0.31203297738205593</v>
      </c>
    </row>
    <row r="7983" spans="1:2" x14ac:dyDescent="0.25">
      <c r="A7983">
        <v>7954</v>
      </c>
      <c r="B7983">
        <v>0.26024301586165477</v>
      </c>
    </row>
    <row r="7984" spans="1:2" x14ac:dyDescent="0.25">
      <c r="A7984">
        <v>7955</v>
      </c>
      <c r="B7984">
        <v>0.1190704103328417</v>
      </c>
    </row>
    <row r="7985" spans="1:2" x14ac:dyDescent="0.25">
      <c r="A7985">
        <v>7956</v>
      </c>
      <c r="B7985">
        <v>8.535245500392008E-2</v>
      </c>
    </row>
    <row r="7986" spans="1:2" x14ac:dyDescent="0.25">
      <c r="A7986">
        <v>7957</v>
      </c>
      <c r="B7986">
        <v>9.959974683925972E-2</v>
      </c>
    </row>
    <row r="7987" spans="1:2" x14ac:dyDescent="0.25">
      <c r="A7987">
        <v>7958</v>
      </c>
      <c r="B7987">
        <v>0.32119171060841772</v>
      </c>
    </row>
    <row r="7988" spans="1:2" x14ac:dyDescent="0.25">
      <c r="A7988">
        <v>7959</v>
      </c>
      <c r="B7988">
        <v>0.44610601585388704</v>
      </c>
    </row>
    <row r="7989" spans="1:2" x14ac:dyDescent="0.25">
      <c r="A7989">
        <v>7960</v>
      </c>
      <c r="B7989">
        <v>0.39810142837702994</v>
      </c>
    </row>
    <row r="7990" spans="1:2" x14ac:dyDescent="0.25">
      <c r="A7990">
        <v>7961</v>
      </c>
      <c r="B7990">
        <v>0.19964632477405192</v>
      </c>
    </row>
    <row r="7991" spans="1:2" x14ac:dyDescent="0.25">
      <c r="A7991">
        <v>7962</v>
      </c>
      <c r="B7991">
        <v>0.20043043541389874</v>
      </c>
    </row>
    <row r="7992" spans="1:2" x14ac:dyDescent="0.25">
      <c r="A7992">
        <v>7963</v>
      </c>
      <c r="B7992">
        <v>0.15382355308170595</v>
      </c>
    </row>
    <row r="7993" spans="1:2" x14ac:dyDescent="0.25">
      <c r="A7993">
        <v>7964</v>
      </c>
      <c r="B7993">
        <v>0.22398994408137513</v>
      </c>
    </row>
    <row r="7994" spans="1:2" x14ac:dyDescent="0.25">
      <c r="A7994">
        <v>7965</v>
      </c>
      <c r="B7994">
        <v>0.2581116649495715</v>
      </c>
    </row>
    <row r="7995" spans="1:2" x14ac:dyDescent="0.25">
      <c r="A7995">
        <v>7966</v>
      </c>
      <c r="B7995">
        <v>0.78426793918545989</v>
      </c>
    </row>
    <row r="7996" spans="1:2" x14ac:dyDescent="0.25">
      <c r="A7996">
        <v>7967</v>
      </c>
      <c r="B7996">
        <v>9.9019073837189761E-2</v>
      </c>
    </row>
    <row r="7997" spans="1:2" x14ac:dyDescent="0.25">
      <c r="A7997">
        <v>7968</v>
      </c>
      <c r="B7997">
        <v>5.7088220605464028E-2</v>
      </c>
    </row>
    <row r="7998" spans="1:2" x14ac:dyDescent="0.25">
      <c r="A7998">
        <v>7969</v>
      </c>
      <c r="B7998">
        <v>0.29697213194271455</v>
      </c>
    </row>
    <row r="7999" spans="1:2" x14ac:dyDescent="0.25">
      <c r="A7999">
        <v>7970</v>
      </c>
      <c r="B7999">
        <v>0.16012618715953167</v>
      </c>
    </row>
    <row r="8000" spans="1:2" x14ac:dyDescent="0.25">
      <c r="A8000">
        <v>7971</v>
      </c>
      <c r="B8000">
        <v>0.2314252480559098</v>
      </c>
    </row>
    <row r="8001" spans="1:2" x14ac:dyDescent="0.25">
      <c r="A8001">
        <v>7972</v>
      </c>
      <c r="B8001">
        <v>0.18049595027343901</v>
      </c>
    </row>
    <row r="8002" spans="1:2" x14ac:dyDescent="0.25">
      <c r="A8002">
        <v>7973</v>
      </c>
      <c r="B8002">
        <v>0.13792760040032248</v>
      </c>
    </row>
    <row r="8003" spans="1:2" x14ac:dyDescent="0.25">
      <c r="A8003">
        <v>7974</v>
      </c>
      <c r="B8003">
        <v>0.10412010701695476</v>
      </c>
    </row>
    <row r="8004" spans="1:2" x14ac:dyDescent="0.25">
      <c r="A8004">
        <v>7975</v>
      </c>
      <c r="B8004">
        <v>0.32652938745341054</v>
      </c>
    </row>
    <row r="8005" spans="1:2" x14ac:dyDescent="0.25">
      <c r="A8005">
        <v>7976</v>
      </c>
      <c r="B8005">
        <v>7.2205803090363466E-2</v>
      </c>
    </row>
    <row r="8006" spans="1:2" x14ac:dyDescent="0.25">
      <c r="A8006">
        <v>7977</v>
      </c>
      <c r="B8006">
        <v>0.28015323102749662</v>
      </c>
    </row>
    <row r="8007" spans="1:2" x14ac:dyDescent="0.25">
      <c r="A8007">
        <v>7978</v>
      </c>
      <c r="B8007">
        <v>9.0963002817934041E-2</v>
      </c>
    </row>
    <row r="8008" spans="1:2" x14ac:dyDescent="0.25">
      <c r="A8008">
        <v>7979</v>
      </c>
      <c r="B8008">
        <v>0.20298125451224944</v>
      </c>
    </row>
    <row r="8009" spans="1:2" x14ac:dyDescent="0.25">
      <c r="A8009">
        <v>7980</v>
      </c>
      <c r="B8009">
        <v>0.29195371027426065</v>
      </c>
    </row>
    <row r="8010" spans="1:2" x14ac:dyDescent="0.25">
      <c r="A8010">
        <v>7981</v>
      </c>
      <c r="B8010">
        <v>7.5205420819159916E-2</v>
      </c>
    </row>
    <row r="8011" spans="1:2" x14ac:dyDescent="0.25">
      <c r="A8011">
        <v>7982</v>
      </c>
      <c r="B8011">
        <v>0.16808014407519498</v>
      </c>
    </row>
    <row r="8012" spans="1:2" x14ac:dyDescent="0.25">
      <c r="A8012">
        <v>7983</v>
      </c>
      <c r="B8012">
        <v>0.14659120688029345</v>
      </c>
    </row>
    <row r="8013" spans="1:2" x14ac:dyDescent="0.25">
      <c r="A8013">
        <v>7984</v>
      </c>
      <c r="B8013">
        <v>0.45458903026132164</v>
      </c>
    </row>
    <row r="8014" spans="1:2" x14ac:dyDescent="0.25">
      <c r="A8014">
        <v>7985</v>
      </c>
      <c r="B8014">
        <v>0.30842757832758411</v>
      </c>
    </row>
    <row r="8015" spans="1:2" x14ac:dyDescent="0.25">
      <c r="A8015">
        <v>7986</v>
      </c>
      <c r="B8015">
        <v>0.25284042246660332</v>
      </c>
    </row>
    <row r="8016" spans="1:2" x14ac:dyDescent="0.25">
      <c r="A8016">
        <v>7987</v>
      </c>
      <c r="B8016">
        <v>4.6208018316239254E-2</v>
      </c>
    </row>
    <row r="8017" spans="1:2" x14ac:dyDescent="0.25">
      <c r="A8017">
        <v>7988</v>
      </c>
      <c r="B8017">
        <v>0.11531547065923595</v>
      </c>
    </row>
    <row r="8018" spans="1:2" x14ac:dyDescent="0.25">
      <c r="A8018">
        <v>7989</v>
      </c>
      <c r="B8018">
        <v>0.17555794827254395</v>
      </c>
    </row>
    <row r="8019" spans="1:2" x14ac:dyDescent="0.25">
      <c r="A8019">
        <v>7990</v>
      </c>
      <c r="B8019">
        <v>0.22056182815353292</v>
      </c>
    </row>
    <row r="8020" spans="1:2" x14ac:dyDescent="0.25">
      <c r="A8020">
        <v>7991</v>
      </c>
      <c r="B8020">
        <v>4.0625262567399519E-2</v>
      </c>
    </row>
    <row r="8021" spans="1:2" x14ac:dyDescent="0.25">
      <c r="A8021">
        <v>7992</v>
      </c>
      <c r="B8021">
        <v>0.12899919857526945</v>
      </c>
    </row>
    <row r="8022" spans="1:2" x14ac:dyDescent="0.25">
      <c r="A8022">
        <v>7993</v>
      </c>
      <c r="B8022">
        <v>0.11283034124532405</v>
      </c>
    </row>
    <row r="8023" spans="1:2" x14ac:dyDescent="0.25">
      <c r="A8023">
        <v>7994</v>
      </c>
      <c r="B8023">
        <v>8.3154839498636682E-2</v>
      </c>
    </row>
    <row r="8024" spans="1:2" x14ac:dyDescent="0.25">
      <c r="A8024">
        <v>7995</v>
      </c>
      <c r="B8024">
        <v>0.26044264062176847</v>
      </c>
    </row>
    <row r="8025" spans="1:2" x14ac:dyDescent="0.25">
      <c r="A8025">
        <v>7996</v>
      </c>
      <c r="B8025">
        <v>0.267396237877426</v>
      </c>
    </row>
    <row r="8026" spans="1:2" x14ac:dyDescent="0.25">
      <c r="A8026">
        <v>7997</v>
      </c>
      <c r="B8026">
        <v>0.15753140934453314</v>
      </c>
    </row>
    <row r="8027" spans="1:2" x14ac:dyDescent="0.25">
      <c r="A8027">
        <v>7998</v>
      </c>
      <c r="B8027">
        <v>0.17331063750725129</v>
      </c>
    </row>
    <row r="8028" spans="1:2" x14ac:dyDescent="0.25">
      <c r="A8028">
        <v>7999</v>
      </c>
      <c r="B8028">
        <v>0.18558797173908126</v>
      </c>
    </row>
    <row r="8029" spans="1:2" x14ac:dyDescent="0.25">
      <c r="A8029">
        <v>8000</v>
      </c>
      <c r="B8029">
        <v>0.13774930463394136</v>
      </c>
    </row>
    <row r="8030" spans="1:2" x14ac:dyDescent="0.25">
      <c r="A8030">
        <v>8001</v>
      </c>
      <c r="B8030">
        <v>8.2326794497044928E-2</v>
      </c>
    </row>
    <row r="8031" spans="1:2" x14ac:dyDescent="0.25">
      <c r="A8031">
        <v>8002</v>
      </c>
      <c r="B8031">
        <v>0.19187247925253903</v>
      </c>
    </row>
    <row r="8032" spans="1:2" x14ac:dyDescent="0.25">
      <c r="A8032">
        <v>8003</v>
      </c>
      <c r="B8032">
        <v>0.42477871136369671</v>
      </c>
    </row>
    <row r="8033" spans="1:2" x14ac:dyDescent="0.25">
      <c r="A8033">
        <v>8004</v>
      </c>
      <c r="B8033">
        <v>0.87158012814626151</v>
      </c>
    </row>
    <row r="8034" spans="1:2" x14ac:dyDescent="0.25">
      <c r="A8034">
        <v>8005</v>
      </c>
      <c r="B8034">
        <v>0.20385578445120714</v>
      </c>
    </row>
    <row r="8035" spans="1:2" x14ac:dyDescent="0.25">
      <c r="A8035">
        <v>8006</v>
      </c>
      <c r="B8035">
        <v>0.12935317722233836</v>
      </c>
    </row>
    <row r="8036" spans="1:2" x14ac:dyDescent="0.25">
      <c r="A8036">
        <v>8007</v>
      </c>
      <c r="B8036">
        <v>0.20280830346526774</v>
      </c>
    </row>
    <row r="8037" spans="1:2" x14ac:dyDescent="0.25">
      <c r="A8037">
        <v>8008</v>
      </c>
      <c r="B8037">
        <v>0.4497168543524605</v>
      </c>
    </row>
    <row r="8038" spans="1:2" x14ac:dyDescent="0.25">
      <c r="A8038">
        <v>8009</v>
      </c>
      <c r="B8038">
        <v>0.32958231660417747</v>
      </c>
    </row>
    <row r="8039" spans="1:2" x14ac:dyDescent="0.25">
      <c r="A8039">
        <v>8010</v>
      </c>
      <c r="B8039">
        <v>7.763443470591469E-2</v>
      </c>
    </row>
    <row r="8040" spans="1:2" x14ac:dyDescent="0.25">
      <c r="A8040">
        <v>8011</v>
      </c>
      <c r="B8040">
        <v>0.38169372498931231</v>
      </c>
    </row>
    <row r="8041" spans="1:2" x14ac:dyDescent="0.25">
      <c r="A8041">
        <v>8012</v>
      </c>
      <c r="B8041">
        <v>0.17530167765673388</v>
      </c>
    </row>
    <row r="8042" spans="1:2" x14ac:dyDescent="0.25">
      <c r="A8042">
        <v>8013</v>
      </c>
      <c r="B8042">
        <v>0.36443679621272984</v>
      </c>
    </row>
    <row r="8043" spans="1:2" x14ac:dyDescent="0.25">
      <c r="A8043">
        <v>8014</v>
      </c>
      <c r="B8043">
        <v>0.36109435866388095</v>
      </c>
    </row>
    <row r="8044" spans="1:2" x14ac:dyDescent="0.25">
      <c r="A8044">
        <v>8015</v>
      </c>
      <c r="B8044">
        <v>8.2746205457887648E-2</v>
      </c>
    </row>
    <row r="8045" spans="1:2" x14ac:dyDescent="0.25">
      <c r="A8045">
        <v>8016</v>
      </c>
      <c r="B8045">
        <v>0.17924874283748243</v>
      </c>
    </row>
    <row r="8046" spans="1:2" x14ac:dyDescent="0.25">
      <c r="A8046">
        <v>8017</v>
      </c>
      <c r="B8046">
        <v>9.3841985548698811E-2</v>
      </c>
    </row>
    <row r="8047" spans="1:2" x14ac:dyDescent="0.25">
      <c r="A8047">
        <v>8018</v>
      </c>
      <c r="B8047">
        <v>0.12152860888196841</v>
      </c>
    </row>
    <row r="8048" spans="1:2" x14ac:dyDescent="0.25">
      <c r="A8048">
        <v>8019</v>
      </c>
      <c r="B8048">
        <v>0.21076946248479023</v>
      </c>
    </row>
    <row r="8049" spans="1:2" x14ac:dyDescent="0.25">
      <c r="A8049">
        <v>8020</v>
      </c>
      <c r="B8049">
        <v>8.2321665589315696E-2</v>
      </c>
    </row>
    <row r="8050" spans="1:2" x14ac:dyDescent="0.25">
      <c r="A8050">
        <v>8021</v>
      </c>
      <c r="B8050">
        <v>0.21608717009959044</v>
      </c>
    </row>
    <row r="8051" spans="1:2" x14ac:dyDescent="0.25">
      <c r="A8051">
        <v>8022</v>
      </c>
      <c r="B8051">
        <v>5.1857450831973378E-2</v>
      </c>
    </row>
    <row r="8052" spans="1:2" x14ac:dyDescent="0.25">
      <c r="A8052">
        <v>8023</v>
      </c>
      <c r="B8052">
        <v>0.22560362790802821</v>
      </c>
    </row>
    <row r="8053" spans="1:2" x14ac:dyDescent="0.25">
      <c r="A8053">
        <v>8024</v>
      </c>
      <c r="B8053">
        <v>5.4743249064846761E-2</v>
      </c>
    </row>
    <row r="8054" spans="1:2" x14ac:dyDescent="0.25">
      <c r="A8054">
        <v>8025</v>
      </c>
      <c r="B8054">
        <v>0.23229850615127842</v>
      </c>
    </row>
    <row r="8055" spans="1:2" x14ac:dyDescent="0.25">
      <c r="A8055">
        <v>8026</v>
      </c>
      <c r="B8055">
        <v>8.9776548246739973E-2</v>
      </c>
    </row>
    <row r="8056" spans="1:2" x14ac:dyDescent="0.25">
      <c r="A8056">
        <v>8027</v>
      </c>
      <c r="B8056">
        <v>7.3746456900776997E-2</v>
      </c>
    </row>
    <row r="8057" spans="1:2" x14ac:dyDescent="0.25">
      <c r="A8057">
        <v>8028</v>
      </c>
      <c r="B8057">
        <v>0.5653103441096119</v>
      </c>
    </row>
    <row r="8058" spans="1:2" x14ac:dyDescent="0.25">
      <c r="A8058">
        <v>8029</v>
      </c>
      <c r="B8058">
        <v>0.12297246023301221</v>
      </c>
    </row>
    <row r="8059" spans="1:2" x14ac:dyDescent="0.25">
      <c r="A8059">
        <v>8030</v>
      </c>
      <c r="B8059">
        <v>0.31274403918796878</v>
      </c>
    </row>
    <row r="8060" spans="1:2" x14ac:dyDescent="0.25">
      <c r="A8060">
        <v>8031</v>
      </c>
      <c r="B8060">
        <v>0.17264526134027797</v>
      </c>
    </row>
    <row r="8061" spans="1:2" x14ac:dyDescent="0.25">
      <c r="A8061">
        <v>8032</v>
      </c>
      <c r="B8061">
        <v>0.20293502388769752</v>
      </c>
    </row>
    <row r="8062" spans="1:2" x14ac:dyDescent="0.25">
      <c r="A8062">
        <v>8033</v>
      </c>
      <c r="B8062">
        <v>0.38973211837834881</v>
      </c>
    </row>
    <row r="8063" spans="1:2" x14ac:dyDescent="0.25">
      <c r="A8063">
        <v>8034</v>
      </c>
      <c r="B8063">
        <v>0.47504512995217957</v>
      </c>
    </row>
    <row r="8064" spans="1:2" x14ac:dyDescent="0.25">
      <c r="A8064">
        <v>8035</v>
      </c>
      <c r="B8064">
        <v>0.21707848577658082</v>
      </c>
    </row>
    <row r="8065" spans="1:2" x14ac:dyDescent="0.25">
      <c r="A8065">
        <v>8036</v>
      </c>
      <c r="B8065">
        <v>0.50575405258745909</v>
      </c>
    </row>
    <row r="8066" spans="1:2" x14ac:dyDescent="0.25">
      <c r="A8066">
        <v>8037</v>
      </c>
      <c r="B8066">
        <v>0.14436536912858194</v>
      </c>
    </row>
    <row r="8067" spans="1:2" x14ac:dyDescent="0.25">
      <c r="A8067">
        <v>8038</v>
      </c>
      <c r="B8067">
        <v>7.7622611453409818E-2</v>
      </c>
    </row>
    <row r="8068" spans="1:2" x14ac:dyDescent="0.25">
      <c r="A8068">
        <v>8039</v>
      </c>
      <c r="B8068">
        <v>0.10312049512538495</v>
      </c>
    </row>
    <row r="8069" spans="1:2" x14ac:dyDescent="0.25">
      <c r="A8069">
        <v>8040</v>
      </c>
      <c r="B8069">
        <v>0.16094914808871669</v>
      </c>
    </row>
    <row r="8070" spans="1:2" x14ac:dyDescent="0.25">
      <c r="A8070">
        <v>8041</v>
      </c>
      <c r="B8070">
        <v>8.45870438926066E-2</v>
      </c>
    </row>
    <row r="8071" spans="1:2" x14ac:dyDescent="0.25">
      <c r="A8071">
        <v>8042</v>
      </c>
      <c r="B8071">
        <v>0.10462396454714511</v>
      </c>
    </row>
    <row r="8072" spans="1:2" x14ac:dyDescent="0.25">
      <c r="A8072">
        <v>8043</v>
      </c>
      <c r="B8072">
        <v>0.15845460796357139</v>
      </c>
    </row>
    <row r="8073" spans="1:2" x14ac:dyDescent="0.25">
      <c r="A8073">
        <v>8044</v>
      </c>
      <c r="B8073">
        <v>0.22702723455584828</v>
      </c>
    </row>
    <row r="8074" spans="1:2" x14ac:dyDescent="0.25">
      <c r="A8074">
        <v>8045</v>
      </c>
      <c r="B8074">
        <v>0.16222217036376707</v>
      </c>
    </row>
    <row r="8075" spans="1:2" x14ac:dyDescent="0.25">
      <c r="A8075">
        <v>8046</v>
      </c>
      <c r="B8075">
        <v>0.18385169153969455</v>
      </c>
    </row>
    <row r="8076" spans="1:2" x14ac:dyDescent="0.25">
      <c r="A8076">
        <v>8047</v>
      </c>
      <c r="B8076">
        <v>0.33271184719450098</v>
      </c>
    </row>
    <row r="8077" spans="1:2" x14ac:dyDescent="0.25">
      <c r="A8077">
        <v>8048</v>
      </c>
      <c r="B8077">
        <v>0.3518231933557564</v>
      </c>
    </row>
    <row r="8078" spans="1:2" x14ac:dyDescent="0.25">
      <c r="A8078">
        <v>8049</v>
      </c>
      <c r="B8078">
        <v>0.16700999377341419</v>
      </c>
    </row>
    <row r="8079" spans="1:2" x14ac:dyDescent="0.25">
      <c r="A8079">
        <v>8050</v>
      </c>
      <c r="B8079">
        <v>0.13167841566002017</v>
      </c>
    </row>
    <row r="8080" spans="1:2" x14ac:dyDescent="0.25">
      <c r="A8080">
        <v>8051</v>
      </c>
      <c r="B8080">
        <v>0.13981764602042854</v>
      </c>
    </row>
    <row r="8081" spans="1:2" x14ac:dyDescent="0.25">
      <c r="A8081">
        <v>8052</v>
      </c>
      <c r="B8081">
        <v>0.32566924497852606</v>
      </c>
    </row>
    <row r="8082" spans="1:2" x14ac:dyDescent="0.25">
      <c r="A8082">
        <v>8053</v>
      </c>
      <c r="B8082">
        <v>0.38457595127184041</v>
      </c>
    </row>
    <row r="8083" spans="1:2" x14ac:dyDescent="0.25">
      <c r="A8083">
        <v>8054</v>
      </c>
      <c r="B8083">
        <v>0.18031619779848157</v>
      </c>
    </row>
    <row r="8084" spans="1:2" x14ac:dyDescent="0.25">
      <c r="A8084">
        <v>8055</v>
      </c>
      <c r="B8084">
        <v>0.14261594148985807</v>
      </c>
    </row>
    <row r="8085" spans="1:2" x14ac:dyDescent="0.25">
      <c r="A8085">
        <v>8056</v>
      </c>
      <c r="B8085">
        <v>0.19289250216761469</v>
      </c>
    </row>
    <row r="8086" spans="1:2" x14ac:dyDescent="0.25">
      <c r="A8086">
        <v>8057</v>
      </c>
      <c r="B8086">
        <v>0.35598887580607186</v>
      </c>
    </row>
    <row r="8087" spans="1:2" x14ac:dyDescent="0.25">
      <c r="A8087">
        <v>8058</v>
      </c>
      <c r="B8087">
        <v>0.10669327817559519</v>
      </c>
    </row>
    <row r="8088" spans="1:2" x14ac:dyDescent="0.25">
      <c r="A8088">
        <v>8059</v>
      </c>
      <c r="B8088">
        <v>0.12917211635892914</v>
      </c>
    </row>
    <row r="8089" spans="1:2" x14ac:dyDescent="0.25">
      <c r="A8089">
        <v>8060</v>
      </c>
      <c r="B8089">
        <v>4.8560741633983898E-2</v>
      </c>
    </row>
    <row r="8090" spans="1:2" x14ac:dyDescent="0.25">
      <c r="A8090">
        <v>8061</v>
      </c>
      <c r="B8090">
        <v>0.13379865491787676</v>
      </c>
    </row>
    <row r="8091" spans="1:2" x14ac:dyDescent="0.25">
      <c r="A8091">
        <v>8062</v>
      </c>
      <c r="B8091">
        <v>0.1208034150513736</v>
      </c>
    </row>
    <row r="8092" spans="1:2" x14ac:dyDescent="0.25">
      <c r="A8092">
        <v>8063</v>
      </c>
      <c r="B8092">
        <v>0.50147687627051662</v>
      </c>
    </row>
    <row r="8093" spans="1:2" x14ac:dyDescent="0.25">
      <c r="A8093">
        <v>8064</v>
      </c>
      <c r="B8093">
        <v>0.36839086547965755</v>
      </c>
    </row>
    <row r="8094" spans="1:2" x14ac:dyDescent="0.25">
      <c r="A8094">
        <v>8065</v>
      </c>
      <c r="B8094">
        <v>0.30800803172384467</v>
      </c>
    </row>
    <row r="8095" spans="1:2" x14ac:dyDescent="0.25">
      <c r="A8095">
        <v>8066</v>
      </c>
      <c r="B8095">
        <v>0.14511102533669354</v>
      </c>
    </row>
    <row r="8096" spans="1:2" x14ac:dyDescent="0.25">
      <c r="A8096">
        <v>8067</v>
      </c>
      <c r="B8096">
        <v>0.15415884536118529</v>
      </c>
    </row>
    <row r="8097" spans="1:2" x14ac:dyDescent="0.25">
      <c r="A8097">
        <v>8068</v>
      </c>
      <c r="B8097">
        <v>0.11115153027318997</v>
      </c>
    </row>
    <row r="8098" spans="1:2" x14ac:dyDescent="0.25">
      <c r="A8098">
        <v>8069</v>
      </c>
      <c r="B8098">
        <v>0.19002415651878055</v>
      </c>
    </row>
    <row r="8099" spans="1:2" x14ac:dyDescent="0.25">
      <c r="A8099">
        <v>8070</v>
      </c>
      <c r="B8099">
        <v>0.13479960384021836</v>
      </c>
    </row>
    <row r="8100" spans="1:2" x14ac:dyDescent="0.25">
      <c r="A8100">
        <v>8071</v>
      </c>
      <c r="B8100">
        <v>0.28627133553610007</v>
      </c>
    </row>
    <row r="8101" spans="1:2" x14ac:dyDescent="0.25">
      <c r="A8101">
        <v>8072</v>
      </c>
      <c r="B8101">
        <v>0.11647177955055606</v>
      </c>
    </row>
    <row r="8102" spans="1:2" x14ac:dyDescent="0.25">
      <c r="A8102">
        <v>8073</v>
      </c>
      <c r="B8102">
        <v>0.16862588391618749</v>
      </c>
    </row>
    <row r="8103" spans="1:2" x14ac:dyDescent="0.25">
      <c r="A8103">
        <v>8074</v>
      </c>
      <c r="B8103">
        <v>0.7057955359017215</v>
      </c>
    </row>
    <row r="8104" spans="1:2" x14ac:dyDescent="0.25">
      <c r="A8104">
        <v>8075</v>
      </c>
      <c r="B8104">
        <v>0.171532852493015</v>
      </c>
    </row>
    <row r="8105" spans="1:2" x14ac:dyDescent="0.25">
      <c r="A8105">
        <v>8076</v>
      </c>
      <c r="B8105">
        <v>0.13272247278896554</v>
      </c>
    </row>
    <row r="8106" spans="1:2" x14ac:dyDescent="0.25">
      <c r="A8106">
        <v>8077</v>
      </c>
      <c r="B8106">
        <v>0.27897885456876015</v>
      </c>
    </row>
    <row r="8107" spans="1:2" x14ac:dyDescent="0.25">
      <c r="A8107">
        <v>8078</v>
      </c>
      <c r="B8107">
        <v>0.19766318420789841</v>
      </c>
    </row>
    <row r="8108" spans="1:2" x14ac:dyDescent="0.25">
      <c r="A8108">
        <v>8079</v>
      </c>
      <c r="B8108">
        <v>0.23296523731780081</v>
      </c>
    </row>
    <row r="8109" spans="1:2" x14ac:dyDescent="0.25">
      <c r="A8109">
        <v>8080</v>
      </c>
      <c r="B8109">
        <v>4.1597633263541642E-2</v>
      </c>
    </row>
    <row r="8110" spans="1:2" x14ac:dyDescent="0.25">
      <c r="A8110">
        <v>8081</v>
      </c>
      <c r="B8110">
        <v>0.17537558185705077</v>
      </c>
    </row>
    <row r="8111" spans="1:2" x14ac:dyDescent="0.25">
      <c r="A8111">
        <v>8082</v>
      </c>
      <c r="B8111">
        <v>0.46329005038898324</v>
      </c>
    </row>
    <row r="8112" spans="1:2" x14ac:dyDescent="0.25">
      <c r="A8112">
        <v>8083</v>
      </c>
      <c r="B8112">
        <v>0.13931618077270569</v>
      </c>
    </row>
    <row r="8113" spans="1:2" x14ac:dyDescent="0.25">
      <c r="A8113">
        <v>8084</v>
      </c>
      <c r="B8113">
        <v>0.32861791459587314</v>
      </c>
    </row>
    <row r="8114" spans="1:2" x14ac:dyDescent="0.25">
      <c r="A8114">
        <v>8085</v>
      </c>
      <c r="B8114">
        <v>6.2966229982908767E-2</v>
      </c>
    </row>
    <row r="8115" spans="1:2" x14ac:dyDescent="0.25">
      <c r="A8115">
        <v>8086</v>
      </c>
      <c r="B8115">
        <v>0.14174721290724523</v>
      </c>
    </row>
    <row r="8116" spans="1:2" x14ac:dyDescent="0.25">
      <c r="A8116">
        <v>8087</v>
      </c>
      <c r="B8116">
        <v>8.4866714721295228E-2</v>
      </c>
    </row>
    <row r="8117" spans="1:2" x14ac:dyDescent="0.25">
      <c r="A8117">
        <v>8088</v>
      </c>
      <c r="B8117">
        <v>0.15346180009771598</v>
      </c>
    </row>
    <row r="8118" spans="1:2" x14ac:dyDescent="0.25">
      <c r="A8118">
        <v>8089</v>
      </c>
      <c r="B8118">
        <v>9.0688557622448845E-2</v>
      </c>
    </row>
    <row r="8119" spans="1:2" x14ac:dyDescent="0.25">
      <c r="A8119">
        <v>8090</v>
      </c>
      <c r="B8119">
        <v>0.28363514304217224</v>
      </c>
    </row>
    <row r="8120" spans="1:2" x14ac:dyDescent="0.25">
      <c r="A8120">
        <v>8091</v>
      </c>
      <c r="B8120">
        <v>6.2724278992907181E-2</v>
      </c>
    </row>
    <row r="8121" spans="1:2" x14ac:dyDescent="0.25">
      <c r="A8121">
        <v>8092</v>
      </c>
      <c r="B8121">
        <v>0.31713653410450771</v>
      </c>
    </row>
    <row r="8122" spans="1:2" x14ac:dyDescent="0.25">
      <c r="A8122">
        <v>8093</v>
      </c>
      <c r="B8122">
        <v>0.16786898649825849</v>
      </c>
    </row>
    <row r="8123" spans="1:2" x14ac:dyDescent="0.25">
      <c r="A8123">
        <v>8094</v>
      </c>
      <c r="B8123">
        <v>0.13541097883058048</v>
      </c>
    </row>
    <row r="8124" spans="1:2" x14ac:dyDescent="0.25">
      <c r="A8124">
        <v>8095</v>
      </c>
      <c r="B8124">
        <v>0.26123711145798728</v>
      </c>
    </row>
    <row r="8125" spans="1:2" x14ac:dyDescent="0.25">
      <c r="A8125">
        <v>8096</v>
      </c>
      <c r="B8125">
        <v>9.4920637121243337E-2</v>
      </c>
    </row>
    <row r="8126" spans="1:2" x14ac:dyDescent="0.25">
      <c r="A8126">
        <v>8097</v>
      </c>
      <c r="B8126">
        <v>2.9367302341271415E-2</v>
      </c>
    </row>
    <row r="8127" spans="1:2" x14ac:dyDescent="0.25">
      <c r="A8127">
        <v>8098</v>
      </c>
      <c r="B8127">
        <v>7.5624677844613269E-2</v>
      </c>
    </row>
    <row r="8128" spans="1:2" x14ac:dyDescent="0.25">
      <c r="A8128">
        <v>8099</v>
      </c>
      <c r="B8128">
        <v>0.1074922668552523</v>
      </c>
    </row>
    <row r="8129" spans="1:2" x14ac:dyDescent="0.25">
      <c r="A8129">
        <v>8100</v>
      </c>
      <c r="B8129">
        <v>0.25492591511246493</v>
      </c>
    </row>
    <row r="8130" spans="1:2" x14ac:dyDescent="0.25">
      <c r="A8130">
        <v>8101</v>
      </c>
      <c r="B8130">
        <v>0.33164769247293274</v>
      </c>
    </row>
    <row r="8131" spans="1:2" x14ac:dyDescent="0.25">
      <c r="A8131">
        <v>8102</v>
      </c>
      <c r="B8131">
        <v>0.16431636742701844</v>
      </c>
    </row>
    <row r="8132" spans="1:2" x14ac:dyDescent="0.25">
      <c r="A8132">
        <v>8103</v>
      </c>
      <c r="B8132">
        <v>0.20212105231101407</v>
      </c>
    </row>
    <row r="8133" spans="1:2" x14ac:dyDescent="0.25">
      <c r="A8133">
        <v>8104</v>
      </c>
      <c r="B8133">
        <v>0.59212038011350343</v>
      </c>
    </row>
    <row r="8134" spans="1:2" x14ac:dyDescent="0.25">
      <c r="A8134">
        <v>8105</v>
      </c>
      <c r="B8134">
        <v>0.22549831674976056</v>
      </c>
    </row>
    <row r="8135" spans="1:2" x14ac:dyDescent="0.25">
      <c r="A8135">
        <v>8106</v>
      </c>
      <c r="B8135">
        <v>9.6782996444375172E-2</v>
      </c>
    </row>
    <row r="8136" spans="1:2" x14ac:dyDescent="0.25">
      <c r="A8136">
        <v>8107</v>
      </c>
      <c r="B8136">
        <v>0.23163217128400562</v>
      </c>
    </row>
    <row r="8137" spans="1:2" x14ac:dyDescent="0.25">
      <c r="A8137">
        <v>8108</v>
      </c>
      <c r="B8137">
        <v>0.13256485050619657</v>
      </c>
    </row>
    <row r="8138" spans="1:2" x14ac:dyDescent="0.25">
      <c r="A8138">
        <v>8109</v>
      </c>
      <c r="B8138">
        <v>9.7574000901669206E-2</v>
      </c>
    </row>
    <row r="8139" spans="1:2" x14ac:dyDescent="0.25">
      <c r="A8139">
        <v>8110</v>
      </c>
      <c r="B8139">
        <v>0.21266619433664669</v>
      </c>
    </row>
    <row r="8140" spans="1:2" x14ac:dyDescent="0.25">
      <c r="A8140">
        <v>8111</v>
      </c>
      <c r="B8140">
        <v>0.23535343651483462</v>
      </c>
    </row>
    <row r="8141" spans="1:2" x14ac:dyDescent="0.25">
      <c r="A8141">
        <v>8112</v>
      </c>
      <c r="B8141">
        <v>0.10832272621919749</v>
      </c>
    </row>
    <row r="8142" spans="1:2" x14ac:dyDescent="0.25">
      <c r="A8142">
        <v>8113</v>
      </c>
      <c r="B8142">
        <v>0.22106821172717098</v>
      </c>
    </row>
    <row r="8143" spans="1:2" x14ac:dyDescent="0.25">
      <c r="A8143">
        <v>8114</v>
      </c>
      <c r="B8143">
        <v>0.26218205104443104</v>
      </c>
    </row>
    <row r="8144" spans="1:2" x14ac:dyDescent="0.25">
      <c r="A8144">
        <v>8115</v>
      </c>
      <c r="B8144">
        <v>0.22133943468156778</v>
      </c>
    </row>
    <row r="8145" spans="1:2" x14ac:dyDescent="0.25">
      <c r="A8145">
        <v>8116</v>
      </c>
      <c r="B8145">
        <v>0.12616097647590999</v>
      </c>
    </row>
    <row r="8146" spans="1:2" x14ac:dyDescent="0.25">
      <c r="A8146">
        <v>8117</v>
      </c>
      <c r="B8146">
        <v>0.21009494878607074</v>
      </c>
    </row>
    <row r="8147" spans="1:2" x14ac:dyDescent="0.25">
      <c r="A8147">
        <v>8118</v>
      </c>
      <c r="B8147">
        <v>0.17772459058276546</v>
      </c>
    </row>
    <row r="8148" spans="1:2" x14ac:dyDescent="0.25">
      <c r="A8148">
        <v>8119</v>
      </c>
      <c r="B8148">
        <v>7.6020850501169329E-2</v>
      </c>
    </row>
    <row r="8149" spans="1:2" x14ac:dyDescent="0.25">
      <c r="A8149">
        <v>8120</v>
      </c>
      <c r="B8149">
        <v>0.26280451480432715</v>
      </c>
    </row>
    <row r="8150" spans="1:2" x14ac:dyDescent="0.25">
      <c r="A8150">
        <v>8121</v>
      </c>
      <c r="B8150">
        <v>0.14830096893931616</v>
      </c>
    </row>
    <row r="8151" spans="1:2" x14ac:dyDescent="0.25">
      <c r="A8151">
        <v>8122</v>
      </c>
      <c r="B8151">
        <v>0.23838453922921402</v>
      </c>
    </row>
    <row r="8152" spans="1:2" x14ac:dyDescent="0.25">
      <c r="A8152">
        <v>8123</v>
      </c>
      <c r="B8152">
        <v>0.12777749751783032</v>
      </c>
    </row>
    <row r="8153" spans="1:2" x14ac:dyDescent="0.25">
      <c r="A8153">
        <v>8124</v>
      </c>
      <c r="B8153">
        <v>0.24881959208284718</v>
      </c>
    </row>
    <row r="8154" spans="1:2" x14ac:dyDescent="0.25">
      <c r="A8154">
        <v>8125</v>
      </c>
      <c r="B8154">
        <v>0.12886217912243114</v>
      </c>
    </row>
    <row r="8155" spans="1:2" x14ac:dyDescent="0.25">
      <c r="A8155">
        <v>8126</v>
      </c>
      <c r="B8155">
        <v>0.35380054109546571</v>
      </c>
    </row>
    <row r="8156" spans="1:2" x14ac:dyDescent="0.25">
      <c r="A8156">
        <v>8127</v>
      </c>
      <c r="B8156">
        <v>0.15915900283113629</v>
      </c>
    </row>
    <row r="8157" spans="1:2" x14ac:dyDescent="0.25">
      <c r="A8157">
        <v>8128</v>
      </c>
      <c r="B8157">
        <v>0.17776794523563913</v>
      </c>
    </row>
    <row r="8158" spans="1:2" x14ac:dyDescent="0.25">
      <c r="A8158">
        <v>8129</v>
      </c>
      <c r="B8158">
        <v>5.4673404412670164E-2</v>
      </c>
    </row>
    <row r="8159" spans="1:2" x14ac:dyDescent="0.25">
      <c r="A8159">
        <v>8130</v>
      </c>
      <c r="B8159">
        <v>0.15353634484814577</v>
      </c>
    </row>
    <row r="8160" spans="1:2" x14ac:dyDescent="0.25">
      <c r="A8160">
        <v>8131</v>
      </c>
      <c r="B8160">
        <v>0.14616781187895195</v>
      </c>
    </row>
    <row r="8161" spans="1:2" x14ac:dyDescent="0.25">
      <c r="A8161">
        <v>8132</v>
      </c>
      <c r="B8161">
        <v>4.524279515891904E-2</v>
      </c>
    </row>
    <row r="8162" spans="1:2" x14ac:dyDescent="0.25">
      <c r="A8162">
        <v>8133</v>
      </c>
      <c r="B8162">
        <v>0.24036074298142068</v>
      </c>
    </row>
    <row r="8163" spans="1:2" x14ac:dyDescent="0.25">
      <c r="A8163">
        <v>8134</v>
      </c>
      <c r="B8163">
        <v>8.0235228385513543E-2</v>
      </c>
    </row>
    <row r="8164" spans="1:2" x14ac:dyDescent="0.25">
      <c r="A8164">
        <v>8135</v>
      </c>
      <c r="B8164">
        <v>8.954840599194322E-2</v>
      </c>
    </row>
    <row r="8165" spans="1:2" x14ac:dyDescent="0.25">
      <c r="A8165">
        <v>8136</v>
      </c>
      <c r="B8165">
        <v>0.34158430870205486</v>
      </c>
    </row>
    <row r="8166" spans="1:2" x14ac:dyDescent="0.25">
      <c r="A8166">
        <v>8137</v>
      </c>
      <c r="B8166">
        <v>0.17472472119558174</v>
      </c>
    </row>
    <row r="8167" spans="1:2" x14ac:dyDescent="0.25">
      <c r="A8167">
        <v>8138</v>
      </c>
      <c r="B8167">
        <v>6.8462490849275831E-2</v>
      </c>
    </row>
    <row r="8168" spans="1:2" x14ac:dyDescent="0.25">
      <c r="A8168">
        <v>8139</v>
      </c>
      <c r="B8168">
        <v>7.9821819639003214E-2</v>
      </c>
    </row>
    <row r="8169" spans="1:2" x14ac:dyDescent="0.25">
      <c r="A8169">
        <v>8140</v>
      </c>
      <c r="B8169">
        <v>0.17809959867927436</v>
      </c>
    </row>
    <row r="8170" spans="1:2" x14ac:dyDescent="0.25">
      <c r="A8170">
        <v>8141</v>
      </c>
      <c r="B8170">
        <v>0.51243900298865697</v>
      </c>
    </row>
    <row r="8171" spans="1:2" x14ac:dyDescent="0.25">
      <c r="A8171">
        <v>8142</v>
      </c>
      <c r="B8171">
        <v>0.29580657466862975</v>
      </c>
    </row>
    <row r="8172" spans="1:2" x14ac:dyDescent="0.25">
      <c r="A8172">
        <v>8143</v>
      </c>
      <c r="B8172">
        <v>0.36481787214482203</v>
      </c>
    </row>
    <row r="8173" spans="1:2" x14ac:dyDescent="0.25">
      <c r="A8173">
        <v>8144</v>
      </c>
      <c r="B8173">
        <v>2.8927422822457045E-2</v>
      </c>
    </row>
    <row r="8174" spans="1:2" x14ac:dyDescent="0.25">
      <c r="A8174">
        <v>8145</v>
      </c>
      <c r="B8174">
        <v>4.9779213844192143E-2</v>
      </c>
    </row>
    <row r="8175" spans="1:2" x14ac:dyDescent="0.25">
      <c r="A8175">
        <v>8146</v>
      </c>
      <c r="B8175">
        <v>0.15575938057760982</v>
      </c>
    </row>
    <row r="8176" spans="1:2" x14ac:dyDescent="0.25">
      <c r="A8176">
        <v>8147</v>
      </c>
      <c r="B8176">
        <v>0.12808243877616624</v>
      </c>
    </row>
    <row r="8177" spans="1:2" x14ac:dyDescent="0.25">
      <c r="A8177">
        <v>8148</v>
      </c>
      <c r="B8177">
        <v>0.19144699910654694</v>
      </c>
    </row>
    <row r="8178" spans="1:2" x14ac:dyDescent="0.25">
      <c r="A8178">
        <v>8149</v>
      </c>
      <c r="B8178">
        <v>0.20663242139999419</v>
      </c>
    </row>
    <row r="8179" spans="1:2" x14ac:dyDescent="0.25">
      <c r="A8179">
        <v>8150</v>
      </c>
      <c r="B8179">
        <v>0.19550616800397969</v>
      </c>
    </row>
    <row r="8180" spans="1:2" x14ac:dyDescent="0.25">
      <c r="A8180">
        <v>8151</v>
      </c>
      <c r="B8180">
        <v>0.10584336110354632</v>
      </c>
    </row>
    <row r="8181" spans="1:2" x14ac:dyDescent="0.25">
      <c r="A8181">
        <v>8152</v>
      </c>
      <c r="B8181">
        <v>0.10709820489079781</v>
      </c>
    </row>
    <row r="8182" spans="1:2" x14ac:dyDescent="0.25">
      <c r="A8182">
        <v>8153</v>
      </c>
      <c r="B8182">
        <v>0.19689787341763446</v>
      </c>
    </row>
    <row r="8183" spans="1:2" x14ac:dyDescent="0.25">
      <c r="A8183">
        <v>8154</v>
      </c>
      <c r="B8183">
        <v>0.18031516206198397</v>
      </c>
    </row>
    <row r="8184" spans="1:2" x14ac:dyDescent="0.25">
      <c r="A8184">
        <v>8155</v>
      </c>
      <c r="B8184">
        <v>0.17322669937831159</v>
      </c>
    </row>
    <row r="8185" spans="1:2" x14ac:dyDescent="0.25">
      <c r="A8185">
        <v>8156</v>
      </c>
      <c r="B8185">
        <v>0.30267003476738019</v>
      </c>
    </row>
    <row r="8186" spans="1:2" x14ac:dyDescent="0.25">
      <c r="A8186">
        <v>8157</v>
      </c>
      <c r="B8186">
        <v>0.20200620565020794</v>
      </c>
    </row>
    <row r="8187" spans="1:2" x14ac:dyDescent="0.25">
      <c r="A8187">
        <v>8158</v>
      </c>
      <c r="B8187">
        <v>6.9316196362513932E-2</v>
      </c>
    </row>
    <row r="8188" spans="1:2" x14ac:dyDescent="0.25">
      <c r="A8188">
        <v>8159</v>
      </c>
      <c r="B8188">
        <v>7.8536802811485618E-2</v>
      </c>
    </row>
    <row r="8189" spans="1:2" x14ac:dyDescent="0.25">
      <c r="A8189">
        <v>8160</v>
      </c>
      <c r="B8189">
        <v>0.24466965759058906</v>
      </c>
    </row>
    <row r="8190" spans="1:2" x14ac:dyDescent="0.25">
      <c r="A8190">
        <v>8161</v>
      </c>
      <c r="B8190">
        <v>0.24434870909421469</v>
      </c>
    </row>
    <row r="8191" spans="1:2" x14ac:dyDescent="0.25">
      <c r="A8191">
        <v>8162</v>
      </c>
      <c r="B8191">
        <v>0.10512503422579701</v>
      </c>
    </row>
    <row r="8192" spans="1:2" x14ac:dyDescent="0.25">
      <c r="A8192">
        <v>8163</v>
      </c>
      <c r="B8192">
        <v>0.2233006101253846</v>
      </c>
    </row>
    <row r="8193" spans="1:2" x14ac:dyDescent="0.25">
      <c r="A8193">
        <v>8164</v>
      </c>
      <c r="B8193">
        <v>0.15739722094726197</v>
      </c>
    </row>
    <row r="8194" spans="1:2" x14ac:dyDescent="0.25">
      <c r="A8194">
        <v>8165</v>
      </c>
      <c r="B8194">
        <v>0.30645982197022104</v>
      </c>
    </row>
    <row r="8195" spans="1:2" x14ac:dyDescent="0.25">
      <c r="A8195">
        <v>8166</v>
      </c>
      <c r="B8195">
        <v>0.20889645352793781</v>
      </c>
    </row>
    <row r="8196" spans="1:2" x14ac:dyDescent="0.25">
      <c r="A8196">
        <v>8167</v>
      </c>
      <c r="B8196">
        <v>8.9647376321736957E-2</v>
      </c>
    </row>
    <row r="8197" spans="1:2" x14ac:dyDescent="0.25">
      <c r="A8197">
        <v>8168</v>
      </c>
      <c r="B8197">
        <v>5.6336247666445675E-2</v>
      </c>
    </row>
    <row r="8198" spans="1:2" x14ac:dyDescent="0.25">
      <c r="A8198">
        <v>8169</v>
      </c>
      <c r="B8198">
        <v>0.3186066112911522</v>
      </c>
    </row>
    <row r="8199" spans="1:2" x14ac:dyDescent="0.25">
      <c r="A8199">
        <v>8170</v>
      </c>
      <c r="B8199">
        <v>4.2528140068768296E-2</v>
      </c>
    </row>
    <row r="8200" spans="1:2" x14ac:dyDescent="0.25">
      <c r="A8200">
        <v>8171</v>
      </c>
      <c r="B8200">
        <v>0.1546807132607538</v>
      </c>
    </row>
    <row r="8201" spans="1:2" x14ac:dyDescent="0.25">
      <c r="A8201">
        <v>8172</v>
      </c>
      <c r="B8201">
        <v>0.33104698534409033</v>
      </c>
    </row>
    <row r="8202" spans="1:2" x14ac:dyDescent="0.25">
      <c r="A8202">
        <v>8173</v>
      </c>
      <c r="B8202">
        <v>6.3976598302568174E-2</v>
      </c>
    </row>
    <row r="8203" spans="1:2" x14ac:dyDescent="0.25">
      <c r="A8203">
        <v>8174</v>
      </c>
      <c r="B8203">
        <v>0.41178885501079149</v>
      </c>
    </row>
    <row r="8204" spans="1:2" x14ac:dyDescent="0.25">
      <c r="A8204">
        <v>8175</v>
      </c>
      <c r="B8204">
        <v>8.525426048576093E-2</v>
      </c>
    </row>
    <row r="8205" spans="1:2" x14ac:dyDescent="0.25">
      <c r="A8205">
        <v>8176</v>
      </c>
      <c r="B8205">
        <v>0.41208004952728866</v>
      </c>
    </row>
    <row r="8206" spans="1:2" x14ac:dyDescent="0.25">
      <c r="A8206">
        <v>8177</v>
      </c>
      <c r="B8206">
        <v>0.17049422238883583</v>
      </c>
    </row>
    <row r="8207" spans="1:2" x14ac:dyDescent="0.25">
      <c r="A8207">
        <v>8178</v>
      </c>
      <c r="B8207">
        <v>0.2066922682671038</v>
      </c>
    </row>
    <row r="8208" spans="1:2" x14ac:dyDescent="0.25">
      <c r="A8208">
        <v>8179</v>
      </c>
      <c r="B8208">
        <v>0.12866448814571096</v>
      </c>
    </row>
    <row r="8209" spans="1:2" x14ac:dyDescent="0.25">
      <c r="A8209">
        <v>8180</v>
      </c>
      <c r="B8209">
        <v>0.21763352881971557</v>
      </c>
    </row>
    <row r="8210" spans="1:2" x14ac:dyDescent="0.25">
      <c r="A8210">
        <v>8181</v>
      </c>
      <c r="B8210">
        <v>0.27541190577594549</v>
      </c>
    </row>
    <row r="8211" spans="1:2" x14ac:dyDescent="0.25">
      <c r="A8211">
        <v>8182</v>
      </c>
      <c r="B8211">
        <v>0.20523028213053007</v>
      </c>
    </row>
    <row r="8212" spans="1:2" x14ac:dyDescent="0.25">
      <c r="A8212">
        <v>8183</v>
      </c>
      <c r="B8212">
        <v>0.49912510593974091</v>
      </c>
    </row>
    <row r="8213" spans="1:2" x14ac:dyDescent="0.25">
      <c r="A8213">
        <v>8184</v>
      </c>
      <c r="B8213">
        <v>8.4039839621973672E-2</v>
      </c>
    </row>
    <row r="8214" spans="1:2" x14ac:dyDescent="0.25">
      <c r="A8214">
        <v>8185</v>
      </c>
      <c r="B8214">
        <v>7.5203824390554438E-2</v>
      </c>
    </row>
    <row r="8215" spans="1:2" x14ac:dyDescent="0.25">
      <c r="A8215">
        <v>8186</v>
      </c>
      <c r="B8215">
        <v>0.16246121036559008</v>
      </c>
    </row>
    <row r="8216" spans="1:2" x14ac:dyDescent="0.25">
      <c r="A8216">
        <v>8187</v>
      </c>
      <c r="B8216">
        <v>0.10045516679013773</v>
      </c>
    </row>
    <row r="8217" spans="1:2" x14ac:dyDescent="0.25">
      <c r="A8217">
        <v>8188</v>
      </c>
      <c r="B8217">
        <v>0.27896078352542925</v>
      </c>
    </row>
    <row r="8218" spans="1:2" x14ac:dyDescent="0.25">
      <c r="A8218">
        <v>8189</v>
      </c>
      <c r="B8218">
        <v>0.30246783563016988</v>
      </c>
    </row>
    <row r="8219" spans="1:2" x14ac:dyDescent="0.25">
      <c r="A8219">
        <v>8190</v>
      </c>
      <c r="B8219">
        <v>0.22219414683726491</v>
      </c>
    </row>
    <row r="8220" spans="1:2" x14ac:dyDescent="0.25">
      <c r="A8220">
        <v>8191</v>
      </c>
      <c r="B8220">
        <v>0.21659150983218856</v>
      </c>
    </row>
    <row r="8221" spans="1:2" x14ac:dyDescent="0.25">
      <c r="A8221">
        <v>8192</v>
      </c>
      <c r="B8221">
        <v>0.20252146671195506</v>
      </c>
    </row>
    <row r="8222" spans="1:2" x14ac:dyDescent="0.25">
      <c r="A8222">
        <v>8193</v>
      </c>
      <c r="B8222">
        <v>0.37674507459343803</v>
      </c>
    </row>
    <row r="8223" spans="1:2" x14ac:dyDescent="0.25">
      <c r="A8223">
        <v>8194</v>
      </c>
      <c r="B8223">
        <v>0.23848777208616784</v>
      </c>
    </row>
    <row r="8224" spans="1:2" x14ac:dyDescent="0.25">
      <c r="A8224">
        <v>8195</v>
      </c>
      <c r="B8224">
        <v>0.19858277902855012</v>
      </c>
    </row>
    <row r="8225" spans="1:2" x14ac:dyDescent="0.25">
      <c r="A8225">
        <v>8196</v>
      </c>
      <c r="B8225">
        <v>0.35958866485849028</v>
      </c>
    </row>
    <row r="8226" spans="1:2" x14ac:dyDescent="0.25">
      <c r="A8226">
        <v>8197</v>
      </c>
      <c r="B8226">
        <v>0.16019134862546999</v>
      </c>
    </row>
    <row r="8227" spans="1:2" x14ac:dyDescent="0.25">
      <c r="A8227">
        <v>8198</v>
      </c>
      <c r="B8227">
        <v>0.3440376604440295</v>
      </c>
    </row>
    <row r="8228" spans="1:2" x14ac:dyDescent="0.25">
      <c r="A8228">
        <v>8199</v>
      </c>
      <c r="B8228">
        <v>5.5372842061476087E-2</v>
      </c>
    </row>
    <row r="8229" spans="1:2" x14ac:dyDescent="0.25">
      <c r="A8229">
        <v>8200</v>
      </c>
      <c r="B8229">
        <v>0.16066638833335756</v>
      </c>
    </row>
    <row r="8230" spans="1:2" x14ac:dyDescent="0.25">
      <c r="A8230">
        <v>8201</v>
      </c>
      <c r="B8230">
        <v>0.22537005705614446</v>
      </c>
    </row>
    <row r="8231" spans="1:2" x14ac:dyDescent="0.25">
      <c r="A8231">
        <v>8202</v>
      </c>
      <c r="B8231">
        <v>0.21450497313309036</v>
      </c>
    </row>
    <row r="8232" spans="1:2" x14ac:dyDescent="0.25">
      <c r="A8232">
        <v>8203</v>
      </c>
      <c r="B8232">
        <v>5.3924694873133769E-2</v>
      </c>
    </row>
    <row r="8233" spans="1:2" x14ac:dyDescent="0.25">
      <c r="A8233">
        <v>8204</v>
      </c>
      <c r="B8233">
        <v>0.28966849346067824</v>
      </c>
    </row>
    <row r="8234" spans="1:2" x14ac:dyDescent="0.25">
      <c r="A8234">
        <v>8205</v>
      </c>
      <c r="B8234">
        <v>0.51193629578416966</v>
      </c>
    </row>
    <row r="8235" spans="1:2" x14ac:dyDescent="0.25">
      <c r="A8235">
        <v>8206</v>
      </c>
      <c r="B8235">
        <v>8.7102802979502431E-2</v>
      </c>
    </row>
    <row r="8236" spans="1:2" x14ac:dyDescent="0.25">
      <c r="A8236">
        <v>8207</v>
      </c>
      <c r="B8236">
        <v>6.2402171037831571E-2</v>
      </c>
    </row>
    <row r="8237" spans="1:2" x14ac:dyDescent="0.25">
      <c r="A8237">
        <v>8208</v>
      </c>
      <c r="B8237">
        <v>0.100670205244016</v>
      </c>
    </row>
    <row r="8238" spans="1:2" x14ac:dyDescent="0.25">
      <c r="A8238">
        <v>8209</v>
      </c>
      <c r="B8238">
        <v>0.14321407714955334</v>
      </c>
    </row>
    <row r="8239" spans="1:2" x14ac:dyDescent="0.25">
      <c r="A8239">
        <v>8210</v>
      </c>
      <c r="B8239">
        <v>8.2255447556563555E-2</v>
      </c>
    </row>
    <row r="8240" spans="1:2" x14ac:dyDescent="0.25">
      <c r="A8240">
        <v>8211</v>
      </c>
      <c r="B8240">
        <v>0.17018957349081112</v>
      </c>
    </row>
    <row r="8241" spans="1:2" x14ac:dyDescent="0.25">
      <c r="A8241">
        <v>8212</v>
      </c>
      <c r="B8241">
        <v>0.14687967653594525</v>
      </c>
    </row>
    <row r="8242" spans="1:2" x14ac:dyDescent="0.25">
      <c r="A8242">
        <v>8213</v>
      </c>
      <c r="B8242">
        <v>0.29347887317835925</v>
      </c>
    </row>
    <row r="8243" spans="1:2" x14ac:dyDescent="0.25">
      <c r="A8243">
        <v>8214</v>
      </c>
      <c r="B8243">
        <v>8.820724944383955E-2</v>
      </c>
    </row>
    <row r="8244" spans="1:2" x14ac:dyDescent="0.25">
      <c r="A8244">
        <v>8215</v>
      </c>
      <c r="B8244">
        <v>4.8291209731070518E-2</v>
      </c>
    </row>
    <row r="8245" spans="1:2" x14ac:dyDescent="0.25">
      <c r="A8245">
        <v>8216</v>
      </c>
      <c r="B8245">
        <v>0.37590987650959218</v>
      </c>
    </row>
    <row r="8246" spans="1:2" x14ac:dyDescent="0.25">
      <c r="A8246">
        <v>8217</v>
      </c>
      <c r="B8246">
        <v>0.2396360068431394</v>
      </c>
    </row>
    <row r="8247" spans="1:2" x14ac:dyDescent="0.25">
      <c r="A8247">
        <v>8218</v>
      </c>
      <c r="B8247">
        <v>0.17757647885339259</v>
      </c>
    </row>
    <row r="8248" spans="1:2" x14ac:dyDescent="0.25">
      <c r="A8248">
        <v>8219</v>
      </c>
      <c r="B8248">
        <v>6.9577183721854036E-2</v>
      </c>
    </row>
    <row r="8249" spans="1:2" x14ac:dyDescent="0.25">
      <c r="A8249">
        <v>8220</v>
      </c>
      <c r="B8249">
        <v>0.34839132007406459</v>
      </c>
    </row>
    <row r="8250" spans="1:2" x14ac:dyDescent="0.25">
      <c r="A8250">
        <v>8221</v>
      </c>
      <c r="B8250">
        <v>0.3355411139535231</v>
      </c>
    </row>
    <row r="8251" spans="1:2" x14ac:dyDescent="0.25">
      <c r="A8251">
        <v>8222</v>
      </c>
      <c r="B8251">
        <v>0.14739796754246492</v>
      </c>
    </row>
    <row r="8252" spans="1:2" x14ac:dyDescent="0.25">
      <c r="A8252">
        <v>8223</v>
      </c>
      <c r="B8252">
        <v>0.25771246512924839</v>
      </c>
    </row>
    <row r="8253" spans="1:2" x14ac:dyDescent="0.25">
      <c r="A8253">
        <v>8224</v>
      </c>
      <c r="B8253">
        <v>0.15209693562237958</v>
      </c>
    </row>
    <row r="8254" spans="1:2" x14ac:dyDescent="0.25">
      <c r="A8254">
        <v>8225</v>
      </c>
      <c r="B8254">
        <v>0.25345774247704717</v>
      </c>
    </row>
    <row r="8255" spans="1:2" x14ac:dyDescent="0.25">
      <c r="A8255">
        <v>8226</v>
      </c>
      <c r="B8255">
        <v>0.44995505994846524</v>
      </c>
    </row>
    <row r="8256" spans="1:2" x14ac:dyDescent="0.25">
      <c r="A8256">
        <v>8227</v>
      </c>
      <c r="B8256">
        <v>0.19630510622684536</v>
      </c>
    </row>
    <row r="8257" spans="1:2" x14ac:dyDescent="0.25">
      <c r="A8257">
        <v>8228</v>
      </c>
      <c r="B8257">
        <v>6.7830158602942225E-2</v>
      </c>
    </row>
    <row r="8258" spans="1:2" x14ac:dyDescent="0.25">
      <c r="A8258">
        <v>8229</v>
      </c>
      <c r="B8258">
        <v>0.38919029972856589</v>
      </c>
    </row>
    <row r="8259" spans="1:2" x14ac:dyDescent="0.25">
      <c r="A8259">
        <v>8230</v>
      </c>
      <c r="B8259">
        <v>0.17689728509021643</v>
      </c>
    </row>
    <row r="8260" spans="1:2" x14ac:dyDescent="0.25">
      <c r="A8260">
        <v>8231</v>
      </c>
      <c r="B8260">
        <v>0.16887244922798519</v>
      </c>
    </row>
    <row r="8261" spans="1:2" x14ac:dyDescent="0.25">
      <c r="A8261">
        <v>8232</v>
      </c>
      <c r="B8261">
        <v>0.23309392939997675</v>
      </c>
    </row>
    <row r="8262" spans="1:2" x14ac:dyDescent="0.25">
      <c r="A8262">
        <v>8233</v>
      </c>
      <c r="B8262">
        <v>0.25252883088509265</v>
      </c>
    </row>
    <row r="8263" spans="1:2" x14ac:dyDescent="0.25">
      <c r="A8263">
        <v>8234</v>
      </c>
      <c r="B8263">
        <v>0.19747157163698517</v>
      </c>
    </row>
    <row r="8264" spans="1:2" x14ac:dyDescent="0.25">
      <c r="A8264">
        <v>8235</v>
      </c>
      <c r="B8264">
        <v>0.14410972407811812</v>
      </c>
    </row>
    <row r="8265" spans="1:2" x14ac:dyDescent="0.25">
      <c r="A8265">
        <v>8236</v>
      </c>
      <c r="B8265">
        <v>0.46262990290917783</v>
      </c>
    </row>
    <row r="8266" spans="1:2" x14ac:dyDescent="0.25">
      <c r="A8266">
        <v>8237</v>
      </c>
      <c r="B8266">
        <v>2.5053536722598732E-2</v>
      </c>
    </row>
    <row r="8267" spans="1:2" x14ac:dyDescent="0.25">
      <c r="A8267">
        <v>8238</v>
      </c>
      <c r="B8267">
        <v>0.1270907988956809</v>
      </c>
    </row>
    <row r="8268" spans="1:2" x14ac:dyDescent="0.25">
      <c r="A8268">
        <v>8239</v>
      </c>
      <c r="B8268">
        <v>0.20313296286083918</v>
      </c>
    </row>
    <row r="8269" spans="1:2" x14ac:dyDescent="0.25">
      <c r="A8269">
        <v>8240</v>
      </c>
      <c r="B8269">
        <v>0.45595055775788562</v>
      </c>
    </row>
    <row r="8270" spans="1:2" x14ac:dyDescent="0.25">
      <c r="A8270">
        <v>8241</v>
      </c>
      <c r="B8270">
        <v>0.35672663372978847</v>
      </c>
    </row>
    <row r="8271" spans="1:2" x14ac:dyDescent="0.25">
      <c r="A8271">
        <v>8242</v>
      </c>
      <c r="B8271">
        <v>5.9080979052397183E-2</v>
      </c>
    </row>
    <row r="8272" spans="1:2" x14ac:dyDescent="0.25">
      <c r="A8272">
        <v>8243</v>
      </c>
      <c r="B8272">
        <v>9.2010661062538912E-2</v>
      </c>
    </row>
    <row r="8273" spans="1:2" x14ac:dyDescent="0.25">
      <c r="A8273">
        <v>8244</v>
      </c>
      <c r="B8273">
        <v>0.37963307720601835</v>
      </c>
    </row>
    <row r="8274" spans="1:2" x14ac:dyDescent="0.25">
      <c r="A8274">
        <v>8245</v>
      </c>
      <c r="B8274">
        <v>0.18106173042943366</v>
      </c>
    </row>
    <row r="8275" spans="1:2" x14ac:dyDescent="0.25">
      <c r="A8275">
        <v>8246</v>
      </c>
      <c r="B8275">
        <v>0.21742174383770752</v>
      </c>
    </row>
    <row r="8276" spans="1:2" x14ac:dyDescent="0.25">
      <c r="A8276">
        <v>8247</v>
      </c>
      <c r="B8276">
        <v>0.52975475338810896</v>
      </c>
    </row>
    <row r="8277" spans="1:2" x14ac:dyDescent="0.25">
      <c r="A8277">
        <v>8248</v>
      </c>
      <c r="B8277">
        <v>9.8732431574460933E-2</v>
      </c>
    </row>
    <row r="8278" spans="1:2" x14ac:dyDescent="0.25">
      <c r="A8278">
        <v>8249</v>
      </c>
      <c r="B8278">
        <v>0.11954975094166459</v>
      </c>
    </row>
    <row r="8279" spans="1:2" x14ac:dyDescent="0.25">
      <c r="A8279">
        <v>8250</v>
      </c>
      <c r="B8279">
        <v>0.29975403063542078</v>
      </c>
    </row>
    <row r="8280" spans="1:2" x14ac:dyDescent="0.25">
      <c r="A8280">
        <v>8251</v>
      </c>
      <c r="B8280">
        <v>0.72149936945888171</v>
      </c>
    </row>
    <row r="8281" spans="1:2" x14ac:dyDescent="0.25">
      <c r="A8281">
        <v>8252</v>
      </c>
      <c r="B8281">
        <v>0.19767688828054317</v>
      </c>
    </row>
    <row r="8282" spans="1:2" x14ac:dyDescent="0.25">
      <c r="A8282">
        <v>8253</v>
      </c>
      <c r="B8282">
        <v>0.43010578865966614</v>
      </c>
    </row>
    <row r="8283" spans="1:2" x14ac:dyDescent="0.25">
      <c r="A8283">
        <v>8254</v>
      </c>
      <c r="B8283">
        <v>0.54401738573882796</v>
      </c>
    </row>
    <row r="8284" spans="1:2" x14ac:dyDescent="0.25">
      <c r="A8284">
        <v>8255</v>
      </c>
      <c r="B8284">
        <v>0.22049894257328181</v>
      </c>
    </row>
    <row r="8285" spans="1:2" x14ac:dyDescent="0.25">
      <c r="A8285">
        <v>8256</v>
      </c>
      <c r="B8285">
        <v>0.14423571554277306</v>
      </c>
    </row>
    <row r="8286" spans="1:2" x14ac:dyDescent="0.25">
      <c r="A8286">
        <v>8257</v>
      </c>
      <c r="B8286">
        <v>0.66675361875528671</v>
      </c>
    </row>
    <row r="8287" spans="1:2" x14ac:dyDescent="0.25">
      <c r="A8287">
        <v>8258</v>
      </c>
      <c r="B8287">
        <v>0.2032058913076232</v>
      </c>
    </row>
    <row r="8288" spans="1:2" x14ac:dyDescent="0.25">
      <c r="A8288">
        <v>8259</v>
      </c>
      <c r="B8288">
        <v>0.13751087621919167</v>
      </c>
    </row>
    <row r="8289" spans="1:2" x14ac:dyDescent="0.25">
      <c r="A8289">
        <v>8260</v>
      </c>
      <c r="B8289">
        <v>7.8906323279090612E-2</v>
      </c>
    </row>
    <row r="8290" spans="1:2" x14ac:dyDescent="0.25">
      <c r="A8290">
        <v>8261</v>
      </c>
      <c r="B8290">
        <v>0.32947205395718882</v>
      </c>
    </row>
    <row r="8291" spans="1:2" x14ac:dyDescent="0.25">
      <c r="A8291">
        <v>8262</v>
      </c>
      <c r="B8291">
        <v>0.37275899118939176</v>
      </c>
    </row>
    <row r="8292" spans="1:2" x14ac:dyDescent="0.25">
      <c r="A8292">
        <v>8263</v>
      </c>
      <c r="B8292">
        <v>0.43518809055450236</v>
      </c>
    </row>
    <row r="8293" spans="1:2" x14ac:dyDescent="0.25">
      <c r="A8293">
        <v>8264</v>
      </c>
      <c r="B8293">
        <v>7.9723958901731562E-2</v>
      </c>
    </row>
    <row r="8294" spans="1:2" x14ac:dyDescent="0.25">
      <c r="A8294">
        <v>8265</v>
      </c>
      <c r="B8294">
        <v>0.16771290991129648</v>
      </c>
    </row>
    <row r="8295" spans="1:2" x14ac:dyDescent="0.25">
      <c r="A8295">
        <v>8266</v>
      </c>
      <c r="B8295">
        <v>9.1107378706098779E-2</v>
      </c>
    </row>
    <row r="8296" spans="1:2" x14ac:dyDescent="0.25">
      <c r="A8296">
        <v>8267</v>
      </c>
      <c r="B8296">
        <v>4.8350704797509858E-2</v>
      </c>
    </row>
    <row r="8297" spans="1:2" x14ac:dyDescent="0.25">
      <c r="A8297">
        <v>8268</v>
      </c>
      <c r="B8297">
        <v>0.11218115012990947</v>
      </c>
    </row>
    <row r="8298" spans="1:2" x14ac:dyDescent="0.25">
      <c r="A8298">
        <v>8269</v>
      </c>
      <c r="B8298">
        <v>0.20310115141644255</v>
      </c>
    </row>
    <row r="8299" spans="1:2" x14ac:dyDescent="0.25">
      <c r="A8299">
        <v>8270</v>
      </c>
      <c r="B8299">
        <v>0.22422529779492661</v>
      </c>
    </row>
    <row r="8300" spans="1:2" x14ac:dyDescent="0.25">
      <c r="A8300">
        <v>8271</v>
      </c>
      <c r="B8300">
        <v>0.28958255542813693</v>
      </c>
    </row>
    <row r="8301" spans="1:2" x14ac:dyDescent="0.25">
      <c r="A8301">
        <v>8272</v>
      </c>
      <c r="B8301">
        <v>0.19964733497464721</v>
      </c>
    </row>
    <row r="8302" spans="1:2" x14ac:dyDescent="0.25">
      <c r="A8302">
        <v>8273</v>
      </c>
      <c r="B8302">
        <v>5.0483599188295251E-2</v>
      </c>
    </row>
    <row r="8303" spans="1:2" x14ac:dyDescent="0.25">
      <c r="A8303">
        <v>8274</v>
      </c>
      <c r="B8303">
        <v>0.26684811637225281</v>
      </c>
    </row>
    <row r="8304" spans="1:2" x14ac:dyDescent="0.25">
      <c r="A8304">
        <v>8275</v>
      </c>
      <c r="B8304">
        <v>0.50259220000980209</v>
      </c>
    </row>
    <row r="8305" spans="1:2" x14ac:dyDescent="0.25">
      <c r="A8305">
        <v>8276</v>
      </c>
      <c r="B8305">
        <v>7.980119036245574E-2</v>
      </c>
    </row>
    <row r="8306" spans="1:2" x14ac:dyDescent="0.25">
      <c r="A8306">
        <v>8277</v>
      </c>
      <c r="B8306">
        <v>0.2586085504166038</v>
      </c>
    </row>
    <row r="8307" spans="1:2" x14ac:dyDescent="0.25">
      <c r="A8307">
        <v>8278</v>
      </c>
      <c r="B8307">
        <v>7.3632243810171846E-2</v>
      </c>
    </row>
    <row r="8308" spans="1:2" x14ac:dyDescent="0.25">
      <c r="A8308">
        <v>8279</v>
      </c>
      <c r="B8308">
        <v>5.3048942664207767E-2</v>
      </c>
    </row>
    <row r="8309" spans="1:2" x14ac:dyDescent="0.25">
      <c r="A8309">
        <v>8280</v>
      </c>
      <c r="B8309">
        <v>0.48148368746339304</v>
      </c>
    </row>
    <row r="8310" spans="1:2" x14ac:dyDescent="0.25">
      <c r="A8310">
        <v>8281</v>
      </c>
      <c r="B8310">
        <v>0.14234828898624746</v>
      </c>
    </row>
    <row r="8311" spans="1:2" x14ac:dyDescent="0.25">
      <c r="A8311">
        <v>8282</v>
      </c>
      <c r="B8311">
        <v>8.8092691015069099E-2</v>
      </c>
    </row>
    <row r="8312" spans="1:2" x14ac:dyDescent="0.25">
      <c r="A8312">
        <v>8283</v>
      </c>
      <c r="B8312">
        <v>0.14480972251384414</v>
      </c>
    </row>
    <row r="8313" spans="1:2" x14ac:dyDescent="0.25">
      <c r="A8313">
        <v>8284</v>
      </c>
      <c r="B8313">
        <v>0.1056859689193651</v>
      </c>
    </row>
    <row r="8314" spans="1:2" x14ac:dyDescent="0.25">
      <c r="A8314">
        <v>8285</v>
      </c>
      <c r="B8314">
        <v>8.6233367103652134E-2</v>
      </c>
    </row>
    <row r="8315" spans="1:2" x14ac:dyDescent="0.25">
      <c r="A8315">
        <v>8286</v>
      </c>
      <c r="B8315">
        <v>0.47331102385896445</v>
      </c>
    </row>
    <row r="8316" spans="1:2" x14ac:dyDescent="0.25">
      <c r="A8316">
        <v>8287</v>
      </c>
      <c r="B8316">
        <v>0.13131886413283739</v>
      </c>
    </row>
    <row r="8317" spans="1:2" x14ac:dyDescent="0.25">
      <c r="A8317">
        <v>8288</v>
      </c>
      <c r="B8317">
        <v>0.24287869652483188</v>
      </c>
    </row>
    <row r="8318" spans="1:2" x14ac:dyDescent="0.25">
      <c r="A8318">
        <v>8289</v>
      </c>
      <c r="B8318">
        <v>0.17216341464262619</v>
      </c>
    </row>
    <row r="8319" spans="1:2" x14ac:dyDescent="0.25">
      <c r="A8319">
        <v>8290</v>
      </c>
      <c r="B8319">
        <v>0.19800141062609242</v>
      </c>
    </row>
    <row r="8320" spans="1:2" x14ac:dyDescent="0.25">
      <c r="A8320">
        <v>8291</v>
      </c>
      <c r="B8320">
        <v>9.748191980725289E-2</v>
      </c>
    </row>
    <row r="8321" spans="1:2" x14ac:dyDescent="0.25">
      <c r="A8321">
        <v>8292</v>
      </c>
      <c r="B8321">
        <v>0.10786329070721763</v>
      </c>
    </row>
    <row r="8322" spans="1:2" x14ac:dyDescent="0.25">
      <c r="A8322">
        <v>8293</v>
      </c>
      <c r="B8322">
        <v>0.17822014985283186</v>
      </c>
    </row>
    <row r="8323" spans="1:2" x14ac:dyDescent="0.25">
      <c r="A8323">
        <v>8294</v>
      </c>
      <c r="B8323">
        <v>0.20594735529734476</v>
      </c>
    </row>
    <row r="8324" spans="1:2" x14ac:dyDescent="0.25">
      <c r="A8324">
        <v>8295</v>
      </c>
      <c r="B8324">
        <v>8.2436107911138576E-2</v>
      </c>
    </row>
    <row r="8325" spans="1:2" x14ac:dyDescent="0.25">
      <c r="A8325">
        <v>8296</v>
      </c>
      <c r="B8325">
        <v>0.15686832263075265</v>
      </c>
    </row>
    <row r="8326" spans="1:2" x14ac:dyDescent="0.25">
      <c r="A8326">
        <v>8297</v>
      </c>
      <c r="B8326">
        <v>0.51102986966862418</v>
      </c>
    </row>
    <row r="8327" spans="1:2" x14ac:dyDescent="0.25">
      <c r="A8327">
        <v>8298</v>
      </c>
      <c r="B8327">
        <v>5.9843876391883641E-2</v>
      </c>
    </row>
    <row r="8328" spans="1:2" x14ac:dyDescent="0.25">
      <c r="A8328">
        <v>8299</v>
      </c>
      <c r="B8328">
        <v>0.16668961197950236</v>
      </c>
    </row>
    <row r="8329" spans="1:2" x14ac:dyDescent="0.25">
      <c r="A8329">
        <v>8300</v>
      </c>
      <c r="B8329">
        <v>0.1016621074162536</v>
      </c>
    </row>
    <row r="8330" spans="1:2" x14ac:dyDescent="0.25">
      <c r="A8330">
        <v>8301</v>
      </c>
      <c r="B8330">
        <v>0.326097620383411</v>
      </c>
    </row>
    <row r="8331" spans="1:2" x14ac:dyDescent="0.25">
      <c r="A8331">
        <v>8302</v>
      </c>
      <c r="B8331">
        <v>0.2320264564009758</v>
      </c>
    </row>
    <row r="8332" spans="1:2" x14ac:dyDescent="0.25">
      <c r="A8332">
        <v>8303</v>
      </c>
      <c r="B8332">
        <v>0.17650299365650249</v>
      </c>
    </row>
    <row r="8333" spans="1:2" x14ac:dyDescent="0.25">
      <c r="A8333">
        <v>8304</v>
      </c>
      <c r="B8333">
        <v>0.13928381785769675</v>
      </c>
    </row>
    <row r="8334" spans="1:2" x14ac:dyDescent="0.25">
      <c r="A8334">
        <v>8305</v>
      </c>
      <c r="B8334">
        <v>0.51271462893937603</v>
      </c>
    </row>
    <row r="8335" spans="1:2" x14ac:dyDescent="0.25">
      <c r="A8335">
        <v>8306</v>
      </c>
      <c r="B8335">
        <v>0.2180396767952486</v>
      </c>
    </row>
    <row r="8336" spans="1:2" x14ac:dyDescent="0.25">
      <c r="A8336">
        <v>8307</v>
      </c>
      <c r="B8336">
        <v>0.20377532507482155</v>
      </c>
    </row>
    <row r="8337" spans="1:2" x14ac:dyDescent="0.25">
      <c r="A8337">
        <v>8308</v>
      </c>
      <c r="B8337">
        <v>0.19037647537372876</v>
      </c>
    </row>
    <row r="8338" spans="1:2" x14ac:dyDescent="0.25">
      <c r="A8338">
        <v>8309</v>
      </c>
      <c r="B8338">
        <v>0.14961012294055054</v>
      </c>
    </row>
    <row r="8339" spans="1:2" x14ac:dyDescent="0.25">
      <c r="A8339">
        <v>8310</v>
      </c>
      <c r="B8339">
        <v>0.14038209016477629</v>
      </c>
    </row>
    <row r="8340" spans="1:2" x14ac:dyDescent="0.25">
      <c r="A8340">
        <v>8311</v>
      </c>
      <c r="B8340">
        <v>0.30208057157406976</v>
      </c>
    </row>
    <row r="8341" spans="1:2" x14ac:dyDescent="0.25">
      <c r="A8341">
        <v>8312</v>
      </c>
      <c r="B8341">
        <v>0.13759436381793008</v>
      </c>
    </row>
    <row r="8342" spans="1:2" x14ac:dyDescent="0.25">
      <c r="A8342">
        <v>8313</v>
      </c>
      <c r="B8342">
        <v>0.15913720513993002</v>
      </c>
    </row>
    <row r="8343" spans="1:2" x14ac:dyDescent="0.25">
      <c r="A8343">
        <v>8314</v>
      </c>
      <c r="B8343">
        <v>0.49589861689580877</v>
      </c>
    </row>
    <row r="8344" spans="1:2" x14ac:dyDescent="0.25">
      <c r="A8344">
        <v>8315</v>
      </c>
      <c r="B8344">
        <v>9.2498945069727931E-2</v>
      </c>
    </row>
    <row r="8345" spans="1:2" x14ac:dyDescent="0.25">
      <c r="A8345">
        <v>8316</v>
      </c>
      <c r="B8345">
        <v>9.2872295815971756E-2</v>
      </c>
    </row>
    <row r="8346" spans="1:2" x14ac:dyDescent="0.25">
      <c r="A8346">
        <v>8317</v>
      </c>
      <c r="B8346">
        <v>0.30510307600454389</v>
      </c>
    </row>
    <row r="8347" spans="1:2" x14ac:dyDescent="0.25">
      <c r="A8347">
        <v>8318</v>
      </c>
      <c r="B8347">
        <v>0.35367696397900161</v>
      </c>
    </row>
    <row r="8348" spans="1:2" x14ac:dyDescent="0.25">
      <c r="A8348">
        <v>8319</v>
      </c>
      <c r="B8348">
        <v>0.11552572022373719</v>
      </c>
    </row>
    <row r="8349" spans="1:2" x14ac:dyDescent="0.25">
      <c r="A8349">
        <v>8320</v>
      </c>
      <c r="B8349">
        <v>0.44843122332327556</v>
      </c>
    </row>
    <row r="8350" spans="1:2" x14ac:dyDescent="0.25">
      <c r="A8350">
        <v>8321</v>
      </c>
      <c r="B8350">
        <v>0.31775498373190003</v>
      </c>
    </row>
    <row r="8351" spans="1:2" x14ac:dyDescent="0.25">
      <c r="A8351">
        <v>8322</v>
      </c>
      <c r="B8351">
        <v>0.34431619189881235</v>
      </c>
    </row>
    <row r="8352" spans="1:2" x14ac:dyDescent="0.25">
      <c r="A8352">
        <v>8323</v>
      </c>
      <c r="B8352">
        <v>0.19710334624271394</v>
      </c>
    </row>
    <row r="8353" spans="1:2" x14ac:dyDescent="0.25">
      <c r="A8353">
        <v>8324</v>
      </c>
      <c r="B8353">
        <v>0.22136741292569817</v>
      </c>
    </row>
    <row r="8354" spans="1:2" x14ac:dyDescent="0.25">
      <c r="A8354">
        <v>8325</v>
      </c>
      <c r="B8354">
        <v>0.24207140885563172</v>
      </c>
    </row>
    <row r="8355" spans="1:2" x14ac:dyDescent="0.25">
      <c r="A8355">
        <v>8326</v>
      </c>
      <c r="B8355">
        <v>0.13248833923446574</v>
      </c>
    </row>
    <row r="8356" spans="1:2" x14ac:dyDescent="0.25">
      <c r="A8356">
        <v>8327</v>
      </c>
      <c r="B8356">
        <v>0.10210873119695439</v>
      </c>
    </row>
    <row r="8357" spans="1:2" x14ac:dyDescent="0.25">
      <c r="A8357">
        <v>8328</v>
      </c>
      <c r="B8357">
        <v>0.11973729146744878</v>
      </c>
    </row>
    <row r="8358" spans="1:2" x14ac:dyDescent="0.25">
      <c r="A8358">
        <v>8329</v>
      </c>
      <c r="B8358">
        <v>0.17689913433456658</v>
      </c>
    </row>
    <row r="8359" spans="1:2" x14ac:dyDescent="0.25">
      <c r="A8359">
        <v>8330</v>
      </c>
      <c r="B8359">
        <v>0.16129199372711486</v>
      </c>
    </row>
    <row r="8360" spans="1:2" x14ac:dyDescent="0.25">
      <c r="A8360">
        <v>8331</v>
      </c>
      <c r="B8360">
        <v>0.26308921969677029</v>
      </c>
    </row>
    <row r="8361" spans="1:2" x14ac:dyDescent="0.25">
      <c r="A8361">
        <v>8332</v>
      </c>
      <c r="B8361">
        <v>0.41054597577537177</v>
      </c>
    </row>
    <row r="8362" spans="1:2" x14ac:dyDescent="0.25">
      <c r="A8362">
        <v>8333</v>
      </c>
      <c r="B8362">
        <v>0.54721048604668188</v>
      </c>
    </row>
    <row r="8363" spans="1:2" x14ac:dyDescent="0.25">
      <c r="A8363">
        <v>8334</v>
      </c>
      <c r="B8363">
        <v>0.25889538434723713</v>
      </c>
    </row>
    <row r="8364" spans="1:2" x14ac:dyDescent="0.25">
      <c r="A8364">
        <v>8335</v>
      </c>
      <c r="B8364">
        <v>0.18145539457137527</v>
      </c>
    </row>
    <row r="8365" spans="1:2" x14ac:dyDescent="0.25">
      <c r="A8365">
        <v>8336</v>
      </c>
      <c r="B8365">
        <v>0.3050652498925856</v>
      </c>
    </row>
    <row r="8366" spans="1:2" x14ac:dyDescent="0.25">
      <c r="A8366">
        <v>8337</v>
      </c>
      <c r="B8366">
        <v>0.29789381389817432</v>
      </c>
    </row>
    <row r="8367" spans="1:2" x14ac:dyDescent="0.25">
      <c r="A8367">
        <v>8338</v>
      </c>
      <c r="B8367">
        <v>0.14638694713620667</v>
      </c>
    </row>
    <row r="8368" spans="1:2" x14ac:dyDescent="0.25">
      <c r="A8368">
        <v>8339</v>
      </c>
      <c r="B8368">
        <v>0.19996918796189095</v>
      </c>
    </row>
    <row r="8369" spans="1:2" x14ac:dyDescent="0.25">
      <c r="A8369">
        <v>8340</v>
      </c>
      <c r="B8369">
        <v>0.22030815024455233</v>
      </c>
    </row>
    <row r="8370" spans="1:2" x14ac:dyDescent="0.25">
      <c r="A8370">
        <v>8341</v>
      </c>
      <c r="B8370">
        <v>0.22828225690514073</v>
      </c>
    </row>
    <row r="8371" spans="1:2" x14ac:dyDescent="0.25">
      <c r="A8371">
        <v>8342</v>
      </c>
      <c r="B8371">
        <v>4.7458952886270653E-2</v>
      </c>
    </row>
    <row r="8372" spans="1:2" x14ac:dyDescent="0.25">
      <c r="A8372">
        <v>8343</v>
      </c>
      <c r="B8372">
        <v>7.4916683211242785E-2</v>
      </c>
    </row>
    <row r="8373" spans="1:2" x14ac:dyDescent="0.25">
      <c r="A8373">
        <v>8344</v>
      </c>
      <c r="B8373">
        <v>7.7295878838899157E-2</v>
      </c>
    </row>
    <row r="8374" spans="1:2" x14ac:dyDescent="0.25">
      <c r="A8374">
        <v>8345</v>
      </c>
      <c r="B8374">
        <v>0.32348943552157827</v>
      </c>
    </row>
    <row r="8375" spans="1:2" x14ac:dyDescent="0.25">
      <c r="A8375">
        <v>8346</v>
      </c>
      <c r="B8375">
        <v>0.29926816381740851</v>
      </c>
    </row>
    <row r="8376" spans="1:2" x14ac:dyDescent="0.25">
      <c r="A8376">
        <v>8347</v>
      </c>
      <c r="B8376">
        <v>0.15064047468274655</v>
      </c>
    </row>
    <row r="8377" spans="1:2" x14ac:dyDescent="0.25">
      <c r="A8377">
        <v>8348</v>
      </c>
      <c r="B8377">
        <v>0.15178063383231499</v>
      </c>
    </row>
    <row r="8378" spans="1:2" x14ac:dyDescent="0.25">
      <c r="A8378">
        <v>8349</v>
      </c>
      <c r="B8378">
        <v>0.15138022726200065</v>
      </c>
    </row>
    <row r="8379" spans="1:2" x14ac:dyDescent="0.25">
      <c r="A8379">
        <v>8350</v>
      </c>
      <c r="B8379">
        <v>8.7163109806615569E-2</v>
      </c>
    </row>
    <row r="8380" spans="1:2" x14ac:dyDescent="0.25">
      <c r="A8380">
        <v>8351</v>
      </c>
      <c r="B8380">
        <v>0.2748149281620933</v>
      </c>
    </row>
    <row r="8381" spans="1:2" x14ac:dyDescent="0.25">
      <c r="A8381">
        <v>8352</v>
      </c>
      <c r="B8381">
        <v>0.10464016086398756</v>
      </c>
    </row>
    <row r="8382" spans="1:2" x14ac:dyDescent="0.25">
      <c r="A8382">
        <v>8353</v>
      </c>
      <c r="B8382">
        <v>0.32420499310897372</v>
      </c>
    </row>
    <row r="8383" spans="1:2" x14ac:dyDescent="0.25">
      <c r="A8383">
        <v>8354</v>
      </c>
      <c r="B8383">
        <v>0.14543826875991697</v>
      </c>
    </row>
    <row r="8384" spans="1:2" x14ac:dyDescent="0.25">
      <c r="A8384">
        <v>8355</v>
      </c>
      <c r="B8384">
        <v>0.31895619752493826</v>
      </c>
    </row>
    <row r="8385" spans="1:2" x14ac:dyDescent="0.25">
      <c r="A8385">
        <v>8356</v>
      </c>
      <c r="B8385">
        <v>0.42457311643358275</v>
      </c>
    </row>
    <row r="8386" spans="1:2" x14ac:dyDescent="0.25">
      <c r="A8386">
        <v>8357</v>
      </c>
      <c r="B8386">
        <v>0.11473497402215727</v>
      </c>
    </row>
    <row r="8387" spans="1:2" x14ac:dyDescent="0.25">
      <c r="A8387">
        <v>8358</v>
      </c>
      <c r="B8387">
        <v>0.14324480875904069</v>
      </c>
    </row>
    <row r="8388" spans="1:2" x14ac:dyDescent="0.25">
      <c r="A8388">
        <v>8359</v>
      </c>
      <c r="B8388">
        <v>0.45542061398377431</v>
      </c>
    </row>
    <row r="8389" spans="1:2" x14ac:dyDescent="0.25">
      <c r="A8389">
        <v>8360</v>
      </c>
      <c r="B8389">
        <v>0.13650950727459771</v>
      </c>
    </row>
    <row r="8390" spans="1:2" x14ac:dyDescent="0.25">
      <c r="A8390">
        <v>8361</v>
      </c>
      <c r="B8390">
        <v>0.38716064861587512</v>
      </c>
    </row>
    <row r="8391" spans="1:2" x14ac:dyDescent="0.25">
      <c r="A8391">
        <v>8362</v>
      </c>
      <c r="B8391">
        <v>0.29697914272424569</v>
      </c>
    </row>
    <row r="8392" spans="1:2" x14ac:dyDescent="0.25">
      <c r="A8392">
        <v>8363</v>
      </c>
      <c r="B8392">
        <v>0.39298501679743808</v>
      </c>
    </row>
    <row r="8393" spans="1:2" x14ac:dyDescent="0.25">
      <c r="A8393">
        <v>8364</v>
      </c>
      <c r="B8393">
        <v>0.4449538292695952</v>
      </c>
    </row>
    <row r="8394" spans="1:2" x14ac:dyDescent="0.25">
      <c r="A8394">
        <v>8365</v>
      </c>
      <c r="B8394">
        <v>6.2788851438042984E-2</v>
      </c>
    </row>
    <row r="8395" spans="1:2" x14ac:dyDescent="0.25">
      <c r="A8395">
        <v>8366</v>
      </c>
      <c r="B8395">
        <v>0.47193757566136157</v>
      </c>
    </row>
    <row r="8396" spans="1:2" x14ac:dyDescent="0.25">
      <c r="A8396">
        <v>8367</v>
      </c>
      <c r="B8396">
        <v>0.11931474600212853</v>
      </c>
    </row>
    <row r="8397" spans="1:2" x14ac:dyDescent="0.25">
      <c r="A8397">
        <v>8368</v>
      </c>
      <c r="B8397">
        <v>0.16523717854775286</v>
      </c>
    </row>
    <row r="8398" spans="1:2" x14ac:dyDescent="0.25">
      <c r="A8398">
        <v>8369</v>
      </c>
      <c r="B8398">
        <v>2.7844199716076403E-2</v>
      </c>
    </row>
    <row r="8399" spans="1:2" x14ac:dyDescent="0.25">
      <c r="A8399">
        <v>8370</v>
      </c>
      <c r="B8399">
        <v>0.20134380182420863</v>
      </c>
    </row>
    <row r="8400" spans="1:2" x14ac:dyDescent="0.25">
      <c r="A8400">
        <v>8371</v>
      </c>
      <c r="B8400">
        <v>0.6840389625191361</v>
      </c>
    </row>
    <row r="8401" spans="1:2" x14ac:dyDescent="0.25">
      <c r="A8401">
        <v>8372</v>
      </c>
      <c r="B8401">
        <v>0.40578821553189015</v>
      </c>
    </row>
    <row r="8402" spans="1:2" x14ac:dyDescent="0.25">
      <c r="A8402">
        <v>8373</v>
      </c>
      <c r="B8402">
        <v>9.9230129406310721E-2</v>
      </c>
    </row>
    <row r="8403" spans="1:2" x14ac:dyDescent="0.25">
      <c r="A8403">
        <v>8374</v>
      </c>
      <c r="B8403">
        <v>0.14854634980117304</v>
      </c>
    </row>
    <row r="8404" spans="1:2" x14ac:dyDescent="0.25">
      <c r="A8404">
        <v>8375</v>
      </c>
      <c r="B8404">
        <v>0.18953179888575636</v>
      </c>
    </row>
    <row r="8405" spans="1:2" x14ac:dyDescent="0.25">
      <c r="A8405">
        <v>8376</v>
      </c>
      <c r="B8405">
        <v>0.20673621006996382</v>
      </c>
    </row>
    <row r="8406" spans="1:2" x14ac:dyDescent="0.25">
      <c r="A8406">
        <v>8377</v>
      </c>
      <c r="B8406">
        <v>0.2707959863767973</v>
      </c>
    </row>
    <row r="8407" spans="1:2" x14ac:dyDescent="0.25">
      <c r="A8407">
        <v>8378</v>
      </c>
      <c r="B8407">
        <v>0.20412041336259321</v>
      </c>
    </row>
    <row r="8408" spans="1:2" x14ac:dyDescent="0.25">
      <c r="A8408">
        <v>8379</v>
      </c>
      <c r="B8408">
        <v>8.4177723328571818E-2</v>
      </c>
    </row>
    <row r="8409" spans="1:2" x14ac:dyDescent="0.25">
      <c r="A8409">
        <v>8380</v>
      </c>
      <c r="B8409">
        <v>0.26622264138632118</v>
      </c>
    </row>
    <row r="8410" spans="1:2" x14ac:dyDescent="0.25">
      <c r="A8410">
        <v>8381</v>
      </c>
      <c r="B8410">
        <v>0.22833733226887792</v>
      </c>
    </row>
    <row r="8411" spans="1:2" x14ac:dyDescent="0.25">
      <c r="A8411">
        <v>8382</v>
      </c>
      <c r="B8411">
        <v>8.0216642099779661E-2</v>
      </c>
    </row>
    <row r="8412" spans="1:2" x14ac:dyDescent="0.25">
      <c r="A8412">
        <v>8383</v>
      </c>
      <c r="B8412">
        <v>0.46314099027201783</v>
      </c>
    </row>
    <row r="8413" spans="1:2" x14ac:dyDescent="0.25">
      <c r="A8413">
        <v>8384</v>
      </c>
      <c r="B8413">
        <v>0.11698349683514413</v>
      </c>
    </row>
    <row r="8414" spans="1:2" x14ac:dyDescent="0.25">
      <c r="A8414">
        <v>8385</v>
      </c>
      <c r="B8414">
        <v>7.7364394272460335E-2</v>
      </c>
    </row>
    <row r="8415" spans="1:2" x14ac:dyDescent="0.25">
      <c r="A8415">
        <v>8386</v>
      </c>
      <c r="B8415">
        <v>0.44017412608575768</v>
      </c>
    </row>
    <row r="8416" spans="1:2" x14ac:dyDescent="0.25">
      <c r="A8416">
        <v>8387</v>
      </c>
      <c r="B8416">
        <v>0.46341208150035035</v>
      </c>
    </row>
    <row r="8417" spans="1:2" x14ac:dyDescent="0.25">
      <c r="A8417">
        <v>8388</v>
      </c>
      <c r="B8417">
        <v>0.18941490032923503</v>
      </c>
    </row>
    <row r="8418" spans="1:2" x14ac:dyDescent="0.25">
      <c r="A8418">
        <v>8389</v>
      </c>
      <c r="B8418">
        <v>0.15257000109364127</v>
      </c>
    </row>
    <row r="8419" spans="1:2" x14ac:dyDescent="0.25">
      <c r="A8419">
        <v>8390</v>
      </c>
      <c r="B8419">
        <v>0.45612744315251624</v>
      </c>
    </row>
    <row r="8420" spans="1:2" x14ac:dyDescent="0.25">
      <c r="A8420">
        <v>8391</v>
      </c>
      <c r="B8420">
        <v>0.17732128092207031</v>
      </c>
    </row>
    <row r="8421" spans="1:2" x14ac:dyDescent="0.25">
      <c r="A8421">
        <v>8392</v>
      </c>
      <c r="B8421">
        <v>0.17731067951433638</v>
      </c>
    </row>
    <row r="8422" spans="1:2" x14ac:dyDescent="0.25">
      <c r="A8422">
        <v>8393</v>
      </c>
      <c r="B8422">
        <v>0.16744487155634458</v>
      </c>
    </row>
    <row r="8423" spans="1:2" x14ac:dyDescent="0.25">
      <c r="A8423">
        <v>8394</v>
      </c>
      <c r="B8423">
        <v>0.16281023681465678</v>
      </c>
    </row>
    <row r="8424" spans="1:2" x14ac:dyDescent="0.25">
      <c r="A8424">
        <v>8395</v>
      </c>
      <c r="B8424">
        <v>0.29132029003367482</v>
      </c>
    </row>
    <row r="8425" spans="1:2" x14ac:dyDescent="0.25">
      <c r="A8425">
        <v>8396</v>
      </c>
      <c r="B8425">
        <v>0.51391484389428888</v>
      </c>
    </row>
    <row r="8426" spans="1:2" x14ac:dyDescent="0.25">
      <c r="A8426">
        <v>8397</v>
      </c>
      <c r="B8426">
        <v>0.10907045815945744</v>
      </c>
    </row>
    <row r="8427" spans="1:2" x14ac:dyDescent="0.25">
      <c r="A8427">
        <v>8398</v>
      </c>
      <c r="B8427">
        <v>0.10815342233232306</v>
      </c>
    </row>
    <row r="8428" spans="1:2" x14ac:dyDescent="0.25">
      <c r="A8428">
        <v>8399</v>
      </c>
      <c r="B8428">
        <v>0.28164802435053699</v>
      </c>
    </row>
    <row r="8429" spans="1:2" x14ac:dyDescent="0.25">
      <c r="A8429">
        <v>8400</v>
      </c>
      <c r="B8429">
        <v>0.64119751178271955</v>
      </c>
    </row>
    <row r="8430" spans="1:2" x14ac:dyDescent="0.25">
      <c r="A8430">
        <v>8401</v>
      </c>
      <c r="B8430">
        <v>8.6622432254394727E-2</v>
      </c>
    </row>
    <row r="8431" spans="1:2" x14ac:dyDescent="0.25">
      <c r="A8431">
        <v>8402</v>
      </c>
      <c r="B8431">
        <v>8.3575490704464878E-2</v>
      </c>
    </row>
    <row r="8432" spans="1:2" x14ac:dyDescent="0.25">
      <c r="A8432">
        <v>8403</v>
      </c>
      <c r="B8432">
        <v>0.39367470713654834</v>
      </c>
    </row>
    <row r="8433" spans="1:2" x14ac:dyDescent="0.25">
      <c r="A8433">
        <v>8404</v>
      </c>
      <c r="B8433">
        <v>0.10787619203791986</v>
      </c>
    </row>
    <row r="8434" spans="1:2" x14ac:dyDescent="0.25">
      <c r="A8434">
        <v>8405</v>
      </c>
      <c r="B8434">
        <v>0.17227702938883821</v>
      </c>
    </row>
    <row r="8435" spans="1:2" x14ac:dyDescent="0.25">
      <c r="A8435">
        <v>8406</v>
      </c>
      <c r="B8435">
        <v>0.12309815468089381</v>
      </c>
    </row>
    <row r="8436" spans="1:2" x14ac:dyDescent="0.25">
      <c r="A8436">
        <v>8407</v>
      </c>
      <c r="B8436">
        <v>0.23431784492377034</v>
      </c>
    </row>
    <row r="8437" spans="1:2" x14ac:dyDescent="0.25">
      <c r="A8437">
        <v>8408</v>
      </c>
      <c r="B8437">
        <v>0.28002737017873702</v>
      </c>
    </row>
    <row r="8438" spans="1:2" x14ac:dyDescent="0.25">
      <c r="A8438">
        <v>8409</v>
      </c>
      <c r="B8438">
        <v>0.12059056192458556</v>
      </c>
    </row>
    <row r="8439" spans="1:2" x14ac:dyDescent="0.25">
      <c r="A8439">
        <v>8410</v>
      </c>
      <c r="B8439">
        <v>0.21151335563035981</v>
      </c>
    </row>
    <row r="8440" spans="1:2" x14ac:dyDescent="0.25">
      <c r="A8440">
        <v>8411</v>
      </c>
      <c r="B8440">
        <v>0.14134271956721525</v>
      </c>
    </row>
    <row r="8441" spans="1:2" x14ac:dyDescent="0.25">
      <c r="A8441">
        <v>8412</v>
      </c>
      <c r="B8441">
        <v>0.13161592476914138</v>
      </c>
    </row>
    <row r="8442" spans="1:2" x14ac:dyDescent="0.25">
      <c r="A8442">
        <v>8413</v>
      </c>
      <c r="B8442">
        <v>0.11376693726508491</v>
      </c>
    </row>
    <row r="8443" spans="1:2" x14ac:dyDescent="0.25">
      <c r="A8443">
        <v>8414</v>
      </c>
      <c r="B8443">
        <v>0.40735681513224037</v>
      </c>
    </row>
    <row r="8444" spans="1:2" x14ac:dyDescent="0.25">
      <c r="A8444">
        <v>8415</v>
      </c>
      <c r="B8444">
        <v>0.12356902176558889</v>
      </c>
    </row>
    <row r="8445" spans="1:2" x14ac:dyDescent="0.25">
      <c r="A8445">
        <v>8416</v>
      </c>
      <c r="B8445">
        <v>0.3705232713842333</v>
      </c>
    </row>
    <row r="8446" spans="1:2" x14ac:dyDescent="0.25">
      <c r="A8446">
        <v>8417</v>
      </c>
      <c r="B8446">
        <v>0.15032498285772744</v>
      </c>
    </row>
    <row r="8447" spans="1:2" x14ac:dyDescent="0.25">
      <c r="A8447">
        <v>8418</v>
      </c>
      <c r="B8447">
        <v>0.68256591945925182</v>
      </c>
    </row>
    <row r="8448" spans="1:2" x14ac:dyDescent="0.25">
      <c r="A8448">
        <v>8419</v>
      </c>
      <c r="B8448">
        <v>0.35476565716315472</v>
      </c>
    </row>
    <row r="8449" spans="1:2" x14ac:dyDescent="0.25">
      <c r="A8449">
        <v>8420</v>
      </c>
      <c r="B8449">
        <v>0.4147233725678523</v>
      </c>
    </row>
    <row r="8450" spans="1:2" x14ac:dyDescent="0.25">
      <c r="A8450">
        <v>8421</v>
      </c>
      <c r="B8450">
        <v>0.11899676145973874</v>
      </c>
    </row>
    <row r="8451" spans="1:2" x14ac:dyDescent="0.25">
      <c r="A8451">
        <v>8422</v>
      </c>
      <c r="B8451">
        <v>0.24067948321727431</v>
      </c>
    </row>
    <row r="8452" spans="1:2" x14ac:dyDescent="0.25">
      <c r="A8452">
        <v>8423</v>
      </c>
      <c r="B8452">
        <v>0.21430271162399023</v>
      </c>
    </row>
    <row r="8453" spans="1:2" x14ac:dyDescent="0.25">
      <c r="A8453">
        <v>8424</v>
      </c>
      <c r="B8453">
        <v>0.12349737963593564</v>
      </c>
    </row>
    <row r="8454" spans="1:2" x14ac:dyDescent="0.25">
      <c r="A8454">
        <v>8425</v>
      </c>
      <c r="B8454">
        <v>5.2351349070873514E-2</v>
      </c>
    </row>
    <row r="8455" spans="1:2" x14ac:dyDescent="0.25">
      <c r="A8455">
        <v>8426</v>
      </c>
      <c r="B8455">
        <v>0.13658409819477479</v>
      </c>
    </row>
    <row r="8456" spans="1:2" x14ac:dyDescent="0.25">
      <c r="A8456">
        <v>8427</v>
      </c>
      <c r="B8456">
        <v>9.4950097228908098E-2</v>
      </c>
    </row>
    <row r="8457" spans="1:2" x14ac:dyDescent="0.25">
      <c r="A8457">
        <v>8428</v>
      </c>
      <c r="B8457">
        <v>4.6773792999960172E-2</v>
      </c>
    </row>
    <row r="8458" spans="1:2" x14ac:dyDescent="0.25">
      <c r="A8458">
        <v>8429</v>
      </c>
      <c r="B8458">
        <v>7.8642431646637256E-2</v>
      </c>
    </row>
    <row r="8459" spans="1:2" x14ac:dyDescent="0.25">
      <c r="A8459">
        <v>8430</v>
      </c>
      <c r="B8459">
        <v>0.20277767433303426</v>
      </c>
    </row>
    <row r="8460" spans="1:2" x14ac:dyDescent="0.25">
      <c r="A8460">
        <v>8431</v>
      </c>
      <c r="B8460">
        <v>5.7934402111535957E-2</v>
      </c>
    </row>
    <row r="8461" spans="1:2" x14ac:dyDescent="0.25">
      <c r="A8461">
        <v>8432</v>
      </c>
      <c r="B8461">
        <v>6.9467124181297413E-2</v>
      </c>
    </row>
    <row r="8462" spans="1:2" x14ac:dyDescent="0.25">
      <c r="A8462">
        <v>8433</v>
      </c>
      <c r="B8462">
        <v>0.23973807635968847</v>
      </c>
    </row>
    <row r="8463" spans="1:2" x14ac:dyDescent="0.25">
      <c r="A8463">
        <v>8434</v>
      </c>
      <c r="B8463">
        <v>0.13305697153376625</v>
      </c>
    </row>
    <row r="8464" spans="1:2" x14ac:dyDescent="0.25">
      <c r="A8464">
        <v>8435</v>
      </c>
      <c r="B8464">
        <v>0.16718196481973358</v>
      </c>
    </row>
    <row r="8465" spans="1:2" x14ac:dyDescent="0.25">
      <c r="A8465">
        <v>8436</v>
      </c>
      <c r="B8465">
        <v>0.17714205753459172</v>
      </c>
    </row>
    <row r="8466" spans="1:2" x14ac:dyDescent="0.25">
      <c r="A8466">
        <v>8437</v>
      </c>
      <c r="B8466">
        <v>0.30873561905259383</v>
      </c>
    </row>
    <row r="8467" spans="1:2" x14ac:dyDescent="0.25">
      <c r="A8467">
        <v>8438</v>
      </c>
      <c r="B8467">
        <v>0.19532816124904298</v>
      </c>
    </row>
    <row r="8468" spans="1:2" x14ac:dyDescent="0.25">
      <c r="A8468">
        <v>8439</v>
      </c>
      <c r="B8468">
        <v>0.16455357452214878</v>
      </c>
    </row>
    <row r="8469" spans="1:2" x14ac:dyDescent="0.25">
      <c r="A8469">
        <v>8440</v>
      </c>
      <c r="B8469">
        <v>0.25856584023274759</v>
      </c>
    </row>
    <row r="8470" spans="1:2" x14ac:dyDescent="0.25">
      <c r="A8470">
        <v>8441</v>
      </c>
      <c r="B8470">
        <v>0.18647951803800528</v>
      </c>
    </row>
    <row r="8471" spans="1:2" x14ac:dyDescent="0.25">
      <c r="A8471">
        <v>8442</v>
      </c>
      <c r="B8471">
        <v>0.11934164890854791</v>
      </c>
    </row>
    <row r="8472" spans="1:2" x14ac:dyDescent="0.25">
      <c r="A8472">
        <v>8443</v>
      </c>
      <c r="B8472">
        <v>0.43298412187247393</v>
      </c>
    </row>
    <row r="8473" spans="1:2" x14ac:dyDescent="0.25">
      <c r="A8473">
        <v>8444</v>
      </c>
      <c r="B8473">
        <v>0.13820915071693313</v>
      </c>
    </row>
    <row r="8474" spans="1:2" x14ac:dyDescent="0.25">
      <c r="A8474">
        <v>8445</v>
      </c>
      <c r="B8474">
        <v>0.44489599047759532</v>
      </c>
    </row>
    <row r="8475" spans="1:2" x14ac:dyDescent="0.25">
      <c r="A8475">
        <v>8446</v>
      </c>
      <c r="B8475">
        <v>0.16742999336968425</v>
      </c>
    </row>
    <row r="8476" spans="1:2" x14ac:dyDescent="0.25">
      <c r="A8476">
        <v>8447</v>
      </c>
      <c r="B8476">
        <v>0.22948378422015128</v>
      </c>
    </row>
    <row r="8477" spans="1:2" x14ac:dyDescent="0.25">
      <c r="A8477">
        <v>8448</v>
      </c>
      <c r="B8477">
        <v>0.13853083378444861</v>
      </c>
    </row>
    <row r="8478" spans="1:2" x14ac:dyDescent="0.25">
      <c r="A8478">
        <v>8449</v>
      </c>
      <c r="B8478">
        <v>0.19401012521604907</v>
      </c>
    </row>
    <row r="8479" spans="1:2" x14ac:dyDescent="0.25">
      <c r="A8479">
        <v>8450</v>
      </c>
      <c r="B8479">
        <v>0.31697464349928706</v>
      </c>
    </row>
    <row r="8480" spans="1:2" x14ac:dyDescent="0.25">
      <c r="A8480">
        <v>8451</v>
      </c>
      <c r="B8480">
        <v>0.13471089050461807</v>
      </c>
    </row>
    <row r="8481" spans="1:2" x14ac:dyDescent="0.25">
      <c r="A8481">
        <v>8452</v>
      </c>
      <c r="B8481">
        <v>0.13624207936120752</v>
      </c>
    </row>
    <row r="8482" spans="1:2" x14ac:dyDescent="0.25">
      <c r="A8482">
        <v>8453</v>
      </c>
      <c r="B8482">
        <v>6.787890558466321E-2</v>
      </c>
    </row>
    <row r="8483" spans="1:2" x14ac:dyDescent="0.25">
      <c r="A8483">
        <v>8454</v>
      </c>
      <c r="B8483">
        <v>0.15702215533895894</v>
      </c>
    </row>
    <row r="8484" spans="1:2" x14ac:dyDescent="0.25">
      <c r="A8484">
        <v>8455</v>
      </c>
      <c r="B8484">
        <v>0.45146873463072196</v>
      </c>
    </row>
    <row r="8485" spans="1:2" x14ac:dyDescent="0.25">
      <c r="A8485">
        <v>8456</v>
      </c>
      <c r="B8485">
        <v>0.34489700059452594</v>
      </c>
    </row>
    <row r="8486" spans="1:2" x14ac:dyDescent="0.25">
      <c r="A8486">
        <v>8457</v>
      </c>
      <c r="B8486">
        <v>6.5875206230340294E-2</v>
      </c>
    </row>
    <row r="8487" spans="1:2" x14ac:dyDescent="0.25">
      <c r="A8487">
        <v>8458</v>
      </c>
      <c r="B8487">
        <v>9.7681034362612912E-2</v>
      </c>
    </row>
    <row r="8488" spans="1:2" x14ac:dyDescent="0.25">
      <c r="A8488">
        <v>8459</v>
      </c>
      <c r="B8488">
        <v>8.0918919916981913E-2</v>
      </c>
    </row>
    <row r="8489" spans="1:2" x14ac:dyDescent="0.25">
      <c r="A8489">
        <v>8460</v>
      </c>
      <c r="B8489">
        <v>0.43157918268631862</v>
      </c>
    </row>
    <row r="8490" spans="1:2" x14ac:dyDescent="0.25">
      <c r="A8490">
        <v>8461</v>
      </c>
      <c r="B8490">
        <v>0.14012984266736078</v>
      </c>
    </row>
    <row r="8491" spans="1:2" x14ac:dyDescent="0.25">
      <c r="A8491">
        <v>8462</v>
      </c>
      <c r="B8491">
        <v>0.18798865076026869</v>
      </c>
    </row>
    <row r="8492" spans="1:2" x14ac:dyDescent="0.25">
      <c r="A8492">
        <v>8463</v>
      </c>
      <c r="B8492">
        <v>0.23946245930642895</v>
      </c>
    </row>
    <row r="8493" spans="1:2" x14ac:dyDescent="0.25">
      <c r="A8493">
        <v>8464</v>
      </c>
      <c r="B8493">
        <v>0.20431507715357458</v>
      </c>
    </row>
    <row r="8494" spans="1:2" x14ac:dyDescent="0.25">
      <c r="A8494">
        <v>8465</v>
      </c>
      <c r="B8494">
        <v>0.27698775916863283</v>
      </c>
    </row>
    <row r="8495" spans="1:2" x14ac:dyDescent="0.25">
      <c r="A8495">
        <v>8466</v>
      </c>
      <c r="B8495">
        <v>0.11516578165416121</v>
      </c>
    </row>
    <row r="8496" spans="1:2" x14ac:dyDescent="0.25">
      <c r="A8496">
        <v>8467</v>
      </c>
      <c r="B8496">
        <v>0.19486152643548818</v>
      </c>
    </row>
    <row r="8497" spans="1:2" x14ac:dyDescent="0.25">
      <c r="A8497">
        <v>8468</v>
      </c>
      <c r="B8497">
        <v>0.20735571521245197</v>
      </c>
    </row>
    <row r="8498" spans="1:2" x14ac:dyDescent="0.25">
      <c r="A8498">
        <v>8469</v>
      </c>
      <c r="B8498">
        <v>6.6343130866186484E-2</v>
      </c>
    </row>
    <row r="8499" spans="1:2" x14ac:dyDescent="0.25">
      <c r="A8499">
        <v>8470</v>
      </c>
      <c r="B8499">
        <v>0.10618190637074017</v>
      </c>
    </row>
    <row r="8500" spans="1:2" x14ac:dyDescent="0.25">
      <c r="A8500">
        <v>8471</v>
      </c>
      <c r="B8500">
        <v>9.2459520661804434E-2</v>
      </c>
    </row>
    <row r="8501" spans="1:2" x14ac:dyDescent="0.25">
      <c r="A8501">
        <v>8472</v>
      </c>
      <c r="B8501">
        <v>0.15476377303071009</v>
      </c>
    </row>
    <row r="8502" spans="1:2" x14ac:dyDescent="0.25">
      <c r="A8502">
        <v>8473</v>
      </c>
      <c r="B8502">
        <v>0.24808729807132079</v>
      </c>
    </row>
    <row r="8503" spans="1:2" x14ac:dyDescent="0.25">
      <c r="A8503">
        <v>8474</v>
      </c>
      <c r="B8503">
        <v>0.18002165672022036</v>
      </c>
    </row>
    <row r="8504" spans="1:2" x14ac:dyDescent="0.25">
      <c r="A8504">
        <v>8475</v>
      </c>
      <c r="B8504">
        <v>0.12681077696605841</v>
      </c>
    </row>
    <row r="8505" spans="1:2" x14ac:dyDescent="0.25">
      <c r="A8505">
        <v>8476</v>
      </c>
      <c r="B8505">
        <v>0.23114780058618048</v>
      </c>
    </row>
    <row r="8506" spans="1:2" x14ac:dyDescent="0.25">
      <c r="A8506">
        <v>8477</v>
      </c>
      <c r="B8506">
        <v>0.2540730446633685</v>
      </c>
    </row>
    <row r="8507" spans="1:2" x14ac:dyDescent="0.25">
      <c r="A8507">
        <v>8478</v>
      </c>
      <c r="B8507">
        <v>0.24878485747927495</v>
      </c>
    </row>
    <row r="8508" spans="1:2" x14ac:dyDescent="0.25">
      <c r="A8508">
        <v>8479</v>
      </c>
      <c r="B8508">
        <v>8.8412792024524775E-2</v>
      </c>
    </row>
    <row r="8509" spans="1:2" x14ac:dyDescent="0.25">
      <c r="A8509">
        <v>8480</v>
      </c>
      <c r="B8509">
        <v>0.120878770169457</v>
      </c>
    </row>
    <row r="8510" spans="1:2" x14ac:dyDescent="0.25">
      <c r="A8510">
        <v>8481</v>
      </c>
      <c r="B8510">
        <v>0.11375201115417589</v>
      </c>
    </row>
    <row r="8511" spans="1:2" x14ac:dyDescent="0.25">
      <c r="A8511">
        <v>8482</v>
      </c>
      <c r="B8511">
        <v>0.15084257503119006</v>
      </c>
    </row>
    <row r="8512" spans="1:2" x14ac:dyDescent="0.25">
      <c r="A8512">
        <v>8483</v>
      </c>
      <c r="B8512">
        <v>0.16626655697707632</v>
      </c>
    </row>
    <row r="8513" spans="1:2" x14ac:dyDescent="0.25">
      <c r="A8513">
        <v>8484</v>
      </c>
      <c r="B8513">
        <v>0.10181490527641539</v>
      </c>
    </row>
    <row r="8514" spans="1:2" x14ac:dyDescent="0.25">
      <c r="A8514">
        <v>8485</v>
      </c>
      <c r="B8514">
        <v>1.3374647603286467</v>
      </c>
    </row>
    <row r="8515" spans="1:2" x14ac:dyDescent="0.25">
      <c r="A8515">
        <v>8486</v>
      </c>
      <c r="B8515">
        <v>0.12312000218325812</v>
      </c>
    </row>
    <row r="8516" spans="1:2" x14ac:dyDescent="0.25">
      <c r="A8516">
        <v>8487</v>
      </c>
      <c r="B8516">
        <v>0.2209842060513707</v>
      </c>
    </row>
    <row r="8517" spans="1:2" x14ac:dyDescent="0.25">
      <c r="A8517">
        <v>8488</v>
      </c>
      <c r="B8517">
        <v>6.0498484377818504E-2</v>
      </c>
    </row>
    <row r="8518" spans="1:2" x14ac:dyDescent="0.25">
      <c r="A8518">
        <v>8489</v>
      </c>
      <c r="B8518">
        <v>6.3930436851135961E-2</v>
      </c>
    </row>
    <row r="8519" spans="1:2" x14ac:dyDescent="0.25">
      <c r="A8519">
        <v>8490</v>
      </c>
      <c r="B8519">
        <v>0.38436429988788973</v>
      </c>
    </row>
    <row r="8520" spans="1:2" x14ac:dyDescent="0.25">
      <c r="A8520">
        <v>8491</v>
      </c>
      <c r="B8520">
        <v>0.13575576470136197</v>
      </c>
    </row>
    <row r="8521" spans="1:2" x14ac:dyDescent="0.25">
      <c r="A8521">
        <v>8492</v>
      </c>
      <c r="B8521">
        <v>9.7005220237849119E-2</v>
      </c>
    </row>
    <row r="8522" spans="1:2" x14ac:dyDescent="0.25">
      <c r="A8522">
        <v>8493</v>
      </c>
      <c r="B8522">
        <v>8.1958295853616553E-2</v>
      </c>
    </row>
    <row r="8523" spans="1:2" x14ac:dyDescent="0.25">
      <c r="A8523">
        <v>8494</v>
      </c>
      <c r="B8523">
        <v>0.23065226091021604</v>
      </c>
    </row>
    <row r="8524" spans="1:2" x14ac:dyDescent="0.25">
      <c r="A8524">
        <v>8495</v>
      </c>
      <c r="B8524">
        <v>0.11000743655308021</v>
      </c>
    </row>
    <row r="8525" spans="1:2" x14ac:dyDescent="0.25">
      <c r="A8525">
        <v>8496</v>
      </c>
      <c r="B8525">
        <v>0.14353274005228267</v>
      </c>
    </row>
    <row r="8526" spans="1:2" x14ac:dyDescent="0.25">
      <c r="A8526">
        <v>8497</v>
      </c>
      <c r="B8526">
        <v>9.4253953152242706E-2</v>
      </c>
    </row>
    <row r="8527" spans="1:2" x14ac:dyDescent="0.25">
      <c r="A8527">
        <v>8498</v>
      </c>
      <c r="B8527">
        <v>0.19580668780123961</v>
      </c>
    </row>
    <row r="8528" spans="1:2" x14ac:dyDescent="0.25">
      <c r="A8528">
        <v>8499</v>
      </c>
      <c r="B8528">
        <v>0.20776080403823161</v>
      </c>
    </row>
    <row r="8529" spans="1:2" x14ac:dyDescent="0.25">
      <c r="A8529">
        <v>8500</v>
      </c>
      <c r="B8529">
        <v>0.17454336129240322</v>
      </c>
    </row>
    <row r="8530" spans="1:2" x14ac:dyDescent="0.25">
      <c r="A8530">
        <v>8501</v>
      </c>
      <c r="B8530">
        <v>0.23978221477492512</v>
      </c>
    </row>
    <row r="8531" spans="1:2" x14ac:dyDescent="0.25">
      <c r="A8531">
        <v>8502</v>
      </c>
      <c r="B8531">
        <v>0.43532973475853359</v>
      </c>
    </row>
    <row r="8532" spans="1:2" x14ac:dyDescent="0.25">
      <c r="A8532">
        <v>8503</v>
      </c>
      <c r="B8532">
        <v>0.42078006761855641</v>
      </c>
    </row>
    <row r="8533" spans="1:2" x14ac:dyDescent="0.25">
      <c r="A8533">
        <v>8504</v>
      </c>
      <c r="B8533">
        <v>0.35069032119831878</v>
      </c>
    </row>
    <row r="8534" spans="1:2" x14ac:dyDescent="0.25">
      <c r="A8534">
        <v>8505</v>
      </c>
      <c r="B8534">
        <v>0.12129786329506852</v>
      </c>
    </row>
    <row r="8535" spans="1:2" x14ac:dyDescent="0.25">
      <c r="A8535">
        <v>8506</v>
      </c>
      <c r="B8535">
        <v>0.13528225435648839</v>
      </c>
    </row>
    <row r="8536" spans="1:2" x14ac:dyDescent="0.25">
      <c r="A8536">
        <v>8507</v>
      </c>
      <c r="B8536">
        <v>0.15885816489460278</v>
      </c>
    </row>
    <row r="8537" spans="1:2" x14ac:dyDescent="0.25">
      <c r="A8537">
        <v>8508</v>
      </c>
      <c r="B8537">
        <v>0.19761559558568262</v>
      </c>
    </row>
    <row r="8538" spans="1:2" x14ac:dyDescent="0.25">
      <c r="A8538">
        <v>8509</v>
      </c>
      <c r="B8538">
        <v>0.16857466693595771</v>
      </c>
    </row>
    <row r="8539" spans="1:2" x14ac:dyDescent="0.25">
      <c r="A8539">
        <v>8510</v>
      </c>
      <c r="B8539">
        <v>4.5817729459134052E-2</v>
      </c>
    </row>
    <row r="8540" spans="1:2" x14ac:dyDescent="0.25">
      <c r="A8540">
        <v>8511</v>
      </c>
      <c r="B8540">
        <v>0.12165840339400512</v>
      </c>
    </row>
    <row r="8541" spans="1:2" x14ac:dyDescent="0.25">
      <c r="A8541">
        <v>8512</v>
      </c>
      <c r="B8541">
        <v>0.10144926578334143</v>
      </c>
    </row>
    <row r="8542" spans="1:2" x14ac:dyDescent="0.25">
      <c r="A8542">
        <v>8513</v>
      </c>
      <c r="B8542">
        <v>0.31957443371563005</v>
      </c>
    </row>
    <row r="8543" spans="1:2" x14ac:dyDescent="0.25">
      <c r="A8543">
        <v>8514</v>
      </c>
      <c r="B8543">
        <v>9.8701862553983916E-2</v>
      </c>
    </row>
    <row r="8544" spans="1:2" x14ac:dyDescent="0.25">
      <c r="A8544">
        <v>8515</v>
      </c>
      <c r="B8544">
        <v>0.2049903271678184</v>
      </c>
    </row>
    <row r="8545" spans="1:2" x14ac:dyDescent="0.25">
      <c r="A8545">
        <v>8516</v>
      </c>
      <c r="B8545">
        <v>0.51656673321522195</v>
      </c>
    </row>
    <row r="8546" spans="1:2" x14ac:dyDescent="0.25">
      <c r="A8546">
        <v>8517</v>
      </c>
      <c r="B8546">
        <v>0.10877923825821341</v>
      </c>
    </row>
    <row r="8547" spans="1:2" x14ac:dyDescent="0.25">
      <c r="A8547">
        <v>8518</v>
      </c>
      <c r="B8547">
        <v>0.11013920808701742</v>
      </c>
    </row>
    <row r="8548" spans="1:2" x14ac:dyDescent="0.25">
      <c r="A8548">
        <v>8519</v>
      </c>
      <c r="B8548">
        <v>4.8573067434191888E-2</v>
      </c>
    </row>
    <row r="8549" spans="1:2" x14ac:dyDescent="0.25">
      <c r="A8549">
        <v>8520</v>
      </c>
      <c r="B8549">
        <v>8.367129974956368E-2</v>
      </c>
    </row>
    <row r="8550" spans="1:2" x14ac:dyDescent="0.25">
      <c r="A8550">
        <v>8521</v>
      </c>
      <c r="B8550">
        <v>0.1626041943260994</v>
      </c>
    </row>
    <row r="8551" spans="1:2" x14ac:dyDescent="0.25">
      <c r="A8551">
        <v>8522</v>
      </c>
      <c r="B8551">
        <v>0.10593585783160972</v>
      </c>
    </row>
    <row r="8552" spans="1:2" x14ac:dyDescent="0.25">
      <c r="A8552">
        <v>8523</v>
      </c>
      <c r="B8552">
        <v>0.1579164149273081</v>
      </c>
    </row>
    <row r="8553" spans="1:2" x14ac:dyDescent="0.25">
      <c r="A8553">
        <v>8524</v>
      </c>
      <c r="B8553">
        <v>0.14573744806340228</v>
      </c>
    </row>
    <row r="8554" spans="1:2" x14ac:dyDescent="0.25">
      <c r="A8554">
        <v>8525</v>
      </c>
      <c r="B8554">
        <v>0.20614514468434378</v>
      </c>
    </row>
    <row r="8555" spans="1:2" x14ac:dyDescent="0.25">
      <c r="A8555">
        <v>8526</v>
      </c>
      <c r="B8555">
        <v>0.23517168483164874</v>
      </c>
    </row>
    <row r="8556" spans="1:2" x14ac:dyDescent="0.25">
      <c r="A8556">
        <v>8527</v>
      </c>
      <c r="B8556">
        <v>0.13282547028218764</v>
      </c>
    </row>
    <row r="8557" spans="1:2" x14ac:dyDescent="0.25">
      <c r="A8557">
        <v>8528</v>
      </c>
      <c r="B8557">
        <v>5.2453641785427364E-2</v>
      </c>
    </row>
    <row r="8558" spans="1:2" x14ac:dyDescent="0.25">
      <c r="A8558">
        <v>8529</v>
      </c>
      <c r="B8558">
        <v>0.10691148891217443</v>
      </c>
    </row>
    <row r="8559" spans="1:2" x14ac:dyDescent="0.25">
      <c r="A8559">
        <v>8530</v>
      </c>
      <c r="B8559">
        <v>0.4303143039856045</v>
      </c>
    </row>
    <row r="8560" spans="1:2" x14ac:dyDescent="0.25">
      <c r="A8560">
        <v>8531</v>
      </c>
      <c r="B8560">
        <v>0.18135892407359874</v>
      </c>
    </row>
    <row r="8561" spans="1:2" x14ac:dyDescent="0.25">
      <c r="A8561">
        <v>8532</v>
      </c>
      <c r="B8561">
        <v>3.6138737785109329E-2</v>
      </c>
    </row>
    <row r="8562" spans="1:2" x14ac:dyDescent="0.25">
      <c r="A8562">
        <v>8533</v>
      </c>
      <c r="B8562">
        <v>0.42045614285748723</v>
      </c>
    </row>
    <row r="8563" spans="1:2" x14ac:dyDescent="0.25">
      <c r="A8563">
        <v>8534</v>
      </c>
      <c r="B8563">
        <v>7.0866020063429569E-2</v>
      </c>
    </row>
    <row r="8564" spans="1:2" x14ac:dyDescent="0.25">
      <c r="A8564">
        <v>8535</v>
      </c>
      <c r="B8564">
        <v>0.14920924268054375</v>
      </c>
    </row>
    <row r="8565" spans="1:2" x14ac:dyDescent="0.25">
      <c r="A8565">
        <v>8536</v>
      </c>
      <c r="B8565">
        <v>0.17093506417114082</v>
      </c>
    </row>
    <row r="8566" spans="1:2" x14ac:dyDescent="0.25">
      <c r="A8566">
        <v>8537</v>
      </c>
      <c r="B8566">
        <v>0.1707918123352539</v>
      </c>
    </row>
    <row r="8567" spans="1:2" x14ac:dyDescent="0.25">
      <c r="A8567">
        <v>8538</v>
      </c>
      <c r="B8567">
        <v>0.13905414145429842</v>
      </c>
    </row>
    <row r="8568" spans="1:2" x14ac:dyDescent="0.25">
      <c r="A8568">
        <v>8539</v>
      </c>
      <c r="B8568">
        <v>0.13423785353450876</v>
      </c>
    </row>
    <row r="8569" spans="1:2" x14ac:dyDescent="0.25">
      <c r="A8569">
        <v>8540</v>
      </c>
      <c r="B8569">
        <v>0.11596302466544518</v>
      </c>
    </row>
    <row r="8570" spans="1:2" x14ac:dyDescent="0.25">
      <c r="A8570">
        <v>8541</v>
      </c>
      <c r="B8570">
        <v>6.9350570071357087E-2</v>
      </c>
    </row>
    <row r="8571" spans="1:2" x14ac:dyDescent="0.25">
      <c r="A8571">
        <v>8542</v>
      </c>
      <c r="B8571">
        <v>0.23331399395788369</v>
      </c>
    </row>
    <row r="8572" spans="1:2" x14ac:dyDescent="0.25">
      <c r="A8572">
        <v>8543</v>
      </c>
      <c r="B8572">
        <v>0.22857805467654765</v>
      </c>
    </row>
    <row r="8573" spans="1:2" x14ac:dyDescent="0.25">
      <c r="A8573">
        <v>8544</v>
      </c>
      <c r="B8573">
        <v>0.16273056295764571</v>
      </c>
    </row>
    <row r="8574" spans="1:2" x14ac:dyDescent="0.25">
      <c r="A8574">
        <v>8545</v>
      </c>
      <c r="B8574">
        <v>0.12395589367764019</v>
      </c>
    </row>
    <row r="8575" spans="1:2" x14ac:dyDescent="0.25">
      <c r="A8575">
        <v>8546</v>
      </c>
      <c r="B8575">
        <v>0.25927442157693664</v>
      </c>
    </row>
    <row r="8576" spans="1:2" x14ac:dyDescent="0.25">
      <c r="A8576">
        <v>8547</v>
      </c>
      <c r="B8576">
        <v>7.3021799967145889E-2</v>
      </c>
    </row>
    <row r="8577" spans="1:2" x14ac:dyDescent="0.25">
      <c r="A8577">
        <v>8548</v>
      </c>
      <c r="B8577">
        <v>0.44622425109293729</v>
      </c>
    </row>
    <row r="8578" spans="1:2" x14ac:dyDescent="0.25">
      <c r="A8578">
        <v>8549</v>
      </c>
      <c r="B8578">
        <v>0.30697112618296474</v>
      </c>
    </row>
    <row r="8579" spans="1:2" x14ac:dyDescent="0.25">
      <c r="A8579">
        <v>8550</v>
      </c>
      <c r="B8579">
        <v>4.835174770660762E-2</v>
      </c>
    </row>
    <row r="8580" spans="1:2" x14ac:dyDescent="0.25">
      <c r="A8580">
        <v>8551</v>
      </c>
      <c r="B8580">
        <v>0.26514648538389529</v>
      </c>
    </row>
    <row r="8581" spans="1:2" x14ac:dyDescent="0.25">
      <c r="A8581">
        <v>8552</v>
      </c>
      <c r="B8581">
        <v>8.7527320558605903E-2</v>
      </c>
    </row>
    <row r="8582" spans="1:2" x14ac:dyDescent="0.25">
      <c r="A8582">
        <v>8553</v>
      </c>
      <c r="B8582">
        <v>0.4911565558970038</v>
      </c>
    </row>
    <row r="8583" spans="1:2" x14ac:dyDescent="0.25">
      <c r="A8583">
        <v>8554</v>
      </c>
      <c r="B8583">
        <v>0.2030918700991059</v>
      </c>
    </row>
    <row r="8584" spans="1:2" x14ac:dyDescent="0.25">
      <c r="A8584">
        <v>8555</v>
      </c>
      <c r="B8584">
        <v>0.14155168261631351</v>
      </c>
    </row>
    <row r="8585" spans="1:2" x14ac:dyDescent="0.25">
      <c r="A8585">
        <v>8556</v>
      </c>
      <c r="B8585">
        <v>5.7772245279428397E-2</v>
      </c>
    </row>
    <row r="8586" spans="1:2" x14ac:dyDescent="0.25">
      <c r="A8586">
        <v>8557</v>
      </c>
      <c r="B8586">
        <v>0.14056845559078143</v>
      </c>
    </row>
    <row r="8587" spans="1:2" x14ac:dyDescent="0.25">
      <c r="A8587">
        <v>8558</v>
      </c>
      <c r="B8587">
        <v>0.12361289901625892</v>
      </c>
    </row>
    <row r="8588" spans="1:2" x14ac:dyDescent="0.25">
      <c r="A8588">
        <v>8559</v>
      </c>
      <c r="B8588">
        <v>8.6803432263721864E-2</v>
      </c>
    </row>
    <row r="8589" spans="1:2" x14ac:dyDescent="0.25">
      <c r="A8589">
        <v>8560</v>
      </c>
      <c r="B8589">
        <v>0.17959504712507154</v>
      </c>
    </row>
    <row r="8590" spans="1:2" x14ac:dyDescent="0.25">
      <c r="A8590">
        <v>8561</v>
      </c>
      <c r="B8590">
        <v>0.50943686219077966</v>
      </c>
    </row>
    <row r="8591" spans="1:2" x14ac:dyDescent="0.25">
      <c r="A8591">
        <v>8562</v>
      </c>
      <c r="B8591">
        <v>0.1678757156884928</v>
      </c>
    </row>
    <row r="8592" spans="1:2" x14ac:dyDescent="0.25">
      <c r="A8592">
        <v>8563</v>
      </c>
      <c r="B8592">
        <v>0.47451461446961551</v>
      </c>
    </row>
    <row r="8593" spans="1:2" x14ac:dyDescent="0.25">
      <c r="A8593">
        <v>8564</v>
      </c>
      <c r="B8593">
        <v>9.0490556116526621E-2</v>
      </c>
    </row>
    <row r="8594" spans="1:2" x14ac:dyDescent="0.25">
      <c r="A8594">
        <v>8565</v>
      </c>
      <c r="B8594">
        <v>8.5324685933863553E-2</v>
      </c>
    </row>
    <row r="8595" spans="1:2" x14ac:dyDescent="0.25">
      <c r="A8595">
        <v>8566</v>
      </c>
      <c r="B8595">
        <v>9.2671860960927485E-2</v>
      </c>
    </row>
    <row r="8596" spans="1:2" x14ac:dyDescent="0.25">
      <c r="A8596">
        <v>8567</v>
      </c>
      <c r="B8596">
        <v>9.1296399305998768E-2</v>
      </c>
    </row>
    <row r="8597" spans="1:2" x14ac:dyDescent="0.25">
      <c r="A8597">
        <v>8568</v>
      </c>
      <c r="B8597">
        <v>0.10536898596856106</v>
      </c>
    </row>
    <row r="8598" spans="1:2" x14ac:dyDescent="0.25">
      <c r="A8598">
        <v>8569</v>
      </c>
      <c r="B8598">
        <v>9.4254180890035538E-2</v>
      </c>
    </row>
    <row r="8599" spans="1:2" x14ac:dyDescent="0.25">
      <c r="A8599">
        <v>8570</v>
      </c>
      <c r="B8599">
        <v>0.13815133064325374</v>
      </c>
    </row>
    <row r="8600" spans="1:2" x14ac:dyDescent="0.25">
      <c r="A8600">
        <v>8571</v>
      </c>
      <c r="B8600">
        <v>0.30764480724912868</v>
      </c>
    </row>
    <row r="8601" spans="1:2" x14ac:dyDescent="0.25">
      <c r="A8601">
        <v>8572</v>
      </c>
      <c r="B8601">
        <v>0.12569563164189515</v>
      </c>
    </row>
    <row r="8602" spans="1:2" x14ac:dyDescent="0.25">
      <c r="A8602">
        <v>8573</v>
      </c>
      <c r="B8602">
        <v>0.17423583789501801</v>
      </c>
    </row>
    <row r="8603" spans="1:2" x14ac:dyDescent="0.25">
      <c r="A8603">
        <v>8574</v>
      </c>
      <c r="B8603">
        <v>0.13701206532816701</v>
      </c>
    </row>
    <row r="8604" spans="1:2" x14ac:dyDescent="0.25">
      <c r="A8604">
        <v>8575</v>
      </c>
      <c r="B8604">
        <v>0.1395387561861991</v>
      </c>
    </row>
    <row r="8605" spans="1:2" x14ac:dyDescent="0.25">
      <c r="A8605">
        <v>8576</v>
      </c>
      <c r="B8605">
        <v>0.30556508953628436</v>
      </c>
    </row>
    <row r="8606" spans="1:2" x14ac:dyDescent="0.25">
      <c r="A8606">
        <v>8577</v>
      </c>
      <c r="B8606">
        <v>0.22058281903247323</v>
      </c>
    </row>
    <row r="8607" spans="1:2" x14ac:dyDescent="0.25">
      <c r="A8607">
        <v>8578</v>
      </c>
      <c r="B8607">
        <v>8.6001520724736782E-2</v>
      </c>
    </row>
    <row r="8608" spans="1:2" x14ac:dyDescent="0.25">
      <c r="A8608">
        <v>8579</v>
      </c>
      <c r="B8608">
        <v>5.7761113664073369E-2</v>
      </c>
    </row>
    <row r="8609" spans="1:2" x14ac:dyDescent="0.25">
      <c r="A8609">
        <v>8580</v>
      </c>
      <c r="B8609">
        <v>0.10758029545515468</v>
      </c>
    </row>
    <row r="8610" spans="1:2" x14ac:dyDescent="0.25">
      <c r="A8610">
        <v>8581</v>
      </c>
      <c r="B8610">
        <v>0.12828950165098052</v>
      </c>
    </row>
    <row r="8611" spans="1:2" x14ac:dyDescent="0.25">
      <c r="A8611">
        <v>8582</v>
      </c>
      <c r="B8611">
        <v>4.1189740002042917E-2</v>
      </c>
    </row>
    <row r="8612" spans="1:2" x14ac:dyDescent="0.25">
      <c r="A8612">
        <v>8583</v>
      </c>
      <c r="B8612">
        <v>0.57123150935696509</v>
      </c>
    </row>
    <row r="8613" spans="1:2" x14ac:dyDescent="0.25">
      <c r="A8613">
        <v>8584</v>
      </c>
      <c r="B8613">
        <v>0.28132609084814425</v>
      </c>
    </row>
    <row r="8614" spans="1:2" x14ac:dyDescent="0.25">
      <c r="A8614">
        <v>8585</v>
      </c>
      <c r="B8614">
        <v>8.5793363603759679E-2</v>
      </c>
    </row>
    <row r="8615" spans="1:2" x14ac:dyDescent="0.25">
      <c r="A8615">
        <v>8586</v>
      </c>
      <c r="B8615">
        <v>0.65292345384695105</v>
      </c>
    </row>
    <row r="8616" spans="1:2" x14ac:dyDescent="0.25">
      <c r="A8616">
        <v>8587</v>
      </c>
      <c r="B8616">
        <v>0.2328806486529533</v>
      </c>
    </row>
    <row r="8617" spans="1:2" x14ac:dyDescent="0.25">
      <c r="A8617">
        <v>8588</v>
      </c>
      <c r="B8617">
        <v>0.1516427761458988</v>
      </c>
    </row>
    <row r="8618" spans="1:2" x14ac:dyDescent="0.25">
      <c r="A8618">
        <v>8589</v>
      </c>
      <c r="B8618">
        <v>5.4022101445636544E-2</v>
      </c>
    </row>
    <row r="8619" spans="1:2" x14ac:dyDescent="0.25">
      <c r="A8619">
        <v>8590</v>
      </c>
      <c r="B8619">
        <v>0.17296378798475617</v>
      </c>
    </row>
    <row r="8620" spans="1:2" x14ac:dyDescent="0.25">
      <c r="A8620">
        <v>8591</v>
      </c>
      <c r="B8620">
        <v>0.18753355369631697</v>
      </c>
    </row>
    <row r="8621" spans="1:2" x14ac:dyDescent="0.25">
      <c r="A8621">
        <v>8592</v>
      </c>
      <c r="B8621">
        <v>0.15195808923323537</v>
      </c>
    </row>
    <row r="8622" spans="1:2" x14ac:dyDescent="0.25">
      <c r="A8622">
        <v>8593</v>
      </c>
      <c r="B8622">
        <v>0.12891255896741463</v>
      </c>
    </row>
    <row r="8623" spans="1:2" x14ac:dyDescent="0.25">
      <c r="A8623">
        <v>8594</v>
      </c>
      <c r="B8623">
        <v>9.1345447496368054E-2</v>
      </c>
    </row>
    <row r="8624" spans="1:2" x14ac:dyDescent="0.25">
      <c r="A8624">
        <v>8595</v>
      </c>
      <c r="B8624">
        <v>0.13321094346717105</v>
      </c>
    </row>
    <row r="8625" spans="1:2" x14ac:dyDescent="0.25">
      <c r="A8625">
        <v>8596</v>
      </c>
      <c r="B8625">
        <v>0.52227437457350268</v>
      </c>
    </row>
    <row r="8626" spans="1:2" x14ac:dyDescent="0.25">
      <c r="A8626">
        <v>8597</v>
      </c>
      <c r="B8626">
        <v>0.10396609924017931</v>
      </c>
    </row>
    <row r="8627" spans="1:2" x14ac:dyDescent="0.25">
      <c r="A8627">
        <v>8598</v>
      </c>
      <c r="B8627">
        <v>0.14894647743738276</v>
      </c>
    </row>
    <row r="8628" spans="1:2" x14ac:dyDescent="0.25">
      <c r="A8628">
        <v>8599</v>
      </c>
      <c r="B8628">
        <v>0.20810511599197057</v>
      </c>
    </row>
    <row r="8629" spans="1:2" x14ac:dyDescent="0.25">
      <c r="A8629">
        <v>8600</v>
      </c>
      <c r="B8629">
        <v>0.1779407812213302</v>
      </c>
    </row>
    <row r="8630" spans="1:2" x14ac:dyDescent="0.25">
      <c r="A8630">
        <v>8601</v>
      </c>
      <c r="B8630">
        <v>0.13335572640659976</v>
      </c>
    </row>
    <row r="8631" spans="1:2" x14ac:dyDescent="0.25">
      <c r="A8631">
        <v>8602</v>
      </c>
      <c r="B8631">
        <v>0.22081301842425241</v>
      </c>
    </row>
    <row r="8632" spans="1:2" x14ac:dyDescent="0.25">
      <c r="A8632">
        <v>8603</v>
      </c>
      <c r="B8632">
        <v>0.13415793831427411</v>
      </c>
    </row>
    <row r="8633" spans="1:2" x14ac:dyDescent="0.25">
      <c r="A8633">
        <v>8604</v>
      </c>
      <c r="B8633">
        <v>0.1672208819125871</v>
      </c>
    </row>
    <row r="8634" spans="1:2" x14ac:dyDescent="0.25">
      <c r="A8634">
        <v>8605</v>
      </c>
      <c r="B8634">
        <v>8.4142189601079623E-2</v>
      </c>
    </row>
    <row r="8635" spans="1:2" x14ac:dyDescent="0.25">
      <c r="A8635">
        <v>8606</v>
      </c>
      <c r="B8635">
        <v>0.36603926092184752</v>
      </c>
    </row>
    <row r="8636" spans="1:2" x14ac:dyDescent="0.25">
      <c r="A8636">
        <v>8607</v>
      </c>
      <c r="B8636">
        <v>0.17636517537105989</v>
      </c>
    </row>
    <row r="8637" spans="1:2" x14ac:dyDescent="0.25">
      <c r="A8637">
        <v>8608</v>
      </c>
      <c r="B8637">
        <v>0.20456617403227226</v>
      </c>
    </row>
    <row r="8638" spans="1:2" x14ac:dyDescent="0.25">
      <c r="A8638">
        <v>8609</v>
      </c>
      <c r="B8638">
        <v>8.7440173142802363E-2</v>
      </c>
    </row>
    <row r="8639" spans="1:2" x14ac:dyDescent="0.25">
      <c r="A8639">
        <v>8610</v>
      </c>
      <c r="B8639">
        <v>0.39740726475159005</v>
      </c>
    </row>
    <row r="8640" spans="1:2" x14ac:dyDescent="0.25">
      <c r="A8640">
        <v>8611</v>
      </c>
      <c r="B8640">
        <v>0.15649217319519029</v>
      </c>
    </row>
    <row r="8641" spans="1:2" x14ac:dyDescent="0.25">
      <c r="A8641">
        <v>8612</v>
      </c>
      <c r="B8641">
        <v>0.22268274520912146</v>
      </c>
    </row>
    <row r="8642" spans="1:2" x14ac:dyDescent="0.25">
      <c r="A8642">
        <v>8613</v>
      </c>
      <c r="B8642">
        <v>0.20143036827391722</v>
      </c>
    </row>
    <row r="8643" spans="1:2" x14ac:dyDescent="0.25">
      <c r="A8643">
        <v>8614</v>
      </c>
      <c r="B8643">
        <v>0.17244060584174559</v>
      </c>
    </row>
    <row r="8644" spans="1:2" x14ac:dyDescent="0.25">
      <c r="A8644">
        <v>8615</v>
      </c>
      <c r="B8644">
        <v>0.52600048318328751</v>
      </c>
    </row>
    <row r="8645" spans="1:2" x14ac:dyDescent="0.25">
      <c r="A8645">
        <v>8616</v>
      </c>
      <c r="B8645">
        <v>0.38928956326618197</v>
      </c>
    </row>
    <row r="8646" spans="1:2" x14ac:dyDescent="0.25">
      <c r="A8646">
        <v>8617</v>
      </c>
      <c r="B8646">
        <v>0.17139753567468161</v>
      </c>
    </row>
    <row r="8647" spans="1:2" x14ac:dyDescent="0.25">
      <c r="A8647">
        <v>8618</v>
      </c>
      <c r="B8647">
        <v>0.45505114430664106</v>
      </c>
    </row>
    <row r="8648" spans="1:2" x14ac:dyDescent="0.25">
      <c r="A8648">
        <v>8619</v>
      </c>
      <c r="B8648">
        <v>8.8826339809418384E-2</v>
      </c>
    </row>
    <row r="8649" spans="1:2" x14ac:dyDescent="0.25">
      <c r="A8649">
        <v>8620</v>
      </c>
      <c r="B8649">
        <v>0.24569822453510565</v>
      </c>
    </row>
    <row r="8650" spans="1:2" x14ac:dyDescent="0.25">
      <c r="A8650">
        <v>8621</v>
      </c>
      <c r="B8650">
        <v>0.22255097314242686</v>
      </c>
    </row>
    <row r="8651" spans="1:2" x14ac:dyDescent="0.25">
      <c r="A8651">
        <v>8622</v>
      </c>
      <c r="B8651">
        <v>8.0515449560389085E-2</v>
      </c>
    </row>
    <row r="8652" spans="1:2" x14ac:dyDescent="0.25">
      <c r="A8652">
        <v>8623</v>
      </c>
      <c r="B8652">
        <v>9.9843118773133038E-2</v>
      </c>
    </row>
    <row r="8653" spans="1:2" x14ac:dyDescent="0.25">
      <c r="A8653">
        <v>8624</v>
      </c>
      <c r="B8653">
        <v>8.323987714685406E-2</v>
      </c>
    </row>
    <row r="8654" spans="1:2" x14ac:dyDescent="0.25">
      <c r="A8654">
        <v>8625</v>
      </c>
      <c r="B8654">
        <v>0.48344881843083792</v>
      </c>
    </row>
    <row r="8655" spans="1:2" x14ac:dyDescent="0.25">
      <c r="A8655">
        <v>8626</v>
      </c>
      <c r="B8655">
        <v>0.18806009369603791</v>
      </c>
    </row>
    <row r="8656" spans="1:2" x14ac:dyDescent="0.25">
      <c r="A8656">
        <v>8627</v>
      </c>
      <c r="B8656">
        <v>0.41098185642632445</v>
      </c>
    </row>
    <row r="8657" spans="1:2" x14ac:dyDescent="0.25">
      <c r="A8657">
        <v>8628</v>
      </c>
      <c r="B8657">
        <v>0.44151229559481342</v>
      </c>
    </row>
    <row r="8658" spans="1:2" x14ac:dyDescent="0.25">
      <c r="A8658">
        <v>8629</v>
      </c>
      <c r="B8658">
        <v>0.18340832522062794</v>
      </c>
    </row>
    <row r="8659" spans="1:2" x14ac:dyDescent="0.25">
      <c r="A8659">
        <v>8630</v>
      </c>
      <c r="B8659">
        <v>0.37373439412111376</v>
      </c>
    </row>
    <row r="8660" spans="1:2" x14ac:dyDescent="0.25">
      <c r="A8660">
        <v>8631</v>
      </c>
      <c r="B8660">
        <v>0.32911682770874068</v>
      </c>
    </row>
    <row r="8661" spans="1:2" x14ac:dyDescent="0.25">
      <c r="A8661">
        <v>8632</v>
      </c>
      <c r="B8661">
        <v>0.19479948544578973</v>
      </c>
    </row>
    <row r="8662" spans="1:2" x14ac:dyDescent="0.25">
      <c r="A8662">
        <v>8633</v>
      </c>
      <c r="B8662">
        <v>0.29937638667659222</v>
      </c>
    </row>
    <row r="8663" spans="1:2" x14ac:dyDescent="0.25">
      <c r="A8663">
        <v>8634</v>
      </c>
      <c r="B8663">
        <v>0.20413936850837164</v>
      </c>
    </row>
    <row r="8664" spans="1:2" x14ac:dyDescent="0.25">
      <c r="A8664">
        <v>8635</v>
      </c>
      <c r="B8664">
        <v>0.21561107191471568</v>
      </c>
    </row>
    <row r="8665" spans="1:2" x14ac:dyDescent="0.25">
      <c r="A8665">
        <v>8636</v>
      </c>
      <c r="B8665">
        <v>0.27042400524523552</v>
      </c>
    </row>
    <row r="8666" spans="1:2" x14ac:dyDescent="0.25">
      <c r="A8666">
        <v>8637</v>
      </c>
      <c r="B8666">
        <v>0.28300153499993191</v>
      </c>
    </row>
    <row r="8667" spans="1:2" x14ac:dyDescent="0.25">
      <c r="A8667">
        <v>8638</v>
      </c>
      <c r="B8667">
        <v>0.13230912013956914</v>
      </c>
    </row>
    <row r="8668" spans="1:2" x14ac:dyDescent="0.25">
      <c r="A8668">
        <v>8639</v>
      </c>
      <c r="B8668">
        <v>0.25819480379335141</v>
      </c>
    </row>
    <row r="8669" spans="1:2" x14ac:dyDescent="0.25">
      <c r="A8669">
        <v>8640</v>
      </c>
      <c r="B8669">
        <v>8.703730189049666E-2</v>
      </c>
    </row>
    <row r="8670" spans="1:2" x14ac:dyDescent="0.25">
      <c r="A8670">
        <v>8641</v>
      </c>
      <c r="B8670">
        <v>0.18870340600996124</v>
      </c>
    </row>
    <row r="8671" spans="1:2" x14ac:dyDescent="0.25">
      <c r="A8671">
        <v>8642</v>
      </c>
      <c r="B8671">
        <v>0.20829478881491384</v>
      </c>
    </row>
    <row r="8672" spans="1:2" x14ac:dyDescent="0.25">
      <c r="A8672">
        <v>8643</v>
      </c>
      <c r="B8672">
        <v>0.40793240964662886</v>
      </c>
    </row>
    <row r="8673" spans="1:2" x14ac:dyDescent="0.25">
      <c r="A8673">
        <v>8644</v>
      </c>
      <c r="B8673">
        <v>0.16341762316260008</v>
      </c>
    </row>
    <row r="8674" spans="1:2" x14ac:dyDescent="0.25">
      <c r="A8674">
        <v>8645</v>
      </c>
      <c r="B8674">
        <v>0.30974168800486707</v>
      </c>
    </row>
    <row r="8675" spans="1:2" x14ac:dyDescent="0.25">
      <c r="A8675">
        <v>8646</v>
      </c>
      <c r="B8675">
        <v>0.12373227779593056</v>
      </c>
    </row>
    <row r="8676" spans="1:2" x14ac:dyDescent="0.25">
      <c r="A8676">
        <v>8647</v>
      </c>
      <c r="B8676">
        <v>2.864848286964752E-2</v>
      </c>
    </row>
    <row r="8677" spans="1:2" x14ac:dyDescent="0.25">
      <c r="A8677">
        <v>8648</v>
      </c>
      <c r="B8677">
        <v>0.33504888859906495</v>
      </c>
    </row>
    <row r="8678" spans="1:2" x14ac:dyDescent="0.25">
      <c r="A8678">
        <v>8649</v>
      </c>
      <c r="B8678">
        <v>8.7333495277665471E-2</v>
      </c>
    </row>
    <row r="8679" spans="1:2" x14ac:dyDescent="0.25">
      <c r="A8679">
        <v>8650</v>
      </c>
      <c r="B8679">
        <v>0.36968864970830279</v>
      </c>
    </row>
    <row r="8680" spans="1:2" x14ac:dyDescent="0.25">
      <c r="A8680">
        <v>8651</v>
      </c>
      <c r="B8680">
        <v>7.6383147065732099E-2</v>
      </c>
    </row>
    <row r="8681" spans="1:2" x14ac:dyDescent="0.25">
      <c r="A8681">
        <v>8652</v>
      </c>
      <c r="B8681">
        <v>7.7859888104275507E-2</v>
      </c>
    </row>
    <row r="8682" spans="1:2" x14ac:dyDescent="0.25">
      <c r="A8682">
        <v>8653</v>
      </c>
      <c r="B8682">
        <v>0.3381476937464219</v>
      </c>
    </row>
    <row r="8683" spans="1:2" x14ac:dyDescent="0.25">
      <c r="A8683">
        <v>8654</v>
      </c>
      <c r="B8683">
        <v>0.19651095955743045</v>
      </c>
    </row>
    <row r="8684" spans="1:2" x14ac:dyDescent="0.25">
      <c r="A8684">
        <v>8655</v>
      </c>
      <c r="B8684">
        <v>0.83462536216676231</v>
      </c>
    </row>
    <row r="8685" spans="1:2" x14ac:dyDescent="0.25">
      <c r="A8685">
        <v>8656</v>
      </c>
      <c r="B8685">
        <v>0.37810122306268495</v>
      </c>
    </row>
    <row r="8686" spans="1:2" x14ac:dyDescent="0.25">
      <c r="A8686">
        <v>8657</v>
      </c>
      <c r="B8686">
        <v>0.21230963580003132</v>
      </c>
    </row>
    <row r="8687" spans="1:2" x14ac:dyDescent="0.25">
      <c r="A8687">
        <v>8658</v>
      </c>
      <c r="B8687">
        <v>0.20040277154593533</v>
      </c>
    </row>
    <row r="8688" spans="1:2" x14ac:dyDescent="0.25">
      <c r="A8688">
        <v>8659</v>
      </c>
      <c r="B8688">
        <v>0.18899104701651226</v>
      </c>
    </row>
    <row r="8689" spans="1:2" x14ac:dyDescent="0.25">
      <c r="A8689">
        <v>8660</v>
      </c>
      <c r="B8689">
        <v>0.15528694257656717</v>
      </c>
    </row>
    <row r="8690" spans="1:2" x14ac:dyDescent="0.25">
      <c r="A8690">
        <v>8661</v>
      </c>
      <c r="B8690">
        <v>0.10848192516550205</v>
      </c>
    </row>
    <row r="8691" spans="1:2" x14ac:dyDescent="0.25">
      <c r="A8691">
        <v>8662</v>
      </c>
      <c r="B8691">
        <v>0.13300232796440031</v>
      </c>
    </row>
    <row r="8692" spans="1:2" x14ac:dyDescent="0.25">
      <c r="A8692">
        <v>8663</v>
      </c>
      <c r="B8692">
        <v>7.9733178167161869E-2</v>
      </c>
    </row>
    <row r="8693" spans="1:2" x14ac:dyDescent="0.25">
      <c r="A8693">
        <v>8664</v>
      </c>
      <c r="B8693">
        <v>0.1278214019018154</v>
      </c>
    </row>
    <row r="8694" spans="1:2" x14ac:dyDescent="0.25">
      <c r="A8694">
        <v>8665</v>
      </c>
      <c r="B8694">
        <v>8.3205790889390091E-2</v>
      </c>
    </row>
    <row r="8695" spans="1:2" x14ac:dyDescent="0.25">
      <c r="A8695">
        <v>8666</v>
      </c>
      <c r="B8695">
        <v>6.5875495336604944E-2</v>
      </c>
    </row>
    <row r="8696" spans="1:2" x14ac:dyDescent="0.25">
      <c r="A8696">
        <v>8667</v>
      </c>
      <c r="B8696">
        <v>0.30064048494679724</v>
      </c>
    </row>
    <row r="8697" spans="1:2" x14ac:dyDescent="0.25">
      <c r="A8697">
        <v>8668</v>
      </c>
      <c r="B8697">
        <v>4.8342297043477471E-2</v>
      </c>
    </row>
    <row r="8698" spans="1:2" x14ac:dyDescent="0.25">
      <c r="A8698">
        <v>8669</v>
      </c>
      <c r="B8698">
        <v>0.23572161361509533</v>
      </c>
    </row>
    <row r="8699" spans="1:2" x14ac:dyDescent="0.25">
      <c r="A8699">
        <v>8670</v>
      </c>
      <c r="B8699">
        <v>8.6715351653377751E-2</v>
      </c>
    </row>
    <row r="8700" spans="1:2" x14ac:dyDescent="0.25">
      <c r="A8700">
        <v>8671</v>
      </c>
      <c r="B8700">
        <v>0.17184768797503813</v>
      </c>
    </row>
    <row r="8701" spans="1:2" x14ac:dyDescent="0.25">
      <c r="A8701">
        <v>8672</v>
      </c>
      <c r="B8701">
        <v>0.2686326018483467</v>
      </c>
    </row>
    <row r="8702" spans="1:2" x14ac:dyDescent="0.25">
      <c r="A8702">
        <v>8673</v>
      </c>
      <c r="B8702">
        <v>0.19022786772201544</v>
      </c>
    </row>
    <row r="8703" spans="1:2" x14ac:dyDescent="0.25">
      <c r="A8703">
        <v>8674</v>
      </c>
      <c r="B8703">
        <v>5.5393215288608792E-2</v>
      </c>
    </row>
    <row r="8704" spans="1:2" x14ac:dyDescent="0.25">
      <c r="A8704">
        <v>8675</v>
      </c>
      <c r="B8704">
        <v>0.15180214651987189</v>
      </c>
    </row>
    <row r="8705" spans="1:2" x14ac:dyDescent="0.25">
      <c r="A8705">
        <v>8676</v>
      </c>
      <c r="B8705">
        <v>0.15798103939902031</v>
      </c>
    </row>
    <row r="8706" spans="1:2" x14ac:dyDescent="0.25">
      <c r="A8706">
        <v>8677</v>
      </c>
      <c r="B8706">
        <v>0.21619865500955562</v>
      </c>
    </row>
    <row r="8707" spans="1:2" x14ac:dyDescent="0.25">
      <c r="A8707">
        <v>8678</v>
      </c>
      <c r="B8707">
        <v>0.17525398276332385</v>
      </c>
    </row>
    <row r="8708" spans="1:2" x14ac:dyDescent="0.25">
      <c r="A8708">
        <v>8679</v>
      </c>
      <c r="B8708">
        <v>8.2089443326441594E-2</v>
      </c>
    </row>
    <row r="8709" spans="1:2" x14ac:dyDescent="0.25">
      <c r="A8709">
        <v>8680</v>
      </c>
      <c r="B8709">
        <v>0.18336664591111296</v>
      </c>
    </row>
    <row r="8710" spans="1:2" x14ac:dyDescent="0.25">
      <c r="A8710">
        <v>8681</v>
      </c>
      <c r="B8710">
        <v>0.2234730273862198</v>
      </c>
    </row>
    <row r="8711" spans="1:2" x14ac:dyDescent="0.25">
      <c r="A8711">
        <v>8682</v>
      </c>
      <c r="B8711">
        <v>0.19603633728164638</v>
      </c>
    </row>
    <row r="8712" spans="1:2" x14ac:dyDescent="0.25">
      <c r="A8712">
        <v>8683</v>
      </c>
      <c r="B8712">
        <v>0.60165995357731661</v>
      </c>
    </row>
    <row r="8713" spans="1:2" x14ac:dyDescent="0.25">
      <c r="A8713">
        <v>8684</v>
      </c>
      <c r="B8713">
        <v>0.12626757479362682</v>
      </c>
    </row>
    <row r="8714" spans="1:2" x14ac:dyDescent="0.25">
      <c r="A8714">
        <v>8685</v>
      </c>
      <c r="B8714">
        <v>0.35776015490687368</v>
      </c>
    </row>
    <row r="8715" spans="1:2" x14ac:dyDescent="0.25">
      <c r="A8715">
        <v>8686</v>
      </c>
      <c r="B8715">
        <v>8.2555944709384932E-2</v>
      </c>
    </row>
    <row r="8716" spans="1:2" x14ac:dyDescent="0.25">
      <c r="A8716">
        <v>8687</v>
      </c>
      <c r="B8716">
        <v>0.14290157617067092</v>
      </c>
    </row>
    <row r="8717" spans="1:2" x14ac:dyDescent="0.25">
      <c r="A8717">
        <v>8688</v>
      </c>
      <c r="B8717">
        <v>0.12841041281568163</v>
      </c>
    </row>
    <row r="8718" spans="1:2" x14ac:dyDescent="0.25">
      <c r="A8718">
        <v>8689</v>
      </c>
      <c r="B8718">
        <v>0.19583431827046163</v>
      </c>
    </row>
    <row r="8719" spans="1:2" x14ac:dyDescent="0.25">
      <c r="A8719">
        <v>8690</v>
      </c>
      <c r="B8719">
        <v>0.11331319020953233</v>
      </c>
    </row>
    <row r="8720" spans="1:2" x14ac:dyDescent="0.25">
      <c r="A8720">
        <v>8691</v>
      </c>
      <c r="B8720">
        <v>0.12516654131622201</v>
      </c>
    </row>
    <row r="8721" spans="1:2" x14ac:dyDescent="0.25">
      <c r="A8721">
        <v>8692</v>
      </c>
      <c r="B8721">
        <v>5.2293469625437745E-2</v>
      </c>
    </row>
    <row r="8722" spans="1:2" x14ac:dyDescent="0.25">
      <c r="A8722">
        <v>8693</v>
      </c>
      <c r="B8722">
        <v>0.16818310079101251</v>
      </c>
    </row>
    <row r="8723" spans="1:2" x14ac:dyDescent="0.25">
      <c r="A8723">
        <v>8694</v>
      </c>
      <c r="B8723">
        <v>0.19196572618632646</v>
      </c>
    </row>
    <row r="8724" spans="1:2" x14ac:dyDescent="0.25">
      <c r="A8724">
        <v>8695</v>
      </c>
      <c r="B8724">
        <v>0.3235219397498606</v>
      </c>
    </row>
    <row r="8725" spans="1:2" x14ac:dyDescent="0.25">
      <c r="A8725">
        <v>8696</v>
      </c>
      <c r="B8725">
        <v>0.12853766131453276</v>
      </c>
    </row>
    <row r="8726" spans="1:2" x14ac:dyDescent="0.25">
      <c r="A8726">
        <v>8697</v>
      </c>
      <c r="B8726">
        <v>0.15496017875121476</v>
      </c>
    </row>
    <row r="8727" spans="1:2" x14ac:dyDescent="0.25">
      <c r="A8727">
        <v>8698</v>
      </c>
      <c r="B8727">
        <v>7.3512526717074131E-2</v>
      </c>
    </row>
    <row r="8728" spans="1:2" x14ac:dyDescent="0.25">
      <c r="A8728">
        <v>8699</v>
      </c>
      <c r="B8728">
        <v>0.21514035438125675</v>
      </c>
    </row>
    <row r="8729" spans="1:2" x14ac:dyDescent="0.25">
      <c r="A8729">
        <v>8700</v>
      </c>
      <c r="B8729">
        <v>0.57084487104444925</v>
      </c>
    </row>
    <row r="8730" spans="1:2" x14ac:dyDescent="0.25">
      <c r="A8730">
        <v>8701</v>
      </c>
      <c r="B8730">
        <v>0.22229267924443147</v>
      </c>
    </row>
    <row r="8731" spans="1:2" x14ac:dyDescent="0.25">
      <c r="A8731">
        <v>8702</v>
      </c>
      <c r="B8731">
        <v>0.36146171620474749</v>
      </c>
    </row>
    <row r="8732" spans="1:2" x14ac:dyDescent="0.25">
      <c r="A8732">
        <v>8703</v>
      </c>
      <c r="B8732">
        <v>0.35184398498422725</v>
      </c>
    </row>
    <row r="8733" spans="1:2" x14ac:dyDescent="0.25">
      <c r="A8733">
        <v>8704</v>
      </c>
      <c r="B8733">
        <v>0.55542359575169464</v>
      </c>
    </row>
    <row r="8734" spans="1:2" x14ac:dyDescent="0.25">
      <c r="A8734">
        <v>8705</v>
      </c>
      <c r="B8734">
        <v>0.31742301105041126</v>
      </c>
    </row>
    <row r="8735" spans="1:2" x14ac:dyDescent="0.25">
      <c r="A8735">
        <v>8706</v>
      </c>
      <c r="B8735">
        <v>0.36906512397289215</v>
      </c>
    </row>
    <row r="8736" spans="1:2" x14ac:dyDescent="0.25">
      <c r="A8736">
        <v>8707</v>
      </c>
      <c r="B8736">
        <v>0.7441240747283776</v>
      </c>
    </row>
    <row r="8737" spans="1:2" x14ac:dyDescent="0.25">
      <c r="A8737">
        <v>8708</v>
      </c>
      <c r="B8737">
        <v>0.2277805825497865</v>
      </c>
    </row>
    <row r="8738" spans="1:2" x14ac:dyDescent="0.25">
      <c r="A8738">
        <v>8709</v>
      </c>
      <c r="B8738">
        <v>0.30297265833797665</v>
      </c>
    </row>
    <row r="8739" spans="1:2" x14ac:dyDescent="0.25">
      <c r="A8739">
        <v>8710</v>
      </c>
      <c r="B8739">
        <v>6.8855490544200898E-2</v>
      </c>
    </row>
    <row r="8740" spans="1:2" x14ac:dyDescent="0.25">
      <c r="A8740">
        <v>8711</v>
      </c>
      <c r="B8740">
        <v>0.17227207824258187</v>
      </c>
    </row>
    <row r="8741" spans="1:2" x14ac:dyDescent="0.25">
      <c r="A8741">
        <v>8712</v>
      </c>
      <c r="B8741">
        <v>7.0508552314916165E-2</v>
      </c>
    </row>
    <row r="8742" spans="1:2" x14ac:dyDescent="0.25">
      <c r="A8742">
        <v>8713</v>
      </c>
      <c r="B8742">
        <v>0.20606580148296147</v>
      </c>
    </row>
    <row r="8743" spans="1:2" x14ac:dyDescent="0.25">
      <c r="A8743">
        <v>8714</v>
      </c>
      <c r="B8743">
        <v>0.14874857263067309</v>
      </c>
    </row>
    <row r="8744" spans="1:2" x14ac:dyDescent="0.25">
      <c r="A8744">
        <v>8715</v>
      </c>
      <c r="B8744">
        <v>0.29919663766761478</v>
      </c>
    </row>
    <row r="8745" spans="1:2" x14ac:dyDescent="0.25">
      <c r="A8745">
        <v>8716</v>
      </c>
      <c r="B8745">
        <v>3.6535015282478225E-2</v>
      </c>
    </row>
    <row r="8746" spans="1:2" x14ac:dyDescent="0.25">
      <c r="A8746">
        <v>8717</v>
      </c>
      <c r="B8746">
        <v>0.15815234286020646</v>
      </c>
    </row>
    <row r="8747" spans="1:2" x14ac:dyDescent="0.25">
      <c r="A8747">
        <v>8718</v>
      </c>
      <c r="B8747">
        <v>0.18465399094669557</v>
      </c>
    </row>
    <row r="8748" spans="1:2" x14ac:dyDescent="0.25">
      <c r="A8748">
        <v>8719</v>
      </c>
      <c r="B8748">
        <v>9.6675624570120439E-2</v>
      </c>
    </row>
    <row r="8749" spans="1:2" x14ac:dyDescent="0.25">
      <c r="A8749">
        <v>8720</v>
      </c>
      <c r="B8749">
        <v>0.302204978806632</v>
      </c>
    </row>
    <row r="8750" spans="1:2" x14ac:dyDescent="0.25">
      <c r="A8750">
        <v>8721</v>
      </c>
      <c r="B8750">
        <v>6.8141880150635284E-2</v>
      </c>
    </row>
    <row r="8751" spans="1:2" x14ac:dyDescent="0.25">
      <c r="A8751">
        <v>8722</v>
      </c>
      <c r="B8751">
        <v>0.11015243276514049</v>
      </c>
    </row>
    <row r="8752" spans="1:2" x14ac:dyDescent="0.25">
      <c r="A8752">
        <v>8723</v>
      </c>
      <c r="B8752">
        <v>5.7848174981737027E-2</v>
      </c>
    </row>
    <row r="8753" spans="1:2" x14ac:dyDescent="0.25">
      <c r="A8753">
        <v>8724</v>
      </c>
      <c r="B8753">
        <v>0.16774703319424009</v>
      </c>
    </row>
    <row r="8754" spans="1:2" x14ac:dyDescent="0.25">
      <c r="A8754">
        <v>8725</v>
      </c>
      <c r="B8754">
        <v>0.25175798197355548</v>
      </c>
    </row>
    <row r="8755" spans="1:2" x14ac:dyDescent="0.25">
      <c r="A8755">
        <v>8726</v>
      </c>
      <c r="B8755">
        <v>0.36514026736304039</v>
      </c>
    </row>
    <row r="8756" spans="1:2" x14ac:dyDescent="0.25">
      <c r="A8756">
        <v>8727</v>
      </c>
      <c r="B8756">
        <v>0.12216536318390368</v>
      </c>
    </row>
    <row r="8757" spans="1:2" x14ac:dyDescent="0.25">
      <c r="A8757">
        <v>8728</v>
      </c>
      <c r="B8757">
        <v>0.16897234532583127</v>
      </c>
    </row>
    <row r="8758" spans="1:2" x14ac:dyDescent="0.25">
      <c r="A8758">
        <v>8729</v>
      </c>
      <c r="B8758">
        <v>0.11796288420177514</v>
      </c>
    </row>
    <row r="8759" spans="1:2" x14ac:dyDescent="0.25">
      <c r="A8759">
        <v>8730</v>
      </c>
      <c r="B8759">
        <v>0.15801614015803009</v>
      </c>
    </row>
    <row r="8760" spans="1:2" x14ac:dyDescent="0.25">
      <c r="A8760">
        <v>8731</v>
      </c>
      <c r="B8760">
        <v>0.11492326843604042</v>
      </c>
    </row>
    <row r="8761" spans="1:2" x14ac:dyDescent="0.25">
      <c r="A8761">
        <v>8732</v>
      </c>
      <c r="B8761">
        <v>0.41267003688609216</v>
      </c>
    </row>
    <row r="8762" spans="1:2" x14ac:dyDescent="0.25">
      <c r="A8762">
        <v>8733</v>
      </c>
      <c r="B8762">
        <v>0.33260006745363763</v>
      </c>
    </row>
    <row r="8763" spans="1:2" x14ac:dyDescent="0.25">
      <c r="A8763">
        <v>8734</v>
      </c>
      <c r="B8763">
        <v>0.26969919420049221</v>
      </c>
    </row>
    <row r="8764" spans="1:2" x14ac:dyDescent="0.25">
      <c r="A8764">
        <v>8735</v>
      </c>
      <c r="B8764">
        <v>0.37498468665721929</v>
      </c>
    </row>
    <row r="8765" spans="1:2" x14ac:dyDescent="0.25">
      <c r="A8765">
        <v>8736</v>
      </c>
      <c r="B8765">
        <v>0.37229434535254674</v>
      </c>
    </row>
    <row r="8766" spans="1:2" x14ac:dyDescent="0.25">
      <c r="A8766">
        <v>8737</v>
      </c>
      <c r="B8766">
        <v>0.12011677370299854</v>
      </c>
    </row>
    <row r="8767" spans="1:2" x14ac:dyDescent="0.25">
      <c r="A8767">
        <v>8738</v>
      </c>
      <c r="B8767">
        <v>0.23568127681875395</v>
      </c>
    </row>
    <row r="8768" spans="1:2" x14ac:dyDescent="0.25">
      <c r="A8768">
        <v>8739</v>
      </c>
      <c r="B8768">
        <v>0.65080495395032589</v>
      </c>
    </row>
    <row r="8769" spans="1:2" x14ac:dyDescent="0.25">
      <c r="A8769">
        <v>8740</v>
      </c>
      <c r="B8769">
        <v>0.30410227295010023</v>
      </c>
    </row>
    <row r="8770" spans="1:2" x14ac:dyDescent="0.25">
      <c r="A8770">
        <v>8741</v>
      </c>
      <c r="B8770">
        <v>0.41690936767762321</v>
      </c>
    </row>
    <row r="8771" spans="1:2" x14ac:dyDescent="0.25">
      <c r="A8771">
        <v>8742</v>
      </c>
      <c r="B8771">
        <v>9.8582868691136041E-2</v>
      </c>
    </row>
    <row r="8772" spans="1:2" x14ac:dyDescent="0.25">
      <c r="A8772">
        <v>8743</v>
      </c>
      <c r="B8772">
        <v>0.15108082698277581</v>
      </c>
    </row>
    <row r="8773" spans="1:2" x14ac:dyDescent="0.25">
      <c r="A8773">
        <v>8744</v>
      </c>
      <c r="B8773">
        <v>0.15835071853350499</v>
      </c>
    </row>
    <row r="8774" spans="1:2" x14ac:dyDescent="0.25">
      <c r="A8774">
        <v>8745</v>
      </c>
      <c r="B8774">
        <v>7.3491777444962894E-2</v>
      </c>
    </row>
    <row r="8775" spans="1:2" x14ac:dyDescent="0.25">
      <c r="A8775">
        <v>8746</v>
      </c>
      <c r="B8775">
        <v>0.59201076120709561</v>
      </c>
    </row>
    <row r="8776" spans="1:2" x14ac:dyDescent="0.25">
      <c r="A8776">
        <v>8747</v>
      </c>
      <c r="B8776">
        <v>4.1225475684211546E-2</v>
      </c>
    </row>
    <row r="8777" spans="1:2" x14ac:dyDescent="0.25">
      <c r="A8777">
        <v>8748</v>
      </c>
      <c r="B8777">
        <v>0.29545311121329221</v>
      </c>
    </row>
    <row r="8778" spans="1:2" x14ac:dyDescent="0.25">
      <c r="A8778">
        <v>8749</v>
      </c>
      <c r="B8778">
        <v>9.1329931609196627E-2</v>
      </c>
    </row>
    <row r="8779" spans="1:2" x14ac:dyDescent="0.25">
      <c r="A8779">
        <v>8750</v>
      </c>
      <c r="B8779">
        <v>0.16414261057291446</v>
      </c>
    </row>
    <row r="8780" spans="1:2" x14ac:dyDescent="0.25">
      <c r="A8780">
        <v>8751</v>
      </c>
      <c r="B8780">
        <v>0.28497010599052269</v>
      </c>
    </row>
    <row r="8781" spans="1:2" x14ac:dyDescent="0.25">
      <c r="A8781">
        <v>8752</v>
      </c>
      <c r="B8781">
        <v>0.20220040652010482</v>
      </c>
    </row>
    <row r="8782" spans="1:2" x14ac:dyDescent="0.25">
      <c r="A8782">
        <v>8753</v>
      </c>
      <c r="B8782">
        <v>0.10227592207276652</v>
      </c>
    </row>
    <row r="8783" spans="1:2" x14ac:dyDescent="0.25">
      <c r="A8783">
        <v>8754</v>
      </c>
      <c r="B8783">
        <v>0.1690187680478891</v>
      </c>
    </row>
    <row r="8784" spans="1:2" x14ac:dyDescent="0.25">
      <c r="A8784">
        <v>8755</v>
      </c>
      <c r="B8784">
        <v>0.23673907516262807</v>
      </c>
    </row>
    <row r="8785" spans="1:2" x14ac:dyDescent="0.25">
      <c r="A8785">
        <v>8756</v>
      </c>
      <c r="B8785">
        <v>0.42711587157869546</v>
      </c>
    </row>
    <row r="8786" spans="1:2" x14ac:dyDescent="0.25">
      <c r="A8786">
        <v>8757</v>
      </c>
      <c r="B8786">
        <v>0.2548546913163563</v>
      </c>
    </row>
    <row r="8787" spans="1:2" x14ac:dyDescent="0.25">
      <c r="A8787">
        <v>8758</v>
      </c>
      <c r="B8787">
        <v>4.0767411219071799E-2</v>
      </c>
    </row>
    <row r="8788" spans="1:2" x14ac:dyDescent="0.25">
      <c r="A8788">
        <v>8759</v>
      </c>
      <c r="B8788">
        <v>5.5363060118308875E-2</v>
      </c>
    </row>
    <row r="8789" spans="1:2" x14ac:dyDescent="0.25">
      <c r="A8789">
        <v>8760</v>
      </c>
      <c r="B8789">
        <v>0.10975674014385801</v>
      </c>
    </row>
    <row r="8790" spans="1:2" x14ac:dyDescent="0.25">
      <c r="A8790">
        <v>8761</v>
      </c>
      <c r="B8790">
        <v>0.18196238596322842</v>
      </c>
    </row>
    <row r="8791" spans="1:2" x14ac:dyDescent="0.25">
      <c r="A8791">
        <v>8762</v>
      </c>
      <c r="B8791">
        <v>0.27788759574002841</v>
      </c>
    </row>
    <row r="8792" spans="1:2" x14ac:dyDescent="0.25">
      <c r="A8792">
        <v>8763</v>
      </c>
      <c r="B8792">
        <v>7.2502386920878542E-2</v>
      </c>
    </row>
    <row r="8793" spans="1:2" x14ac:dyDescent="0.25">
      <c r="A8793">
        <v>8764</v>
      </c>
      <c r="B8793">
        <v>0.12854444028404963</v>
      </c>
    </row>
    <row r="8794" spans="1:2" x14ac:dyDescent="0.25">
      <c r="A8794">
        <v>8765</v>
      </c>
      <c r="B8794">
        <v>0.15805175113151176</v>
      </c>
    </row>
    <row r="8795" spans="1:2" x14ac:dyDescent="0.25">
      <c r="A8795">
        <v>8766</v>
      </c>
      <c r="B8795">
        <v>0.30139613280833488</v>
      </c>
    </row>
    <row r="8796" spans="1:2" x14ac:dyDescent="0.25">
      <c r="A8796">
        <v>8767</v>
      </c>
      <c r="B8796">
        <v>0.11985215059262332</v>
      </c>
    </row>
    <row r="8797" spans="1:2" x14ac:dyDescent="0.25">
      <c r="A8797">
        <v>8768</v>
      </c>
      <c r="B8797">
        <v>0.11160415864534771</v>
      </c>
    </row>
    <row r="8798" spans="1:2" x14ac:dyDescent="0.25">
      <c r="A8798">
        <v>8769</v>
      </c>
      <c r="B8798">
        <v>0.18355623078261024</v>
      </c>
    </row>
    <row r="8799" spans="1:2" x14ac:dyDescent="0.25">
      <c r="A8799">
        <v>8770</v>
      </c>
      <c r="B8799">
        <v>0.20078793383563906</v>
      </c>
    </row>
    <row r="8800" spans="1:2" x14ac:dyDescent="0.25">
      <c r="A8800">
        <v>8771</v>
      </c>
      <c r="B8800">
        <v>4.8999672744057407E-2</v>
      </c>
    </row>
    <row r="8801" spans="1:2" x14ac:dyDescent="0.25">
      <c r="A8801">
        <v>8772</v>
      </c>
      <c r="B8801">
        <v>0.45372449801746467</v>
      </c>
    </row>
    <row r="8802" spans="1:2" x14ac:dyDescent="0.25">
      <c r="A8802">
        <v>8773</v>
      </c>
      <c r="B8802">
        <v>0.44634495075660707</v>
      </c>
    </row>
    <row r="8803" spans="1:2" x14ac:dyDescent="0.25">
      <c r="A8803">
        <v>8774</v>
      </c>
      <c r="B8803">
        <v>0.26708469587895817</v>
      </c>
    </row>
    <row r="8804" spans="1:2" x14ac:dyDescent="0.25">
      <c r="A8804">
        <v>8775</v>
      </c>
      <c r="B8804">
        <v>0.21272333771114091</v>
      </c>
    </row>
    <row r="8805" spans="1:2" x14ac:dyDescent="0.25">
      <c r="A8805">
        <v>8776</v>
      </c>
      <c r="B8805">
        <v>0.29115864373340833</v>
      </c>
    </row>
    <row r="8806" spans="1:2" x14ac:dyDescent="0.25">
      <c r="A8806">
        <v>8777</v>
      </c>
      <c r="B8806">
        <v>0.17680097526269656</v>
      </c>
    </row>
    <row r="8807" spans="1:2" x14ac:dyDescent="0.25">
      <c r="A8807">
        <v>8778</v>
      </c>
      <c r="B8807">
        <v>0.22695840469247805</v>
      </c>
    </row>
    <row r="8808" spans="1:2" x14ac:dyDescent="0.25">
      <c r="A8808">
        <v>8779</v>
      </c>
      <c r="B8808">
        <v>0.24593656003923203</v>
      </c>
    </row>
    <row r="8809" spans="1:2" x14ac:dyDescent="0.25">
      <c r="A8809">
        <v>8780</v>
      </c>
      <c r="B8809">
        <v>4.3725196745811303E-2</v>
      </c>
    </row>
    <row r="8810" spans="1:2" x14ac:dyDescent="0.25">
      <c r="A8810">
        <v>8781</v>
      </c>
      <c r="B8810">
        <v>0.15810176785782684</v>
      </c>
    </row>
    <row r="8811" spans="1:2" x14ac:dyDescent="0.25">
      <c r="A8811">
        <v>8782</v>
      </c>
      <c r="B8811">
        <v>0.13573682047861071</v>
      </c>
    </row>
    <row r="8812" spans="1:2" x14ac:dyDescent="0.25">
      <c r="A8812">
        <v>8783</v>
      </c>
      <c r="B8812">
        <v>0.23849708432736111</v>
      </c>
    </row>
    <row r="8813" spans="1:2" x14ac:dyDescent="0.25">
      <c r="A8813">
        <v>8784</v>
      </c>
      <c r="B8813">
        <v>0.23470014352454444</v>
      </c>
    </row>
    <row r="8814" spans="1:2" x14ac:dyDescent="0.25">
      <c r="A8814">
        <v>8785</v>
      </c>
      <c r="B8814">
        <v>0.53704679988197424</v>
      </c>
    </row>
    <row r="8815" spans="1:2" x14ac:dyDescent="0.25">
      <c r="A8815">
        <v>8786</v>
      </c>
      <c r="B8815">
        <v>9.7094812214716983E-2</v>
      </c>
    </row>
    <row r="8816" spans="1:2" x14ac:dyDescent="0.25">
      <c r="A8816">
        <v>8787</v>
      </c>
      <c r="B8816">
        <v>0.13007790879345285</v>
      </c>
    </row>
    <row r="8817" spans="1:2" x14ac:dyDescent="0.25">
      <c r="A8817">
        <v>8788</v>
      </c>
      <c r="B8817">
        <v>7.0107477510996538E-2</v>
      </c>
    </row>
    <row r="8818" spans="1:2" x14ac:dyDescent="0.25">
      <c r="A8818">
        <v>8789</v>
      </c>
      <c r="B8818">
        <v>0.15407911874550514</v>
      </c>
    </row>
    <row r="8819" spans="1:2" x14ac:dyDescent="0.25">
      <c r="A8819">
        <v>8790</v>
      </c>
      <c r="B8819">
        <v>0.13588584241719889</v>
      </c>
    </row>
    <row r="8820" spans="1:2" x14ac:dyDescent="0.25">
      <c r="A8820">
        <v>8791</v>
      </c>
      <c r="B8820">
        <v>0.6657031572668034</v>
      </c>
    </row>
    <row r="8821" spans="1:2" x14ac:dyDescent="0.25">
      <c r="A8821">
        <v>8792</v>
      </c>
      <c r="B8821">
        <v>0.20761079811297034</v>
      </c>
    </row>
    <row r="8822" spans="1:2" x14ac:dyDescent="0.25">
      <c r="A8822">
        <v>8793</v>
      </c>
      <c r="B8822">
        <v>0.27161943459909377</v>
      </c>
    </row>
    <row r="8823" spans="1:2" x14ac:dyDescent="0.25">
      <c r="A8823">
        <v>8794</v>
      </c>
      <c r="B8823">
        <v>0.48875710202052802</v>
      </c>
    </row>
    <row r="8824" spans="1:2" x14ac:dyDescent="0.25">
      <c r="A8824">
        <v>8795</v>
      </c>
      <c r="B8824">
        <v>0.14622517904650351</v>
      </c>
    </row>
    <row r="8825" spans="1:2" x14ac:dyDescent="0.25">
      <c r="A8825">
        <v>8796</v>
      </c>
      <c r="B8825">
        <v>0.4331374767855003</v>
      </c>
    </row>
    <row r="8826" spans="1:2" x14ac:dyDescent="0.25">
      <c r="A8826">
        <v>8797</v>
      </c>
      <c r="B8826">
        <v>0.28381776612578996</v>
      </c>
    </row>
    <row r="8827" spans="1:2" x14ac:dyDescent="0.25">
      <c r="A8827">
        <v>8798</v>
      </c>
      <c r="B8827">
        <v>0.29800430846172976</v>
      </c>
    </row>
    <row r="8828" spans="1:2" x14ac:dyDescent="0.25">
      <c r="A8828">
        <v>8799</v>
      </c>
      <c r="B8828">
        <v>0.33790540419188864</v>
      </c>
    </row>
    <row r="8829" spans="1:2" x14ac:dyDescent="0.25">
      <c r="A8829">
        <v>8800</v>
      </c>
      <c r="B8829">
        <v>0.46578657248694239</v>
      </c>
    </row>
    <row r="8830" spans="1:2" x14ac:dyDescent="0.25">
      <c r="A8830">
        <v>8801</v>
      </c>
      <c r="B8830">
        <v>0.18197176643770399</v>
      </c>
    </row>
    <row r="8831" spans="1:2" x14ac:dyDescent="0.25">
      <c r="A8831">
        <v>8802</v>
      </c>
      <c r="B8831">
        <v>0.43788317331440579</v>
      </c>
    </row>
    <row r="8832" spans="1:2" x14ac:dyDescent="0.25">
      <c r="A8832">
        <v>8803</v>
      </c>
      <c r="B8832">
        <v>0.22023831511090258</v>
      </c>
    </row>
    <row r="8833" spans="1:2" x14ac:dyDescent="0.25">
      <c r="A8833">
        <v>8804</v>
      </c>
      <c r="B8833">
        <v>7.543477215144824E-2</v>
      </c>
    </row>
    <row r="8834" spans="1:2" x14ac:dyDescent="0.25">
      <c r="A8834">
        <v>8805</v>
      </c>
      <c r="B8834">
        <v>6.2022541901586174E-2</v>
      </c>
    </row>
    <row r="8835" spans="1:2" x14ac:dyDescent="0.25">
      <c r="A8835">
        <v>8806</v>
      </c>
      <c r="B8835">
        <v>8.812803699613378E-2</v>
      </c>
    </row>
    <row r="8836" spans="1:2" x14ac:dyDescent="0.25">
      <c r="A8836">
        <v>8807</v>
      </c>
      <c r="B8836">
        <v>0.33164693556619063</v>
      </c>
    </row>
    <row r="8837" spans="1:2" x14ac:dyDescent="0.25">
      <c r="A8837">
        <v>8808</v>
      </c>
      <c r="B8837">
        <v>0.42440424120043913</v>
      </c>
    </row>
    <row r="8838" spans="1:2" x14ac:dyDescent="0.25">
      <c r="A8838">
        <v>8809</v>
      </c>
      <c r="B8838">
        <v>0.26351583941041701</v>
      </c>
    </row>
    <row r="8839" spans="1:2" x14ac:dyDescent="0.25">
      <c r="A8839">
        <v>8810</v>
      </c>
      <c r="B8839">
        <v>0.38981116922321291</v>
      </c>
    </row>
    <row r="8840" spans="1:2" x14ac:dyDescent="0.25">
      <c r="A8840">
        <v>8811</v>
      </c>
      <c r="B8840">
        <v>0.49944104712679982</v>
      </c>
    </row>
    <row r="8841" spans="1:2" x14ac:dyDescent="0.25">
      <c r="A8841">
        <v>8812</v>
      </c>
      <c r="B8841">
        <v>0.168914712785247</v>
      </c>
    </row>
    <row r="8842" spans="1:2" x14ac:dyDescent="0.25">
      <c r="A8842">
        <v>8813</v>
      </c>
      <c r="B8842">
        <v>0.20985053621339475</v>
      </c>
    </row>
    <row r="8843" spans="1:2" x14ac:dyDescent="0.25">
      <c r="A8843">
        <v>8814</v>
      </c>
      <c r="B8843">
        <v>0.13258132307019255</v>
      </c>
    </row>
    <row r="8844" spans="1:2" x14ac:dyDescent="0.25">
      <c r="A8844">
        <v>8815</v>
      </c>
      <c r="B8844">
        <v>0.23617818161458873</v>
      </c>
    </row>
    <row r="8845" spans="1:2" x14ac:dyDescent="0.25">
      <c r="A8845">
        <v>8816</v>
      </c>
      <c r="B8845">
        <v>0.12377675518468498</v>
      </c>
    </row>
    <row r="8846" spans="1:2" x14ac:dyDescent="0.25">
      <c r="A8846">
        <v>8817</v>
      </c>
      <c r="B8846">
        <v>2.1249003839008105E-2</v>
      </c>
    </row>
    <row r="8847" spans="1:2" x14ac:dyDescent="0.25">
      <c r="A8847">
        <v>8818</v>
      </c>
      <c r="B8847">
        <v>0.30992288261695228</v>
      </c>
    </row>
    <row r="8848" spans="1:2" x14ac:dyDescent="0.25">
      <c r="A8848">
        <v>8819</v>
      </c>
      <c r="B8848">
        <v>0.16826695918658174</v>
      </c>
    </row>
    <row r="8849" spans="1:2" x14ac:dyDescent="0.25">
      <c r="A8849">
        <v>8820</v>
      </c>
      <c r="B8849">
        <v>0.18372332080574574</v>
      </c>
    </row>
    <row r="8850" spans="1:2" x14ac:dyDescent="0.25">
      <c r="A8850">
        <v>8821</v>
      </c>
      <c r="B8850">
        <v>0.11963935624776625</v>
      </c>
    </row>
    <row r="8851" spans="1:2" x14ac:dyDescent="0.25">
      <c r="A8851">
        <v>8822</v>
      </c>
      <c r="B8851">
        <v>0.40257886831614836</v>
      </c>
    </row>
    <row r="8852" spans="1:2" x14ac:dyDescent="0.25">
      <c r="A8852">
        <v>8823</v>
      </c>
      <c r="B8852">
        <v>0.16164296823827443</v>
      </c>
    </row>
    <row r="8853" spans="1:2" x14ac:dyDescent="0.25">
      <c r="A8853">
        <v>8824</v>
      </c>
      <c r="B8853">
        <v>1.3208326971886926</v>
      </c>
    </row>
    <row r="8854" spans="1:2" x14ac:dyDescent="0.25">
      <c r="A8854">
        <v>8825</v>
      </c>
      <c r="B8854">
        <v>6.2200873992865474E-2</v>
      </c>
    </row>
    <row r="8855" spans="1:2" x14ac:dyDescent="0.25">
      <c r="A8855">
        <v>8826</v>
      </c>
      <c r="B8855">
        <v>0.11193516521378573</v>
      </c>
    </row>
    <row r="8856" spans="1:2" x14ac:dyDescent="0.25">
      <c r="A8856">
        <v>8827</v>
      </c>
      <c r="B8856">
        <v>0.12633085603054031</v>
      </c>
    </row>
    <row r="8857" spans="1:2" x14ac:dyDescent="0.25">
      <c r="A8857">
        <v>8828</v>
      </c>
      <c r="B8857">
        <v>0.12701240611890624</v>
      </c>
    </row>
    <row r="8858" spans="1:2" x14ac:dyDescent="0.25">
      <c r="A8858">
        <v>8829</v>
      </c>
      <c r="B8858">
        <v>0.25087113032682112</v>
      </c>
    </row>
    <row r="8859" spans="1:2" x14ac:dyDescent="0.25">
      <c r="A8859">
        <v>8830</v>
      </c>
      <c r="B8859">
        <v>0.12912957134560077</v>
      </c>
    </row>
    <row r="8860" spans="1:2" x14ac:dyDescent="0.25">
      <c r="A8860">
        <v>8831</v>
      </c>
      <c r="B8860">
        <v>0.11899338228491202</v>
      </c>
    </row>
    <row r="8861" spans="1:2" x14ac:dyDescent="0.25">
      <c r="A8861">
        <v>8832</v>
      </c>
      <c r="B8861">
        <v>3.3275288132027403E-2</v>
      </c>
    </row>
    <row r="8862" spans="1:2" x14ac:dyDescent="0.25">
      <c r="A8862">
        <v>8833</v>
      </c>
      <c r="B8862">
        <v>0.24052750503494053</v>
      </c>
    </row>
    <row r="8863" spans="1:2" x14ac:dyDescent="0.25">
      <c r="A8863">
        <v>8834</v>
      </c>
      <c r="B8863">
        <v>5.6540939234869025E-2</v>
      </c>
    </row>
    <row r="8864" spans="1:2" x14ac:dyDescent="0.25">
      <c r="A8864">
        <v>8835</v>
      </c>
      <c r="B8864">
        <v>0.40151502754112106</v>
      </c>
    </row>
    <row r="8865" spans="1:2" x14ac:dyDescent="0.25">
      <c r="A8865">
        <v>8836</v>
      </c>
      <c r="B8865">
        <v>0.26612449318444281</v>
      </c>
    </row>
    <row r="8866" spans="1:2" x14ac:dyDescent="0.25">
      <c r="A8866">
        <v>8837</v>
      </c>
      <c r="B8866">
        <v>0.33146747152416034</v>
      </c>
    </row>
    <row r="8867" spans="1:2" x14ac:dyDescent="0.25">
      <c r="A8867">
        <v>8838</v>
      </c>
      <c r="B8867">
        <v>0.53150817006514794</v>
      </c>
    </row>
    <row r="8868" spans="1:2" x14ac:dyDescent="0.25">
      <c r="A8868">
        <v>8839</v>
      </c>
      <c r="B8868">
        <v>0.30322063513983766</v>
      </c>
    </row>
    <row r="8869" spans="1:2" x14ac:dyDescent="0.25">
      <c r="A8869">
        <v>8840</v>
      </c>
      <c r="B8869">
        <v>0.20194521390873196</v>
      </c>
    </row>
    <row r="8870" spans="1:2" x14ac:dyDescent="0.25">
      <c r="A8870">
        <v>8841</v>
      </c>
      <c r="B8870">
        <v>0.28752160053003945</v>
      </c>
    </row>
    <row r="8871" spans="1:2" x14ac:dyDescent="0.25">
      <c r="A8871">
        <v>8842</v>
      </c>
      <c r="B8871">
        <v>0.28513533209466752</v>
      </c>
    </row>
    <row r="8872" spans="1:2" x14ac:dyDescent="0.25">
      <c r="A8872">
        <v>8843</v>
      </c>
      <c r="B8872">
        <v>0.10865869662591975</v>
      </c>
    </row>
    <row r="8873" spans="1:2" x14ac:dyDescent="0.25">
      <c r="A8873">
        <v>8844</v>
      </c>
      <c r="B8873">
        <v>0.13176927761738816</v>
      </c>
    </row>
    <row r="8874" spans="1:2" x14ac:dyDescent="0.25">
      <c r="A8874">
        <v>8845</v>
      </c>
      <c r="B8874">
        <v>0.29014543591554415</v>
      </c>
    </row>
    <row r="8875" spans="1:2" x14ac:dyDescent="0.25">
      <c r="A8875">
        <v>8846</v>
      </c>
      <c r="B8875">
        <v>0.35231141226670365</v>
      </c>
    </row>
    <row r="8876" spans="1:2" x14ac:dyDescent="0.25">
      <c r="A8876">
        <v>8847</v>
      </c>
      <c r="B8876">
        <v>0.12290859420570455</v>
      </c>
    </row>
    <row r="8877" spans="1:2" x14ac:dyDescent="0.25">
      <c r="A8877">
        <v>8848</v>
      </c>
      <c r="B8877">
        <v>5.5090261968600028E-2</v>
      </c>
    </row>
    <row r="8878" spans="1:2" x14ac:dyDescent="0.25">
      <c r="A8878">
        <v>8849</v>
      </c>
      <c r="B8878">
        <v>0.24504111341657556</v>
      </c>
    </row>
    <row r="8879" spans="1:2" x14ac:dyDescent="0.25">
      <c r="A8879">
        <v>8850</v>
      </c>
      <c r="B8879">
        <v>0.1288847923273311</v>
      </c>
    </row>
    <row r="8880" spans="1:2" x14ac:dyDescent="0.25">
      <c r="A8880">
        <v>8851</v>
      </c>
      <c r="B8880">
        <v>0.55132013356459741</v>
      </c>
    </row>
    <row r="8881" spans="1:2" x14ac:dyDescent="0.25">
      <c r="A8881">
        <v>8852</v>
      </c>
      <c r="B8881">
        <v>0.21471827152467712</v>
      </c>
    </row>
    <row r="8882" spans="1:2" x14ac:dyDescent="0.25">
      <c r="A8882">
        <v>8853</v>
      </c>
      <c r="B8882">
        <v>9.9865405237433355E-2</v>
      </c>
    </row>
    <row r="8883" spans="1:2" x14ac:dyDescent="0.25">
      <c r="A8883">
        <v>8854</v>
      </c>
      <c r="B8883">
        <v>7.741250296250389E-2</v>
      </c>
    </row>
    <row r="8884" spans="1:2" x14ac:dyDescent="0.25">
      <c r="A8884">
        <v>8855</v>
      </c>
      <c r="B8884">
        <v>9.8153818981269736E-2</v>
      </c>
    </row>
    <row r="8885" spans="1:2" x14ac:dyDescent="0.25">
      <c r="A8885">
        <v>8856</v>
      </c>
      <c r="B8885">
        <v>0.25108201812451458</v>
      </c>
    </row>
    <row r="8886" spans="1:2" x14ac:dyDescent="0.25">
      <c r="A8886">
        <v>8857</v>
      </c>
      <c r="B8886">
        <v>9.2156800747004899E-2</v>
      </c>
    </row>
    <row r="8887" spans="1:2" x14ac:dyDescent="0.25">
      <c r="A8887">
        <v>8858</v>
      </c>
      <c r="B8887">
        <v>9.1343597401737739E-2</v>
      </c>
    </row>
    <row r="8888" spans="1:2" x14ac:dyDescent="0.25">
      <c r="A8888">
        <v>8859</v>
      </c>
      <c r="B8888">
        <v>9.376739116484302E-2</v>
      </c>
    </row>
    <row r="8889" spans="1:2" x14ac:dyDescent="0.25">
      <c r="A8889">
        <v>8860</v>
      </c>
      <c r="B8889">
        <v>0.33570815292796324</v>
      </c>
    </row>
    <row r="8890" spans="1:2" x14ac:dyDescent="0.25">
      <c r="A8890">
        <v>8861</v>
      </c>
      <c r="B8890">
        <v>0.14373354855701234</v>
      </c>
    </row>
    <row r="8891" spans="1:2" x14ac:dyDescent="0.25">
      <c r="A8891">
        <v>8862</v>
      </c>
      <c r="B8891">
        <v>4.8482958792793858E-2</v>
      </c>
    </row>
    <row r="8892" spans="1:2" x14ac:dyDescent="0.25">
      <c r="A8892">
        <v>8863</v>
      </c>
      <c r="B8892">
        <v>0.20580882727738242</v>
      </c>
    </row>
    <row r="8893" spans="1:2" x14ac:dyDescent="0.25">
      <c r="A8893">
        <v>8864</v>
      </c>
      <c r="B8893">
        <v>0.21310763585679021</v>
      </c>
    </row>
    <row r="8894" spans="1:2" x14ac:dyDescent="0.25">
      <c r="A8894">
        <v>8865</v>
      </c>
      <c r="B8894">
        <v>0.15172957821900102</v>
      </c>
    </row>
    <row r="8895" spans="1:2" x14ac:dyDescent="0.25">
      <c r="A8895">
        <v>8866</v>
      </c>
      <c r="B8895">
        <v>5.0871247732685164E-2</v>
      </c>
    </row>
    <row r="8896" spans="1:2" x14ac:dyDescent="0.25">
      <c r="A8896">
        <v>8867</v>
      </c>
      <c r="B8896">
        <v>0.20249102129985402</v>
      </c>
    </row>
    <row r="8897" spans="1:2" x14ac:dyDescent="0.25">
      <c r="A8897">
        <v>8868</v>
      </c>
      <c r="B8897">
        <v>0.14135728093753103</v>
      </c>
    </row>
    <row r="8898" spans="1:2" x14ac:dyDescent="0.25">
      <c r="A8898">
        <v>8869</v>
      </c>
      <c r="B8898">
        <v>0.33488270251787644</v>
      </c>
    </row>
    <row r="8899" spans="1:2" x14ac:dyDescent="0.25">
      <c r="A8899">
        <v>8870</v>
      </c>
      <c r="B8899">
        <v>0.16253718648026746</v>
      </c>
    </row>
    <row r="8900" spans="1:2" x14ac:dyDescent="0.25">
      <c r="A8900">
        <v>8871</v>
      </c>
      <c r="B8900">
        <v>0.16456680988572367</v>
      </c>
    </row>
    <row r="8901" spans="1:2" x14ac:dyDescent="0.25">
      <c r="A8901">
        <v>8872</v>
      </c>
      <c r="B8901">
        <v>0.2410045231658379</v>
      </c>
    </row>
    <row r="8902" spans="1:2" x14ac:dyDescent="0.25">
      <c r="A8902">
        <v>8873</v>
      </c>
      <c r="B8902">
        <v>7.6174052613674659E-2</v>
      </c>
    </row>
    <row r="8903" spans="1:2" x14ac:dyDescent="0.25">
      <c r="A8903">
        <v>8874</v>
      </c>
      <c r="B8903">
        <v>8.5453271934231675E-2</v>
      </c>
    </row>
    <row r="8904" spans="1:2" x14ac:dyDescent="0.25">
      <c r="A8904">
        <v>8875</v>
      </c>
      <c r="B8904">
        <v>0.17955451168981831</v>
      </c>
    </row>
    <row r="8905" spans="1:2" x14ac:dyDescent="0.25">
      <c r="A8905">
        <v>8876</v>
      </c>
      <c r="B8905">
        <v>0.25660669253709129</v>
      </c>
    </row>
    <row r="8906" spans="1:2" x14ac:dyDescent="0.25">
      <c r="A8906">
        <v>8877</v>
      </c>
      <c r="B8906">
        <v>0.14662728771252465</v>
      </c>
    </row>
    <row r="8907" spans="1:2" x14ac:dyDescent="0.25">
      <c r="A8907">
        <v>8878</v>
      </c>
      <c r="B8907">
        <v>0.10237748820493467</v>
      </c>
    </row>
    <row r="8908" spans="1:2" x14ac:dyDescent="0.25">
      <c r="A8908">
        <v>8879</v>
      </c>
      <c r="B8908">
        <v>0.18024877655013752</v>
      </c>
    </row>
    <row r="8909" spans="1:2" x14ac:dyDescent="0.25">
      <c r="A8909">
        <v>8880</v>
      </c>
      <c r="B8909">
        <v>7.7506393356547118E-2</v>
      </c>
    </row>
    <row r="8910" spans="1:2" x14ac:dyDescent="0.25">
      <c r="A8910">
        <v>8881</v>
      </c>
      <c r="B8910">
        <v>0.17000909694654184</v>
      </c>
    </row>
    <row r="8911" spans="1:2" x14ac:dyDescent="0.25">
      <c r="A8911">
        <v>8882</v>
      </c>
      <c r="B8911">
        <v>0.42376588711024621</v>
      </c>
    </row>
    <row r="8912" spans="1:2" x14ac:dyDescent="0.25">
      <c r="A8912">
        <v>8883</v>
      </c>
      <c r="B8912">
        <v>6.5408798333437365E-2</v>
      </c>
    </row>
    <row r="8913" spans="1:2" x14ac:dyDescent="0.25">
      <c r="A8913">
        <v>8884</v>
      </c>
      <c r="B8913">
        <v>0.5710333445978325</v>
      </c>
    </row>
    <row r="8914" spans="1:2" x14ac:dyDescent="0.25">
      <c r="A8914">
        <v>8885</v>
      </c>
      <c r="B8914">
        <v>0.24301548159627559</v>
      </c>
    </row>
    <row r="8915" spans="1:2" x14ac:dyDescent="0.25">
      <c r="A8915">
        <v>8886</v>
      </c>
      <c r="B8915">
        <v>0.19690993182196992</v>
      </c>
    </row>
    <row r="8916" spans="1:2" x14ac:dyDescent="0.25">
      <c r="A8916">
        <v>8887</v>
      </c>
      <c r="B8916">
        <v>0.32206568072352082</v>
      </c>
    </row>
    <row r="8917" spans="1:2" x14ac:dyDescent="0.25">
      <c r="A8917">
        <v>8888</v>
      </c>
      <c r="B8917">
        <v>6.4179839332130242E-2</v>
      </c>
    </row>
    <row r="8918" spans="1:2" x14ac:dyDescent="0.25">
      <c r="A8918">
        <v>8889</v>
      </c>
      <c r="B8918">
        <v>0.11403514534042893</v>
      </c>
    </row>
    <row r="8919" spans="1:2" x14ac:dyDescent="0.25">
      <c r="A8919">
        <v>8890</v>
      </c>
      <c r="B8919">
        <v>0.13272983533116212</v>
      </c>
    </row>
    <row r="8920" spans="1:2" x14ac:dyDescent="0.25">
      <c r="A8920">
        <v>8891</v>
      </c>
      <c r="B8920">
        <v>1.2815238221592025</v>
      </c>
    </row>
    <row r="8921" spans="1:2" x14ac:dyDescent="0.25">
      <c r="A8921">
        <v>8892</v>
      </c>
      <c r="B8921">
        <v>0.19900404746829103</v>
      </c>
    </row>
    <row r="8922" spans="1:2" x14ac:dyDescent="0.25">
      <c r="A8922">
        <v>8893</v>
      </c>
      <c r="B8922">
        <v>0.2535857863527386</v>
      </c>
    </row>
    <row r="8923" spans="1:2" x14ac:dyDescent="0.25">
      <c r="A8923">
        <v>8894</v>
      </c>
      <c r="B8923">
        <v>0.7609270101581832</v>
      </c>
    </row>
    <row r="8924" spans="1:2" x14ac:dyDescent="0.25">
      <c r="A8924">
        <v>8895</v>
      </c>
      <c r="B8924">
        <v>0.6474741503687641</v>
      </c>
    </row>
    <row r="8925" spans="1:2" x14ac:dyDescent="0.25">
      <c r="A8925">
        <v>8896</v>
      </c>
      <c r="B8925">
        <v>0.38260910600700626</v>
      </c>
    </row>
    <row r="8926" spans="1:2" x14ac:dyDescent="0.25">
      <c r="A8926">
        <v>8897</v>
      </c>
      <c r="B8926">
        <v>0.43323779261326661</v>
      </c>
    </row>
    <row r="8927" spans="1:2" x14ac:dyDescent="0.25">
      <c r="A8927">
        <v>8898</v>
      </c>
      <c r="B8927">
        <v>0.10441078731921832</v>
      </c>
    </row>
    <row r="8928" spans="1:2" x14ac:dyDescent="0.25">
      <c r="A8928">
        <v>8899</v>
      </c>
      <c r="B8928">
        <v>0.22723101502367096</v>
      </c>
    </row>
    <row r="8929" spans="1:2" x14ac:dyDescent="0.25">
      <c r="A8929">
        <v>8900</v>
      </c>
      <c r="B8929">
        <v>0.31667222359121405</v>
      </c>
    </row>
    <row r="8930" spans="1:2" x14ac:dyDescent="0.25">
      <c r="A8930">
        <v>8901</v>
      </c>
      <c r="B8930">
        <v>0.51905890692770362</v>
      </c>
    </row>
    <row r="8931" spans="1:2" x14ac:dyDescent="0.25">
      <c r="A8931">
        <v>8902</v>
      </c>
      <c r="B8931">
        <v>0.1241153173052895</v>
      </c>
    </row>
    <row r="8932" spans="1:2" x14ac:dyDescent="0.25">
      <c r="A8932">
        <v>8903</v>
      </c>
      <c r="B8932">
        <v>8.9777791542492852E-2</v>
      </c>
    </row>
    <row r="8933" spans="1:2" x14ac:dyDescent="0.25">
      <c r="A8933">
        <v>8904</v>
      </c>
      <c r="B8933">
        <v>0.26051655124632017</v>
      </c>
    </row>
    <row r="8934" spans="1:2" x14ac:dyDescent="0.25">
      <c r="A8934">
        <v>8905</v>
      </c>
      <c r="B8934">
        <v>0.2379297541509289</v>
      </c>
    </row>
    <row r="8935" spans="1:2" x14ac:dyDescent="0.25">
      <c r="A8935">
        <v>8906</v>
      </c>
      <c r="B8935">
        <v>0.12035725203065396</v>
      </c>
    </row>
    <row r="8936" spans="1:2" x14ac:dyDescent="0.25">
      <c r="A8936">
        <v>8907</v>
      </c>
      <c r="B8936">
        <v>0.16496450602852014</v>
      </c>
    </row>
    <row r="8937" spans="1:2" x14ac:dyDescent="0.25">
      <c r="A8937">
        <v>8908</v>
      </c>
      <c r="B8937">
        <v>0.266186527113699</v>
      </c>
    </row>
    <row r="8938" spans="1:2" x14ac:dyDescent="0.25">
      <c r="A8938">
        <v>8909</v>
      </c>
      <c r="B8938">
        <v>0.3846406566287231</v>
      </c>
    </row>
    <row r="8939" spans="1:2" x14ac:dyDescent="0.25">
      <c r="A8939">
        <v>8910</v>
      </c>
      <c r="B8939">
        <v>3.7044335360867736E-2</v>
      </c>
    </row>
    <row r="8940" spans="1:2" x14ac:dyDescent="0.25">
      <c r="A8940">
        <v>8911</v>
      </c>
      <c r="B8940">
        <v>0.18474194405712704</v>
      </c>
    </row>
    <row r="8941" spans="1:2" x14ac:dyDescent="0.25">
      <c r="A8941">
        <v>8912</v>
      </c>
      <c r="B8941">
        <v>0.2153208306962294</v>
      </c>
    </row>
    <row r="8942" spans="1:2" x14ac:dyDescent="0.25">
      <c r="A8942">
        <v>8913</v>
      </c>
      <c r="B8942">
        <v>0.16811966005177253</v>
      </c>
    </row>
    <row r="8943" spans="1:2" x14ac:dyDescent="0.25">
      <c r="A8943">
        <v>8914</v>
      </c>
      <c r="B8943">
        <v>0.47510752273874157</v>
      </c>
    </row>
    <row r="8944" spans="1:2" x14ac:dyDescent="0.25">
      <c r="A8944">
        <v>8915</v>
      </c>
      <c r="B8944">
        <v>0.32486454666422937</v>
      </c>
    </row>
    <row r="8945" spans="1:2" x14ac:dyDescent="0.25">
      <c r="A8945">
        <v>8916</v>
      </c>
      <c r="B8945">
        <v>6.1507823567349358E-2</v>
      </c>
    </row>
    <row r="8946" spans="1:2" x14ac:dyDescent="0.25">
      <c r="A8946">
        <v>8917</v>
      </c>
      <c r="B8946">
        <v>0.33917345574761787</v>
      </c>
    </row>
    <row r="8947" spans="1:2" x14ac:dyDescent="0.25">
      <c r="A8947">
        <v>8918</v>
      </c>
      <c r="B8947">
        <v>0.2602849555883846</v>
      </c>
    </row>
    <row r="8948" spans="1:2" x14ac:dyDescent="0.25">
      <c r="A8948">
        <v>8919</v>
      </c>
      <c r="B8948">
        <v>0.27993923515136737</v>
      </c>
    </row>
    <row r="8949" spans="1:2" x14ac:dyDescent="0.25">
      <c r="A8949">
        <v>8920</v>
      </c>
      <c r="B8949">
        <v>9.7574385779037764E-2</v>
      </c>
    </row>
    <row r="8950" spans="1:2" x14ac:dyDescent="0.25">
      <c r="A8950">
        <v>8921</v>
      </c>
      <c r="B8950">
        <v>0.25185362656898985</v>
      </c>
    </row>
    <row r="8951" spans="1:2" x14ac:dyDescent="0.25">
      <c r="A8951">
        <v>8922</v>
      </c>
      <c r="B8951">
        <v>0.16137646090826782</v>
      </c>
    </row>
    <row r="8952" spans="1:2" x14ac:dyDescent="0.25">
      <c r="A8952">
        <v>8923</v>
      </c>
      <c r="B8952">
        <v>0.26724614448917861</v>
      </c>
    </row>
    <row r="8953" spans="1:2" x14ac:dyDescent="0.25">
      <c r="A8953">
        <v>8924</v>
      </c>
      <c r="B8953">
        <v>0.55866412012116895</v>
      </c>
    </row>
    <row r="8954" spans="1:2" x14ac:dyDescent="0.25">
      <c r="A8954">
        <v>8925</v>
      </c>
      <c r="B8954">
        <v>0.15281829265385863</v>
      </c>
    </row>
    <row r="8955" spans="1:2" x14ac:dyDescent="0.25">
      <c r="A8955">
        <v>8926</v>
      </c>
      <c r="B8955">
        <v>0.39320527062972616</v>
      </c>
    </row>
    <row r="8956" spans="1:2" x14ac:dyDescent="0.25">
      <c r="A8956">
        <v>8927</v>
      </c>
      <c r="B8956">
        <v>0.28909894840244077</v>
      </c>
    </row>
    <row r="8957" spans="1:2" x14ac:dyDescent="0.25">
      <c r="A8957">
        <v>8928</v>
      </c>
      <c r="B8957">
        <v>3.3768042784072791E-2</v>
      </c>
    </row>
    <row r="8958" spans="1:2" x14ac:dyDescent="0.25">
      <c r="A8958">
        <v>8929</v>
      </c>
      <c r="B8958">
        <v>0.19440211380710265</v>
      </c>
    </row>
    <row r="8959" spans="1:2" x14ac:dyDescent="0.25">
      <c r="A8959">
        <v>8930</v>
      </c>
      <c r="B8959">
        <v>0.41110758157964</v>
      </c>
    </row>
    <row r="8960" spans="1:2" x14ac:dyDescent="0.25">
      <c r="A8960">
        <v>8931</v>
      </c>
      <c r="B8960">
        <v>5.7686706150974883E-2</v>
      </c>
    </row>
    <row r="8961" spans="1:2" x14ac:dyDescent="0.25">
      <c r="A8961">
        <v>8932</v>
      </c>
      <c r="B8961">
        <v>0.3199287385467055</v>
      </c>
    </row>
    <row r="8962" spans="1:2" x14ac:dyDescent="0.25">
      <c r="A8962">
        <v>8933</v>
      </c>
      <c r="B8962">
        <v>0.46852796966618587</v>
      </c>
    </row>
    <row r="8963" spans="1:2" x14ac:dyDescent="0.25">
      <c r="A8963">
        <v>8934</v>
      </c>
      <c r="B8963">
        <v>6.7846294086715442E-2</v>
      </c>
    </row>
    <row r="8964" spans="1:2" x14ac:dyDescent="0.25">
      <c r="A8964">
        <v>8935</v>
      </c>
      <c r="B8964">
        <v>0.19547210278448948</v>
      </c>
    </row>
    <row r="8965" spans="1:2" x14ac:dyDescent="0.25">
      <c r="A8965">
        <v>8936</v>
      </c>
      <c r="B8965">
        <v>0.1208571791392946</v>
      </c>
    </row>
    <row r="8966" spans="1:2" x14ac:dyDescent="0.25">
      <c r="A8966">
        <v>8937</v>
      </c>
      <c r="B8966">
        <v>9.1673757033644748E-2</v>
      </c>
    </row>
    <row r="8967" spans="1:2" x14ac:dyDescent="0.25">
      <c r="A8967">
        <v>8938</v>
      </c>
      <c r="B8967">
        <v>0.13258998104295389</v>
      </c>
    </row>
    <row r="8968" spans="1:2" x14ac:dyDescent="0.25">
      <c r="A8968">
        <v>8939</v>
      </c>
      <c r="B8968">
        <v>0.41739511484082209</v>
      </c>
    </row>
    <row r="8969" spans="1:2" x14ac:dyDescent="0.25">
      <c r="A8969">
        <v>8940</v>
      </c>
      <c r="B8969">
        <v>0.39043012894887474</v>
      </c>
    </row>
    <row r="8970" spans="1:2" x14ac:dyDescent="0.25">
      <c r="A8970">
        <v>8941</v>
      </c>
      <c r="B8970">
        <v>0.13479229564406683</v>
      </c>
    </row>
    <row r="8971" spans="1:2" x14ac:dyDescent="0.25">
      <c r="A8971">
        <v>8942</v>
      </c>
      <c r="B8971">
        <v>0.27555401788954914</v>
      </c>
    </row>
    <row r="8972" spans="1:2" x14ac:dyDescent="0.25">
      <c r="A8972">
        <v>8943</v>
      </c>
      <c r="B8972">
        <v>0.10807880665278105</v>
      </c>
    </row>
    <row r="8973" spans="1:2" x14ac:dyDescent="0.25">
      <c r="A8973">
        <v>8944</v>
      </c>
      <c r="B8973">
        <v>0.27925372430458734</v>
      </c>
    </row>
    <row r="8974" spans="1:2" x14ac:dyDescent="0.25">
      <c r="A8974">
        <v>8945</v>
      </c>
      <c r="B8974">
        <v>0.29735693232504934</v>
      </c>
    </row>
    <row r="8975" spans="1:2" x14ac:dyDescent="0.25">
      <c r="A8975">
        <v>8946</v>
      </c>
      <c r="B8975">
        <v>0.20341439011582807</v>
      </c>
    </row>
    <row r="8976" spans="1:2" x14ac:dyDescent="0.25">
      <c r="A8976">
        <v>8947</v>
      </c>
      <c r="B8976">
        <v>0.24804493943906594</v>
      </c>
    </row>
    <row r="8977" spans="1:2" x14ac:dyDescent="0.25">
      <c r="A8977">
        <v>8948</v>
      </c>
      <c r="B8977">
        <v>0.25407249383466773</v>
      </c>
    </row>
    <row r="8978" spans="1:2" x14ac:dyDescent="0.25">
      <c r="A8978">
        <v>8949</v>
      </c>
      <c r="B8978">
        <v>4.275529364656145E-2</v>
      </c>
    </row>
    <row r="8979" spans="1:2" x14ac:dyDescent="0.25">
      <c r="A8979">
        <v>8950</v>
      </c>
      <c r="B8979">
        <v>0.23448161996896993</v>
      </c>
    </row>
    <row r="8980" spans="1:2" x14ac:dyDescent="0.25">
      <c r="A8980">
        <v>8951</v>
      </c>
      <c r="B8980">
        <v>0.18716798177034319</v>
      </c>
    </row>
    <row r="8981" spans="1:2" x14ac:dyDescent="0.25">
      <c r="A8981">
        <v>8952</v>
      </c>
      <c r="B8981">
        <v>0.26732999064060603</v>
      </c>
    </row>
    <row r="8982" spans="1:2" x14ac:dyDescent="0.25">
      <c r="A8982">
        <v>8953</v>
      </c>
      <c r="B8982">
        <v>0.13244388793794387</v>
      </c>
    </row>
    <row r="8983" spans="1:2" x14ac:dyDescent="0.25">
      <c r="A8983">
        <v>8954</v>
      </c>
      <c r="B8983">
        <v>0.24070172812956844</v>
      </c>
    </row>
    <row r="8984" spans="1:2" x14ac:dyDescent="0.25">
      <c r="A8984">
        <v>8955</v>
      </c>
      <c r="B8984">
        <v>0.10411953901964496</v>
      </c>
    </row>
    <row r="8985" spans="1:2" x14ac:dyDescent="0.25">
      <c r="A8985">
        <v>8956</v>
      </c>
      <c r="B8985">
        <v>0.1369813272043103</v>
      </c>
    </row>
    <row r="8986" spans="1:2" x14ac:dyDescent="0.25">
      <c r="A8986">
        <v>8957</v>
      </c>
      <c r="B8986">
        <v>0.63644161730951954</v>
      </c>
    </row>
    <row r="8987" spans="1:2" x14ac:dyDescent="0.25">
      <c r="A8987">
        <v>8958</v>
      </c>
      <c r="B8987">
        <v>0.1701166293081342</v>
      </c>
    </row>
    <row r="8988" spans="1:2" x14ac:dyDescent="0.25">
      <c r="A8988">
        <v>8959</v>
      </c>
      <c r="B8988">
        <v>0.49956001221538215</v>
      </c>
    </row>
    <row r="8989" spans="1:2" x14ac:dyDescent="0.25">
      <c r="A8989">
        <v>8960</v>
      </c>
      <c r="B8989">
        <v>0.14065547482239046</v>
      </c>
    </row>
    <row r="8990" spans="1:2" x14ac:dyDescent="0.25">
      <c r="A8990">
        <v>8961</v>
      </c>
      <c r="B8990">
        <v>0.40257570882104604</v>
      </c>
    </row>
    <row r="8991" spans="1:2" x14ac:dyDescent="0.25">
      <c r="A8991">
        <v>8962</v>
      </c>
      <c r="B8991">
        <v>0.21310161730958699</v>
      </c>
    </row>
    <row r="8992" spans="1:2" x14ac:dyDescent="0.25">
      <c r="A8992">
        <v>8963</v>
      </c>
      <c r="B8992">
        <v>0.10097504661495667</v>
      </c>
    </row>
    <row r="8993" spans="1:2" x14ac:dyDescent="0.25">
      <c r="A8993">
        <v>8964</v>
      </c>
      <c r="B8993">
        <v>0.43522011244529712</v>
      </c>
    </row>
    <row r="8994" spans="1:2" x14ac:dyDescent="0.25">
      <c r="A8994">
        <v>8965</v>
      </c>
      <c r="B8994">
        <v>0.16650646732176394</v>
      </c>
    </row>
    <row r="8995" spans="1:2" x14ac:dyDescent="0.25">
      <c r="A8995">
        <v>8966</v>
      </c>
      <c r="B8995">
        <v>0.1384809681322979</v>
      </c>
    </row>
    <row r="8996" spans="1:2" x14ac:dyDescent="0.25">
      <c r="A8996">
        <v>8967</v>
      </c>
      <c r="B8996">
        <v>0.28285486058009579</v>
      </c>
    </row>
    <row r="8997" spans="1:2" x14ac:dyDescent="0.25">
      <c r="A8997">
        <v>8968</v>
      </c>
      <c r="B8997">
        <v>0.18532091821100136</v>
      </c>
    </row>
    <row r="8998" spans="1:2" x14ac:dyDescent="0.25">
      <c r="A8998">
        <v>8969</v>
      </c>
      <c r="B8998">
        <v>5.724126765274045E-2</v>
      </c>
    </row>
    <row r="8999" spans="1:2" x14ac:dyDescent="0.25">
      <c r="A8999">
        <v>8970</v>
      </c>
      <c r="B8999">
        <v>0.28459240334650382</v>
      </c>
    </row>
    <row r="9000" spans="1:2" x14ac:dyDescent="0.25">
      <c r="A9000">
        <v>8971</v>
      </c>
      <c r="B9000">
        <v>2.9993151785589336E-2</v>
      </c>
    </row>
    <row r="9001" spans="1:2" x14ac:dyDescent="0.25">
      <c r="A9001">
        <v>8972</v>
      </c>
      <c r="B9001">
        <v>0.16327588416515418</v>
      </c>
    </row>
    <row r="9002" spans="1:2" x14ac:dyDescent="0.25">
      <c r="A9002">
        <v>8973</v>
      </c>
      <c r="B9002">
        <v>0.1083081001700462</v>
      </c>
    </row>
    <row r="9003" spans="1:2" x14ac:dyDescent="0.25">
      <c r="A9003">
        <v>8974</v>
      </c>
      <c r="B9003">
        <v>0.16820751416567756</v>
      </c>
    </row>
    <row r="9004" spans="1:2" x14ac:dyDescent="0.25">
      <c r="A9004">
        <v>8975</v>
      </c>
      <c r="B9004">
        <v>0.33570811497332076</v>
      </c>
    </row>
    <row r="9005" spans="1:2" x14ac:dyDescent="0.25">
      <c r="A9005">
        <v>8976</v>
      </c>
      <c r="B9005">
        <v>0.13597663420631773</v>
      </c>
    </row>
    <row r="9006" spans="1:2" x14ac:dyDescent="0.25">
      <c r="A9006">
        <v>8977</v>
      </c>
      <c r="B9006">
        <v>0.10113009508457825</v>
      </c>
    </row>
    <row r="9007" spans="1:2" x14ac:dyDescent="0.25">
      <c r="A9007">
        <v>8978</v>
      </c>
      <c r="B9007">
        <v>0.16530992338134035</v>
      </c>
    </row>
    <row r="9008" spans="1:2" x14ac:dyDescent="0.25">
      <c r="A9008">
        <v>8979</v>
      </c>
      <c r="B9008">
        <v>0.14084510089765293</v>
      </c>
    </row>
    <row r="9009" spans="1:2" x14ac:dyDescent="0.25">
      <c r="A9009">
        <v>8980</v>
      </c>
      <c r="B9009">
        <v>0.13890581533268848</v>
      </c>
    </row>
    <row r="9010" spans="1:2" x14ac:dyDescent="0.25">
      <c r="A9010">
        <v>8981</v>
      </c>
      <c r="B9010">
        <v>0.42146642889216435</v>
      </c>
    </row>
    <row r="9011" spans="1:2" x14ac:dyDescent="0.25">
      <c r="A9011">
        <v>8982</v>
      </c>
      <c r="B9011">
        <v>0.33888176469941395</v>
      </c>
    </row>
    <row r="9012" spans="1:2" x14ac:dyDescent="0.25">
      <c r="A9012">
        <v>8983</v>
      </c>
      <c r="B9012">
        <v>0.27633707365338656</v>
      </c>
    </row>
    <row r="9013" spans="1:2" x14ac:dyDescent="0.25">
      <c r="A9013">
        <v>8984</v>
      </c>
      <c r="B9013">
        <v>0.21983272881987234</v>
      </c>
    </row>
    <row r="9014" spans="1:2" x14ac:dyDescent="0.25">
      <c r="A9014">
        <v>8985</v>
      </c>
      <c r="B9014">
        <v>0.24128871571735758</v>
      </c>
    </row>
    <row r="9015" spans="1:2" x14ac:dyDescent="0.25">
      <c r="A9015">
        <v>8986</v>
      </c>
      <c r="B9015">
        <v>0.4915497680365194</v>
      </c>
    </row>
    <row r="9016" spans="1:2" x14ac:dyDescent="0.25">
      <c r="A9016">
        <v>8987</v>
      </c>
      <c r="B9016">
        <v>0.58203864751157164</v>
      </c>
    </row>
    <row r="9017" spans="1:2" x14ac:dyDescent="0.25">
      <c r="A9017">
        <v>8988</v>
      </c>
      <c r="B9017">
        <v>0.50697555505853875</v>
      </c>
    </row>
    <row r="9018" spans="1:2" x14ac:dyDescent="0.25">
      <c r="A9018">
        <v>8989</v>
      </c>
      <c r="B9018">
        <v>0.20276186089792161</v>
      </c>
    </row>
    <row r="9019" spans="1:2" x14ac:dyDescent="0.25">
      <c r="A9019">
        <v>8990</v>
      </c>
      <c r="B9019">
        <v>0.12994740808943761</v>
      </c>
    </row>
    <row r="9020" spans="1:2" x14ac:dyDescent="0.25">
      <c r="A9020">
        <v>8991</v>
      </c>
      <c r="B9020">
        <v>0.10470881889733008</v>
      </c>
    </row>
    <row r="9021" spans="1:2" x14ac:dyDescent="0.25">
      <c r="A9021">
        <v>8992</v>
      </c>
      <c r="B9021">
        <v>9.9392405264506323E-2</v>
      </c>
    </row>
    <row r="9022" spans="1:2" x14ac:dyDescent="0.25">
      <c r="A9022">
        <v>8993</v>
      </c>
      <c r="B9022">
        <v>3.005787350816919E-2</v>
      </c>
    </row>
    <row r="9023" spans="1:2" x14ac:dyDescent="0.25">
      <c r="A9023">
        <v>8994</v>
      </c>
      <c r="B9023">
        <v>0.23853350651572161</v>
      </c>
    </row>
    <row r="9024" spans="1:2" x14ac:dyDescent="0.25">
      <c r="A9024">
        <v>8995</v>
      </c>
      <c r="B9024">
        <v>7.8168740432811315E-2</v>
      </c>
    </row>
    <row r="9025" spans="1:2" x14ac:dyDescent="0.25">
      <c r="A9025">
        <v>8996</v>
      </c>
      <c r="B9025">
        <v>0.11706712691590754</v>
      </c>
    </row>
    <row r="9026" spans="1:2" x14ac:dyDescent="0.25">
      <c r="A9026">
        <v>8997</v>
      </c>
      <c r="B9026">
        <v>0.2058039144171821</v>
      </c>
    </row>
    <row r="9027" spans="1:2" x14ac:dyDescent="0.25">
      <c r="A9027">
        <v>8998</v>
      </c>
      <c r="B9027">
        <v>0.10955860862948349</v>
      </c>
    </row>
    <row r="9028" spans="1:2" x14ac:dyDescent="0.25">
      <c r="A9028">
        <v>8999</v>
      </c>
      <c r="B9028">
        <v>0.42705912864088919</v>
      </c>
    </row>
    <row r="9029" spans="1:2" x14ac:dyDescent="0.25">
      <c r="A9029">
        <v>9000</v>
      </c>
      <c r="B9029">
        <v>0.10118243825019455</v>
      </c>
    </row>
    <row r="9030" spans="1:2" x14ac:dyDescent="0.25">
      <c r="A9030">
        <v>9001</v>
      </c>
      <c r="B9030">
        <v>9.5282704643861613E-2</v>
      </c>
    </row>
    <row r="9031" spans="1:2" x14ac:dyDescent="0.25">
      <c r="A9031">
        <v>9002</v>
      </c>
      <c r="B9031">
        <v>0.50983072948808561</v>
      </c>
    </row>
    <row r="9032" spans="1:2" x14ac:dyDescent="0.25">
      <c r="A9032">
        <v>9003</v>
      </c>
      <c r="B9032">
        <v>0.7480956724870822</v>
      </c>
    </row>
    <row r="9033" spans="1:2" x14ac:dyDescent="0.25">
      <c r="A9033">
        <v>9004</v>
      </c>
      <c r="B9033">
        <v>0.62795031183384231</v>
      </c>
    </row>
    <row r="9034" spans="1:2" x14ac:dyDescent="0.25">
      <c r="A9034">
        <v>9005</v>
      </c>
      <c r="B9034">
        <v>0.25216142494298321</v>
      </c>
    </row>
    <row r="9035" spans="1:2" x14ac:dyDescent="0.25">
      <c r="A9035">
        <v>9006</v>
      </c>
      <c r="B9035">
        <v>0.15646679648307601</v>
      </c>
    </row>
    <row r="9036" spans="1:2" x14ac:dyDescent="0.25">
      <c r="A9036">
        <v>9007</v>
      </c>
      <c r="B9036">
        <v>0.30203174356104279</v>
      </c>
    </row>
    <row r="9037" spans="1:2" x14ac:dyDescent="0.25">
      <c r="A9037">
        <v>9008</v>
      </c>
      <c r="B9037">
        <v>0.15623750589334148</v>
      </c>
    </row>
    <row r="9038" spans="1:2" x14ac:dyDescent="0.25">
      <c r="A9038">
        <v>9009</v>
      </c>
      <c r="B9038">
        <v>7.4191835006894746E-2</v>
      </c>
    </row>
    <row r="9039" spans="1:2" x14ac:dyDescent="0.25">
      <c r="A9039">
        <v>9010</v>
      </c>
      <c r="B9039">
        <v>0.49358875870037161</v>
      </c>
    </row>
    <row r="9040" spans="1:2" x14ac:dyDescent="0.25">
      <c r="A9040">
        <v>9011</v>
      </c>
      <c r="B9040">
        <v>0.15235324491209226</v>
      </c>
    </row>
    <row r="9041" spans="1:2" x14ac:dyDescent="0.25">
      <c r="A9041">
        <v>9012</v>
      </c>
      <c r="B9041">
        <v>0.20115496190156643</v>
      </c>
    </row>
    <row r="9042" spans="1:2" x14ac:dyDescent="0.25">
      <c r="A9042">
        <v>9013</v>
      </c>
      <c r="B9042">
        <v>0.20406424098253287</v>
      </c>
    </row>
    <row r="9043" spans="1:2" x14ac:dyDescent="0.25">
      <c r="A9043">
        <v>9014</v>
      </c>
      <c r="B9043">
        <v>0.32216475241645909</v>
      </c>
    </row>
    <row r="9044" spans="1:2" x14ac:dyDescent="0.25">
      <c r="A9044">
        <v>9015</v>
      </c>
      <c r="B9044">
        <v>7.9484914599457321E-2</v>
      </c>
    </row>
    <row r="9045" spans="1:2" x14ac:dyDescent="0.25">
      <c r="A9045">
        <v>9016</v>
      </c>
      <c r="B9045">
        <v>0.11995474720830362</v>
      </c>
    </row>
    <row r="9046" spans="1:2" x14ac:dyDescent="0.25">
      <c r="A9046">
        <v>9017</v>
      </c>
      <c r="B9046">
        <v>0.19648284386625717</v>
      </c>
    </row>
    <row r="9047" spans="1:2" x14ac:dyDescent="0.25">
      <c r="A9047">
        <v>9018</v>
      </c>
      <c r="B9047">
        <v>0.11521715621529997</v>
      </c>
    </row>
    <row r="9048" spans="1:2" x14ac:dyDescent="0.25">
      <c r="A9048">
        <v>9019</v>
      </c>
      <c r="B9048">
        <v>0.34780350079777655</v>
      </c>
    </row>
    <row r="9049" spans="1:2" x14ac:dyDescent="0.25">
      <c r="A9049">
        <v>9020</v>
      </c>
      <c r="B9049">
        <v>4.3199981036834471E-2</v>
      </c>
    </row>
    <row r="9050" spans="1:2" x14ac:dyDescent="0.25">
      <c r="A9050">
        <v>9021</v>
      </c>
      <c r="B9050">
        <v>0.34330827959872606</v>
      </c>
    </row>
    <row r="9051" spans="1:2" x14ac:dyDescent="0.25">
      <c r="A9051">
        <v>9022</v>
      </c>
      <c r="B9051">
        <v>9.7208136804710049E-2</v>
      </c>
    </row>
    <row r="9052" spans="1:2" x14ac:dyDescent="0.25">
      <c r="A9052">
        <v>9023</v>
      </c>
      <c r="B9052">
        <v>0.37014178745864446</v>
      </c>
    </row>
    <row r="9053" spans="1:2" x14ac:dyDescent="0.25">
      <c r="A9053">
        <v>9024</v>
      </c>
      <c r="B9053">
        <v>0.38279337951533216</v>
      </c>
    </row>
    <row r="9054" spans="1:2" x14ac:dyDescent="0.25">
      <c r="A9054">
        <v>9025</v>
      </c>
      <c r="B9054">
        <v>0.10584211158566526</v>
      </c>
    </row>
    <row r="9055" spans="1:2" x14ac:dyDescent="0.25">
      <c r="A9055">
        <v>9026</v>
      </c>
      <c r="B9055">
        <v>0.26182040618350566</v>
      </c>
    </row>
    <row r="9056" spans="1:2" x14ac:dyDescent="0.25">
      <c r="A9056">
        <v>9027</v>
      </c>
      <c r="B9056">
        <v>0.27906614842472743</v>
      </c>
    </row>
    <row r="9057" spans="1:2" x14ac:dyDescent="0.25">
      <c r="A9057">
        <v>9028</v>
      </c>
      <c r="B9057">
        <v>0.168403356492377</v>
      </c>
    </row>
    <row r="9058" spans="1:2" x14ac:dyDescent="0.25">
      <c r="A9058">
        <v>9029</v>
      </c>
      <c r="B9058">
        <v>0.20190517292176524</v>
      </c>
    </row>
    <row r="9059" spans="1:2" x14ac:dyDescent="0.25">
      <c r="A9059">
        <v>9030</v>
      </c>
      <c r="B9059">
        <v>0.10099972650465226</v>
      </c>
    </row>
    <row r="9060" spans="1:2" x14ac:dyDescent="0.25">
      <c r="A9060">
        <v>9031</v>
      </c>
      <c r="B9060">
        <v>0.42663112443713869</v>
      </c>
    </row>
    <row r="9061" spans="1:2" x14ac:dyDescent="0.25">
      <c r="A9061">
        <v>9032</v>
      </c>
      <c r="B9061">
        <v>0.34084715011996913</v>
      </c>
    </row>
    <row r="9062" spans="1:2" x14ac:dyDescent="0.25">
      <c r="A9062">
        <v>9033</v>
      </c>
      <c r="B9062">
        <v>6.8273196450116688E-2</v>
      </c>
    </row>
    <row r="9063" spans="1:2" x14ac:dyDescent="0.25">
      <c r="A9063">
        <v>9034</v>
      </c>
      <c r="B9063">
        <v>9.763085008367961E-2</v>
      </c>
    </row>
    <row r="9064" spans="1:2" x14ac:dyDescent="0.25">
      <c r="A9064">
        <v>9035</v>
      </c>
      <c r="B9064">
        <v>5.6320112593999869E-2</v>
      </c>
    </row>
    <row r="9065" spans="1:2" x14ac:dyDescent="0.25">
      <c r="A9065">
        <v>9036</v>
      </c>
      <c r="B9065">
        <v>0.5031234942899917</v>
      </c>
    </row>
    <row r="9066" spans="1:2" x14ac:dyDescent="0.25">
      <c r="A9066">
        <v>9037</v>
      </c>
      <c r="B9066">
        <v>0.51322296308787119</v>
      </c>
    </row>
    <row r="9067" spans="1:2" x14ac:dyDescent="0.25">
      <c r="A9067">
        <v>9038</v>
      </c>
      <c r="B9067">
        <v>0.11576355065620762</v>
      </c>
    </row>
    <row r="9068" spans="1:2" x14ac:dyDescent="0.25">
      <c r="A9068">
        <v>9039</v>
      </c>
      <c r="B9068">
        <v>6.2492429101027341E-2</v>
      </c>
    </row>
    <row r="9069" spans="1:2" x14ac:dyDescent="0.25">
      <c r="A9069">
        <v>9040</v>
      </c>
      <c r="B9069">
        <v>7.1242895410550608E-2</v>
      </c>
    </row>
    <row r="9070" spans="1:2" x14ac:dyDescent="0.25">
      <c r="A9070">
        <v>9041</v>
      </c>
      <c r="B9070">
        <v>0.10543173085727314</v>
      </c>
    </row>
    <row r="9071" spans="1:2" x14ac:dyDescent="0.25">
      <c r="A9071">
        <v>9042</v>
      </c>
      <c r="B9071">
        <v>0.32358699007815789</v>
      </c>
    </row>
    <row r="9072" spans="1:2" x14ac:dyDescent="0.25">
      <c r="A9072">
        <v>9043</v>
      </c>
      <c r="B9072">
        <v>0.3679957760884317</v>
      </c>
    </row>
    <row r="9073" spans="1:2" x14ac:dyDescent="0.25">
      <c r="A9073">
        <v>9044</v>
      </c>
      <c r="B9073">
        <v>0.21731919443120679</v>
      </c>
    </row>
    <row r="9074" spans="1:2" x14ac:dyDescent="0.25">
      <c r="A9074">
        <v>9045</v>
      </c>
      <c r="B9074">
        <v>0.35181043215136465</v>
      </c>
    </row>
    <row r="9075" spans="1:2" x14ac:dyDescent="0.25">
      <c r="A9075">
        <v>9046</v>
      </c>
      <c r="B9075">
        <v>0.13137981190163053</v>
      </c>
    </row>
    <row r="9076" spans="1:2" x14ac:dyDescent="0.25">
      <c r="A9076">
        <v>9047</v>
      </c>
      <c r="B9076">
        <v>9.3742482949584635E-2</v>
      </c>
    </row>
    <row r="9077" spans="1:2" x14ac:dyDescent="0.25">
      <c r="A9077">
        <v>9048</v>
      </c>
      <c r="B9077">
        <v>5.7688033676367316E-2</v>
      </c>
    </row>
    <row r="9078" spans="1:2" x14ac:dyDescent="0.25">
      <c r="A9078">
        <v>9049</v>
      </c>
      <c r="B9078">
        <v>0.20677392413432424</v>
      </c>
    </row>
    <row r="9079" spans="1:2" x14ac:dyDescent="0.25">
      <c r="A9079">
        <v>9050</v>
      </c>
      <c r="B9079">
        <v>0.15469875652550549</v>
      </c>
    </row>
    <row r="9080" spans="1:2" x14ac:dyDescent="0.25">
      <c r="A9080">
        <v>9051</v>
      </c>
      <c r="B9080">
        <v>0.59893490386325454</v>
      </c>
    </row>
    <row r="9081" spans="1:2" x14ac:dyDescent="0.25">
      <c r="A9081">
        <v>9052</v>
      </c>
      <c r="B9081">
        <v>7.7126799383082353E-2</v>
      </c>
    </row>
    <row r="9082" spans="1:2" x14ac:dyDescent="0.25">
      <c r="A9082">
        <v>9053</v>
      </c>
      <c r="B9082">
        <v>0.20602126329252582</v>
      </c>
    </row>
    <row r="9083" spans="1:2" x14ac:dyDescent="0.25">
      <c r="A9083">
        <v>9054</v>
      </c>
      <c r="B9083">
        <v>0.32998277525650893</v>
      </c>
    </row>
    <row r="9084" spans="1:2" x14ac:dyDescent="0.25">
      <c r="A9084">
        <v>9055</v>
      </c>
      <c r="B9084">
        <v>7.7508870294907606E-2</v>
      </c>
    </row>
    <row r="9085" spans="1:2" x14ac:dyDescent="0.25">
      <c r="A9085">
        <v>9056</v>
      </c>
      <c r="B9085">
        <v>0.11545144104349878</v>
      </c>
    </row>
    <row r="9086" spans="1:2" x14ac:dyDescent="0.25">
      <c r="A9086">
        <v>9057</v>
      </c>
      <c r="B9086">
        <v>0.31274941480753488</v>
      </c>
    </row>
    <row r="9087" spans="1:2" x14ac:dyDescent="0.25">
      <c r="A9087">
        <v>9058</v>
      </c>
      <c r="B9087">
        <v>0.13756071600038422</v>
      </c>
    </row>
    <row r="9088" spans="1:2" x14ac:dyDescent="0.25">
      <c r="A9088">
        <v>9059</v>
      </c>
      <c r="B9088">
        <v>0.33816833754984377</v>
      </c>
    </row>
    <row r="9089" spans="1:2" x14ac:dyDescent="0.25">
      <c r="A9089">
        <v>9060</v>
      </c>
      <c r="B9089">
        <v>0.16304345690917199</v>
      </c>
    </row>
    <row r="9090" spans="1:2" x14ac:dyDescent="0.25">
      <c r="A9090">
        <v>9061</v>
      </c>
      <c r="B9090">
        <v>0.25167429868634561</v>
      </c>
    </row>
    <row r="9091" spans="1:2" x14ac:dyDescent="0.25">
      <c r="A9091">
        <v>9062</v>
      </c>
      <c r="B9091">
        <v>0.1278388354611659</v>
      </c>
    </row>
    <row r="9092" spans="1:2" x14ac:dyDescent="0.25">
      <c r="A9092">
        <v>9063</v>
      </c>
      <c r="B9092">
        <v>8.5961115074003877E-2</v>
      </c>
    </row>
    <row r="9093" spans="1:2" x14ac:dyDescent="0.25">
      <c r="A9093">
        <v>9064</v>
      </c>
      <c r="B9093">
        <v>0.21645462721780723</v>
      </c>
    </row>
    <row r="9094" spans="1:2" x14ac:dyDescent="0.25">
      <c r="A9094">
        <v>9065</v>
      </c>
      <c r="B9094">
        <v>8.339553519092599E-2</v>
      </c>
    </row>
    <row r="9095" spans="1:2" x14ac:dyDescent="0.25">
      <c r="A9095">
        <v>9066</v>
      </c>
      <c r="B9095">
        <v>0.27364157860581395</v>
      </c>
    </row>
    <row r="9096" spans="1:2" x14ac:dyDescent="0.25">
      <c r="A9096">
        <v>9067</v>
      </c>
      <c r="B9096">
        <v>0.22249309245729873</v>
      </c>
    </row>
    <row r="9097" spans="1:2" x14ac:dyDescent="0.25">
      <c r="A9097">
        <v>9068</v>
      </c>
      <c r="B9097">
        <v>0.10284363483393076</v>
      </c>
    </row>
    <row r="9098" spans="1:2" x14ac:dyDescent="0.25">
      <c r="A9098">
        <v>9069</v>
      </c>
      <c r="B9098">
        <v>0.10793156534791756</v>
      </c>
    </row>
    <row r="9099" spans="1:2" x14ac:dyDescent="0.25">
      <c r="A9099">
        <v>9070</v>
      </c>
      <c r="B9099">
        <v>9.4237527930499221E-2</v>
      </c>
    </row>
    <row r="9100" spans="1:2" x14ac:dyDescent="0.25">
      <c r="A9100">
        <v>9071</v>
      </c>
      <c r="B9100">
        <v>0.2501349507992443</v>
      </c>
    </row>
    <row r="9101" spans="1:2" x14ac:dyDescent="0.25">
      <c r="A9101">
        <v>9072</v>
      </c>
      <c r="B9101">
        <v>0.30842030608664472</v>
      </c>
    </row>
    <row r="9102" spans="1:2" x14ac:dyDescent="0.25">
      <c r="A9102">
        <v>9073</v>
      </c>
      <c r="B9102">
        <v>0.16680110080025837</v>
      </c>
    </row>
    <row r="9103" spans="1:2" x14ac:dyDescent="0.25">
      <c r="A9103">
        <v>9074</v>
      </c>
      <c r="B9103">
        <v>0.13849136681668336</v>
      </c>
    </row>
    <row r="9104" spans="1:2" x14ac:dyDescent="0.25">
      <c r="A9104">
        <v>9075</v>
      </c>
      <c r="B9104">
        <v>0.25865875654290282</v>
      </c>
    </row>
    <row r="9105" spans="1:2" x14ac:dyDescent="0.25">
      <c r="A9105">
        <v>9076</v>
      </c>
      <c r="B9105">
        <v>0.12747110743092968</v>
      </c>
    </row>
    <row r="9106" spans="1:2" x14ac:dyDescent="0.25">
      <c r="A9106">
        <v>9077</v>
      </c>
      <c r="B9106">
        <v>0.18069539555274197</v>
      </c>
    </row>
    <row r="9107" spans="1:2" x14ac:dyDescent="0.25">
      <c r="A9107">
        <v>9078</v>
      </c>
      <c r="B9107">
        <v>0.35473531785817025</v>
      </c>
    </row>
    <row r="9108" spans="1:2" x14ac:dyDescent="0.25">
      <c r="A9108">
        <v>9079</v>
      </c>
      <c r="B9108">
        <v>0.15392844230474084</v>
      </c>
    </row>
    <row r="9109" spans="1:2" x14ac:dyDescent="0.25">
      <c r="A9109">
        <v>9080</v>
      </c>
      <c r="B9109">
        <v>0.32315864247912163</v>
      </c>
    </row>
    <row r="9110" spans="1:2" x14ac:dyDescent="0.25">
      <c r="A9110">
        <v>9081</v>
      </c>
      <c r="B9110">
        <v>0.14300545361920833</v>
      </c>
    </row>
    <row r="9111" spans="1:2" x14ac:dyDescent="0.25">
      <c r="A9111">
        <v>9082</v>
      </c>
      <c r="B9111">
        <v>0.35343928762194055</v>
      </c>
    </row>
    <row r="9112" spans="1:2" x14ac:dyDescent="0.25">
      <c r="A9112">
        <v>9083</v>
      </c>
      <c r="B9112">
        <v>0.21256765944498951</v>
      </c>
    </row>
    <row r="9113" spans="1:2" x14ac:dyDescent="0.25">
      <c r="A9113">
        <v>9084</v>
      </c>
      <c r="B9113">
        <v>5.1634567205756793E-2</v>
      </c>
    </row>
    <row r="9114" spans="1:2" x14ac:dyDescent="0.25">
      <c r="A9114">
        <v>9085</v>
      </c>
      <c r="B9114">
        <v>5.2287380491218262E-2</v>
      </c>
    </row>
    <row r="9115" spans="1:2" x14ac:dyDescent="0.25">
      <c r="A9115">
        <v>9086</v>
      </c>
      <c r="B9115">
        <v>0.13427466936974741</v>
      </c>
    </row>
    <row r="9116" spans="1:2" x14ac:dyDescent="0.25">
      <c r="A9116">
        <v>9087</v>
      </c>
      <c r="B9116">
        <v>0.16976485439599345</v>
      </c>
    </row>
    <row r="9117" spans="1:2" x14ac:dyDescent="0.25">
      <c r="A9117">
        <v>9088</v>
      </c>
      <c r="B9117">
        <v>8.5747798988787469E-2</v>
      </c>
    </row>
    <row r="9118" spans="1:2" x14ac:dyDescent="0.25">
      <c r="A9118">
        <v>9089</v>
      </c>
      <c r="B9118">
        <v>0.21306224105493443</v>
      </c>
    </row>
    <row r="9119" spans="1:2" x14ac:dyDescent="0.25">
      <c r="A9119">
        <v>9090</v>
      </c>
      <c r="B9119">
        <v>0.13696019428682629</v>
      </c>
    </row>
    <row r="9120" spans="1:2" x14ac:dyDescent="0.25">
      <c r="A9120">
        <v>9091</v>
      </c>
      <c r="B9120">
        <v>7.0516424112019194E-2</v>
      </c>
    </row>
    <row r="9121" spans="1:2" x14ac:dyDescent="0.25">
      <c r="A9121">
        <v>9092</v>
      </c>
      <c r="B9121">
        <v>0.11643545765653703</v>
      </c>
    </row>
    <row r="9122" spans="1:2" x14ac:dyDescent="0.25">
      <c r="A9122">
        <v>9093</v>
      </c>
      <c r="B9122">
        <v>0.12061801715822534</v>
      </c>
    </row>
    <row r="9123" spans="1:2" x14ac:dyDescent="0.25">
      <c r="A9123">
        <v>9094</v>
      </c>
      <c r="B9123">
        <v>0.11167705893227683</v>
      </c>
    </row>
    <row r="9124" spans="1:2" x14ac:dyDescent="0.25">
      <c r="A9124">
        <v>9095</v>
      </c>
      <c r="B9124">
        <v>0.25557418914932206</v>
      </c>
    </row>
    <row r="9125" spans="1:2" x14ac:dyDescent="0.25">
      <c r="A9125">
        <v>9096</v>
      </c>
      <c r="B9125">
        <v>0.10961511463639069</v>
      </c>
    </row>
    <row r="9126" spans="1:2" x14ac:dyDescent="0.25">
      <c r="A9126">
        <v>9097</v>
      </c>
      <c r="B9126">
        <v>0.15864843917675159</v>
      </c>
    </row>
    <row r="9127" spans="1:2" x14ac:dyDescent="0.25">
      <c r="A9127">
        <v>9098</v>
      </c>
      <c r="B9127">
        <v>4.8931042925290193E-2</v>
      </c>
    </row>
    <row r="9128" spans="1:2" x14ac:dyDescent="0.25">
      <c r="A9128">
        <v>9099</v>
      </c>
      <c r="B9128">
        <v>0.52377843630468757</v>
      </c>
    </row>
    <row r="9129" spans="1:2" x14ac:dyDescent="0.25">
      <c r="A9129">
        <v>9100</v>
      </c>
      <c r="B9129">
        <v>8.1121487520025529E-2</v>
      </c>
    </row>
    <row r="9130" spans="1:2" x14ac:dyDescent="0.25">
      <c r="A9130">
        <v>9101</v>
      </c>
      <c r="B9130">
        <v>0.50222028327298152</v>
      </c>
    </row>
    <row r="9131" spans="1:2" x14ac:dyDescent="0.25">
      <c r="A9131">
        <v>9102</v>
      </c>
      <c r="B9131">
        <v>0.3429406115815542</v>
      </c>
    </row>
    <row r="9132" spans="1:2" x14ac:dyDescent="0.25">
      <c r="A9132">
        <v>9103</v>
      </c>
      <c r="B9132">
        <v>0.30622090187814471</v>
      </c>
    </row>
    <row r="9133" spans="1:2" x14ac:dyDescent="0.25">
      <c r="A9133">
        <v>9104</v>
      </c>
      <c r="B9133">
        <v>0.26688469882914595</v>
      </c>
    </row>
    <row r="9134" spans="1:2" x14ac:dyDescent="0.25">
      <c r="A9134">
        <v>9105</v>
      </c>
      <c r="B9134">
        <v>0.11717346454269872</v>
      </c>
    </row>
    <row r="9135" spans="1:2" x14ac:dyDescent="0.25">
      <c r="A9135">
        <v>9106</v>
      </c>
      <c r="B9135">
        <v>0.13622974823067668</v>
      </c>
    </row>
    <row r="9136" spans="1:2" x14ac:dyDescent="0.25">
      <c r="A9136">
        <v>9107</v>
      </c>
      <c r="B9136">
        <v>1.3386165702282677</v>
      </c>
    </row>
    <row r="9137" spans="1:2" x14ac:dyDescent="0.25">
      <c r="A9137">
        <v>9108</v>
      </c>
      <c r="B9137">
        <v>5.4749558838340269E-2</v>
      </c>
    </row>
    <row r="9138" spans="1:2" x14ac:dyDescent="0.25">
      <c r="A9138">
        <v>9109</v>
      </c>
      <c r="B9138">
        <v>0.20637275385081935</v>
      </c>
    </row>
    <row r="9139" spans="1:2" x14ac:dyDescent="0.25">
      <c r="A9139">
        <v>9110</v>
      </c>
      <c r="B9139">
        <v>4.813821303507481E-2</v>
      </c>
    </row>
    <row r="9140" spans="1:2" x14ac:dyDescent="0.25">
      <c r="A9140">
        <v>9111</v>
      </c>
      <c r="B9140">
        <v>0.10512980542410626</v>
      </c>
    </row>
    <row r="9141" spans="1:2" x14ac:dyDescent="0.25">
      <c r="A9141">
        <v>9112</v>
      </c>
      <c r="B9141">
        <v>0.10148048924142417</v>
      </c>
    </row>
    <row r="9142" spans="1:2" x14ac:dyDescent="0.25">
      <c r="A9142">
        <v>9113</v>
      </c>
      <c r="B9142">
        <v>0.11053723292959766</v>
      </c>
    </row>
    <row r="9143" spans="1:2" x14ac:dyDescent="0.25">
      <c r="A9143">
        <v>9114</v>
      </c>
      <c r="B9143">
        <v>0.29204362313207693</v>
      </c>
    </row>
    <row r="9144" spans="1:2" x14ac:dyDescent="0.25">
      <c r="A9144">
        <v>9115</v>
      </c>
      <c r="B9144">
        <v>5.7819646019431341E-2</v>
      </c>
    </row>
    <row r="9145" spans="1:2" x14ac:dyDescent="0.25">
      <c r="A9145">
        <v>9116</v>
      </c>
      <c r="B9145">
        <v>0.27716749202285357</v>
      </c>
    </row>
    <row r="9146" spans="1:2" x14ac:dyDescent="0.25">
      <c r="A9146">
        <v>9117</v>
      </c>
      <c r="B9146">
        <v>0.27469143551866487</v>
      </c>
    </row>
    <row r="9147" spans="1:2" x14ac:dyDescent="0.25">
      <c r="A9147">
        <v>9118</v>
      </c>
      <c r="B9147">
        <v>0.14243655875876571</v>
      </c>
    </row>
    <row r="9148" spans="1:2" x14ac:dyDescent="0.25">
      <c r="A9148">
        <v>9119</v>
      </c>
      <c r="B9148">
        <v>0.11553794516447508</v>
      </c>
    </row>
    <row r="9149" spans="1:2" x14ac:dyDescent="0.25">
      <c r="A9149">
        <v>9120</v>
      </c>
      <c r="B9149">
        <v>0.15998675110586105</v>
      </c>
    </row>
    <row r="9150" spans="1:2" x14ac:dyDescent="0.25">
      <c r="A9150">
        <v>9121</v>
      </c>
      <c r="B9150">
        <v>0.11569111540817552</v>
      </c>
    </row>
    <row r="9151" spans="1:2" x14ac:dyDescent="0.25">
      <c r="A9151">
        <v>9122</v>
      </c>
      <c r="B9151">
        <v>0.18845599872319185</v>
      </c>
    </row>
    <row r="9152" spans="1:2" x14ac:dyDescent="0.25">
      <c r="A9152">
        <v>9123</v>
      </c>
      <c r="B9152">
        <v>0.32277911142675619</v>
      </c>
    </row>
    <row r="9153" spans="1:2" x14ac:dyDescent="0.25">
      <c r="A9153">
        <v>9124</v>
      </c>
      <c r="B9153">
        <v>0.11369703018394904</v>
      </c>
    </row>
    <row r="9154" spans="1:2" x14ac:dyDescent="0.25">
      <c r="A9154">
        <v>9125</v>
      </c>
      <c r="B9154">
        <v>0.21830994403280013</v>
      </c>
    </row>
    <row r="9155" spans="1:2" x14ac:dyDescent="0.25">
      <c r="A9155">
        <v>9126</v>
      </c>
      <c r="B9155">
        <v>0.10358384224502411</v>
      </c>
    </row>
    <row r="9156" spans="1:2" x14ac:dyDescent="0.25">
      <c r="A9156">
        <v>9127</v>
      </c>
      <c r="B9156">
        <v>0.37823392362779795</v>
      </c>
    </row>
    <row r="9157" spans="1:2" x14ac:dyDescent="0.25">
      <c r="A9157">
        <v>9128</v>
      </c>
      <c r="B9157">
        <v>0.12991479567125477</v>
      </c>
    </row>
    <row r="9158" spans="1:2" x14ac:dyDescent="0.25">
      <c r="A9158">
        <v>9129</v>
      </c>
      <c r="B9158">
        <v>0.11315788573895623</v>
      </c>
    </row>
    <row r="9159" spans="1:2" x14ac:dyDescent="0.25">
      <c r="A9159">
        <v>9130</v>
      </c>
      <c r="B9159">
        <v>8.5902995676929342E-2</v>
      </c>
    </row>
    <row r="9160" spans="1:2" x14ac:dyDescent="0.25">
      <c r="A9160">
        <v>9131</v>
      </c>
      <c r="B9160">
        <v>0.1705225571041134</v>
      </c>
    </row>
    <row r="9161" spans="1:2" x14ac:dyDescent="0.25">
      <c r="A9161">
        <v>9132</v>
      </c>
      <c r="B9161">
        <v>0.13420071057147756</v>
      </c>
    </row>
    <row r="9162" spans="1:2" x14ac:dyDescent="0.25">
      <c r="A9162">
        <v>9133</v>
      </c>
      <c r="B9162">
        <v>0.14705246484522314</v>
      </c>
    </row>
    <row r="9163" spans="1:2" x14ac:dyDescent="0.25">
      <c r="A9163">
        <v>9134</v>
      </c>
      <c r="B9163">
        <v>0.17747730026004624</v>
      </c>
    </row>
    <row r="9164" spans="1:2" x14ac:dyDescent="0.25">
      <c r="A9164">
        <v>9135</v>
      </c>
      <c r="B9164">
        <v>0.25409246787553752</v>
      </c>
    </row>
    <row r="9165" spans="1:2" x14ac:dyDescent="0.25">
      <c r="A9165">
        <v>9136</v>
      </c>
      <c r="B9165">
        <v>0.51481273923834847</v>
      </c>
    </row>
    <row r="9166" spans="1:2" x14ac:dyDescent="0.25">
      <c r="A9166">
        <v>9137</v>
      </c>
      <c r="B9166">
        <v>1.3208326971886926</v>
      </c>
    </row>
    <row r="9167" spans="1:2" x14ac:dyDescent="0.25">
      <c r="A9167">
        <v>9138</v>
      </c>
      <c r="B9167">
        <v>0.59451502074605334</v>
      </c>
    </row>
    <row r="9168" spans="1:2" x14ac:dyDescent="0.25">
      <c r="A9168">
        <v>9139</v>
      </c>
      <c r="B9168">
        <v>0.43474308760702624</v>
      </c>
    </row>
    <row r="9169" spans="1:2" x14ac:dyDescent="0.25">
      <c r="A9169">
        <v>9140</v>
      </c>
      <c r="B9169">
        <v>0.11767078661570853</v>
      </c>
    </row>
    <row r="9170" spans="1:2" x14ac:dyDescent="0.25">
      <c r="A9170">
        <v>9141</v>
      </c>
      <c r="B9170">
        <v>3.690714508806129E-2</v>
      </c>
    </row>
    <row r="9171" spans="1:2" x14ac:dyDescent="0.25">
      <c r="A9171">
        <v>9142</v>
      </c>
      <c r="B9171">
        <v>0.21310052944698729</v>
      </c>
    </row>
    <row r="9172" spans="1:2" x14ac:dyDescent="0.25">
      <c r="A9172">
        <v>9143</v>
      </c>
      <c r="B9172">
        <v>0.17765887922907991</v>
      </c>
    </row>
    <row r="9173" spans="1:2" x14ac:dyDescent="0.25">
      <c r="A9173">
        <v>9144</v>
      </c>
      <c r="B9173">
        <v>0.45650222419102732</v>
      </c>
    </row>
    <row r="9174" spans="1:2" x14ac:dyDescent="0.25">
      <c r="A9174">
        <v>9145</v>
      </c>
      <c r="B9174">
        <v>0.22893153185067788</v>
      </c>
    </row>
    <row r="9175" spans="1:2" x14ac:dyDescent="0.25">
      <c r="A9175">
        <v>9146</v>
      </c>
      <c r="B9175">
        <v>0.12973536952155321</v>
      </c>
    </row>
    <row r="9176" spans="1:2" x14ac:dyDescent="0.25">
      <c r="A9176">
        <v>9147</v>
      </c>
      <c r="B9176">
        <v>7.1017528483975426E-2</v>
      </c>
    </row>
    <row r="9177" spans="1:2" x14ac:dyDescent="0.25">
      <c r="A9177">
        <v>9148</v>
      </c>
      <c r="B9177">
        <v>0.11122140048660738</v>
      </c>
    </row>
    <row r="9178" spans="1:2" x14ac:dyDescent="0.25">
      <c r="A9178">
        <v>9149</v>
      </c>
      <c r="B9178">
        <v>8.5237484647377695E-2</v>
      </c>
    </row>
    <row r="9179" spans="1:2" x14ac:dyDescent="0.25">
      <c r="A9179">
        <v>9150</v>
      </c>
      <c r="B9179">
        <v>0.19828020920465389</v>
      </c>
    </row>
    <row r="9180" spans="1:2" x14ac:dyDescent="0.25">
      <c r="A9180">
        <v>9151</v>
      </c>
      <c r="B9180">
        <v>0.59067023474858571</v>
      </c>
    </row>
    <row r="9181" spans="1:2" x14ac:dyDescent="0.25">
      <c r="A9181">
        <v>9152</v>
      </c>
      <c r="B9181">
        <v>0.33774374763090687</v>
      </c>
    </row>
    <row r="9182" spans="1:2" x14ac:dyDescent="0.25">
      <c r="A9182">
        <v>9153</v>
      </c>
      <c r="B9182">
        <v>0.28097161914751595</v>
      </c>
    </row>
    <row r="9183" spans="1:2" x14ac:dyDescent="0.25">
      <c r="A9183">
        <v>9154</v>
      </c>
      <c r="B9183">
        <v>0.35156534299524234</v>
      </c>
    </row>
    <row r="9184" spans="1:2" x14ac:dyDescent="0.25">
      <c r="A9184">
        <v>9155</v>
      </c>
      <c r="B9184">
        <v>0.19880405515056362</v>
      </c>
    </row>
    <row r="9185" spans="1:2" x14ac:dyDescent="0.25">
      <c r="A9185">
        <v>9156</v>
      </c>
      <c r="B9185">
        <v>0.11418078911029357</v>
      </c>
    </row>
    <row r="9186" spans="1:2" x14ac:dyDescent="0.25">
      <c r="A9186">
        <v>9157</v>
      </c>
      <c r="B9186">
        <v>0.54296625977007973</v>
      </c>
    </row>
    <row r="9187" spans="1:2" x14ac:dyDescent="0.25">
      <c r="A9187">
        <v>9158</v>
      </c>
      <c r="B9187">
        <v>7.0760243264216038E-2</v>
      </c>
    </row>
    <row r="9188" spans="1:2" x14ac:dyDescent="0.25">
      <c r="A9188">
        <v>9159</v>
      </c>
      <c r="B9188">
        <v>0.1586732182482086</v>
      </c>
    </row>
    <row r="9189" spans="1:2" x14ac:dyDescent="0.25">
      <c r="A9189">
        <v>9160</v>
      </c>
      <c r="B9189">
        <v>6.1441394954985289E-2</v>
      </c>
    </row>
    <row r="9190" spans="1:2" x14ac:dyDescent="0.25">
      <c r="A9190">
        <v>9161</v>
      </c>
      <c r="B9190">
        <v>0.28738646443750282</v>
      </c>
    </row>
    <row r="9191" spans="1:2" x14ac:dyDescent="0.25">
      <c r="A9191">
        <v>9162</v>
      </c>
      <c r="B9191">
        <v>0.15662680669292509</v>
      </c>
    </row>
    <row r="9192" spans="1:2" x14ac:dyDescent="0.25">
      <c r="A9192">
        <v>9163</v>
      </c>
      <c r="B9192">
        <v>0.74992741828805998</v>
      </c>
    </row>
    <row r="9193" spans="1:2" x14ac:dyDescent="0.25">
      <c r="A9193">
        <v>9164</v>
      </c>
      <c r="B9193">
        <v>0.36805847149340593</v>
      </c>
    </row>
    <row r="9194" spans="1:2" x14ac:dyDescent="0.25">
      <c r="A9194">
        <v>9165</v>
      </c>
      <c r="B9194">
        <v>0.2713760591390697</v>
      </c>
    </row>
    <row r="9195" spans="1:2" x14ac:dyDescent="0.25">
      <c r="A9195">
        <v>9166</v>
      </c>
      <c r="B9195">
        <v>0.15635016628206591</v>
      </c>
    </row>
    <row r="9196" spans="1:2" x14ac:dyDescent="0.25">
      <c r="A9196">
        <v>9167</v>
      </c>
      <c r="B9196">
        <v>0.11242896623645986</v>
      </c>
    </row>
    <row r="9197" spans="1:2" x14ac:dyDescent="0.25">
      <c r="A9197">
        <v>9168</v>
      </c>
      <c r="B9197">
        <v>4.482673367745358E-2</v>
      </c>
    </row>
    <row r="9198" spans="1:2" x14ac:dyDescent="0.25">
      <c r="A9198">
        <v>9169</v>
      </c>
      <c r="B9198">
        <v>4.803347413111532E-2</v>
      </c>
    </row>
    <row r="9199" spans="1:2" x14ac:dyDescent="0.25">
      <c r="A9199">
        <v>9170</v>
      </c>
      <c r="B9199">
        <v>0.17232742082361541</v>
      </c>
    </row>
    <row r="9200" spans="1:2" x14ac:dyDescent="0.25">
      <c r="A9200">
        <v>9171</v>
      </c>
      <c r="B9200">
        <v>0.1531667017905588</v>
      </c>
    </row>
    <row r="9201" spans="1:2" x14ac:dyDescent="0.25">
      <c r="A9201">
        <v>9172</v>
      </c>
      <c r="B9201">
        <v>7.1688988565212969E-2</v>
      </c>
    </row>
    <row r="9202" spans="1:2" x14ac:dyDescent="0.25">
      <c r="A9202">
        <v>9173</v>
      </c>
      <c r="B9202">
        <v>0.18625132500942007</v>
      </c>
    </row>
    <row r="9203" spans="1:2" x14ac:dyDescent="0.25">
      <c r="A9203">
        <v>9174</v>
      </c>
      <c r="B9203">
        <v>0.63914302022324543</v>
      </c>
    </row>
    <row r="9204" spans="1:2" x14ac:dyDescent="0.25">
      <c r="A9204">
        <v>9175</v>
      </c>
      <c r="B9204">
        <v>0.17607528821835866</v>
      </c>
    </row>
    <row r="9205" spans="1:2" x14ac:dyDescent="0.25">
      <c r="A9205">
        <v>9176</v>
      </c>
      <c r="B9205">
        <v>0.11971577347147333</v>
      </c>
    </row>
    <row r="9206" spans="1:2" x14ac:dyDescent="0.25">
      <c r="A9206">
        <v>9177</v>
      </c>
      <c r="B9206">
        <v>0.13140179148854708</v>
      </c>
    </row>
    <row r="9207" spans="1:2" x14ac:dyDescent="0.25">
      <c r="A9207">
        <v>9178</v>
      </c>
      <c r="B9207">
        <v>0.28277725305333845</v>
      </c>
    </row>
    <row r="9208" spans="1:2" x14ac:dyDescent="0.25">
      <c r="A9208">
        <v>9179</v>
      </c>
      <c r="B9208">
        <v>0.21045213926331355</v>
      </c>
    </row>
    <row r="9209" spans="1:2" x14ac:dyDescent="0.25">
      <c r="A9209">
        <v>9180</v>
      </c>
      <c r="B9209">
        <v>0.21144884227969005</v>
      </c>
    </row>
    <row r="9210" spans="1:2" x14ac:dyDescent="0.25">
      <c r="A9210">
        <v>9181</v>
      </c>
      <c r="B9210">
        <v>9.0734753994892864E-2</v>
      </c>
    </row>
    <row r="9211" spans="1:2" x14ac:dyDescent="0.25">
      <c r="A9211">
        <v>9182</v>
      </c>
      <c r="B9211">
        <v>0.1803293800646143</v>
      </c>
    </row>
    <row r="9212" spans="1:2" x14ac:dyDescent="0.25">
      <c r="A9212">
        <v>9183</v>
      </c>
      <c r="B9212">
        <v>0.5620799496204959</v>
      </c>
    </row>
    <row r="9213" spans="1:2" x14ac:dyDescent="0.25">
      <c r="A9213">
        <v>9184</v>
      </c>
      <c r="B9213">
        <v>0.29518512248347201</v>
      </c>
    </row>
    <row r="9214" spans="1:2" x14ac:dyDescent="0.25">
      <c r="A9214">
        <v>9185</v>
      </c>
      <c r="B9214">
        <v>0.2447125464021192</v>
      </c>
    </row>
    <row r="9215" spans="1:2" x14ac:dyDescent="0.25">
      <c r="A9215">
        <v>9186</v>
      </c>
      <c r="B9215">
        <v>0.1489747718534491</v>
      </c>
    </row>
    <row r="9216" spans="1:2" x14ac:dyDescent="0.25">
      <c r="A9216">
        <v>9187</v>
      </c>
      <c r="B9216">
        <v>0.20138258597070674</v>
      </c>
    </row>
    <row r="9217" spans="1:2" x14ac:dyDescent="0.25">
      <c r="A9217">
        <v>9188</v>
      </c>
      <c r="B9217">
        <v>0.49122595032447097</v>
      </c>
    </row>
    <row r="9218" spans="1:2" x14ac:dyDescent="0.25">
      <c r="A9218">
        <v>9189</v>
      </c>
      <c r="B9218">
        <v>0.20827653035454211</v>
      </c>
    </row>
    <row r="9219" spans="1:2" x14ac:dyDescent="0.25">
      <c r="A9219">
        <v>9190</v>
      </c>
      <c r="B9219">
        <v>0.16982305592810576</v>
      </c>
    </row>
    <row r="9220" spans="1:2" x14ac:dyDescent="0.25">
      <c r="A9220">
        <v>9191</v>
      </c>
      <c r="B9220">
        <v>7.1460942119844037E-2</v>
      </c>
    </row>
    <row r="9221" spans="1:2" x14ac:dyDescent="0.25">
      <c r="A9221">
        <v>9192</v>
      </c>
      <c r="B9221">
        <v>0.1461611316964419</v>
      </c>
    </row>
    <row r="9222" spans="1:2" x14ac:dyDescent="0.25">
      <c r="A9222">
        <v>9193</v>
      </c>
      <c r="B9222">
        <v>0.18149961544011634</v>
      </c>
    </row>
    <row r="9223" spans="1:2" x14ac:dyDescent="0.25">
      <c r="A9223">
        <v>9194</v>
      </c>
      <c r="B9223">
        <v>0.18889922361345413</v>
      </c>
    </row>
    <row r="9224" spans="1:2" x14ac:dyDescent="0.25">
      <c r="A9224">
        <v>9195</v>
      </c>
      <c r="B9224">
        <v>0.10188173843989312</v>
      </c>
    </row>
    <row r="9225" spans="1:2" x14ac:dyDescent="0.25">
      <c r="A9225">
        <v>9196</v>
      </c>
      <c r="B9225">
        <v>0.15643877694683561</v>
      </c>
    </row>
    <row r="9226" spans="1:2" x14ac:dyDescent="0.25">
      <c r="A9226">
        <v>9197</v>
      </c>
      <c r="B9226">
        <v>7.1065374012351995E-2</v>
      </c>
    </row>
    <row r="9227" spans="1:2" x14ac:dyDescent="0.25">
      <c r="A9227">
        <v>9198</v>
      </c>
      <c r="B9227">
        <v>5.2199019024604269E-2</v>
      </c>
    </row>
    <row r="9228" spans="1:2" x14ac:dyDescent="0.25">
      <c r="A9228">
        <v>9199</v>
      </c>
      <c r="B9228">
        <v>7.2482113561456854E-2</v>
      </c>
    </row>
    <row r="9229" spans="1:2" x14ac:dyDescent="0.25">
      <c r="A9229">
        <v>9200</v>
      </c>
      <c r="B9229">
        <v>0.31291215504814884</v>
      </c>
    </row>
    <row r="9230" spans="1:2" x14ac:dyDescent="0.25">
      <c r="A9230">
        <v>9201</v>
      </c>
      <c r="B9230">
        <v>0.11003126497844645</v>
      </c>
    </row>
    <row r="9231" spans="1:2" x14ac:dyDescent="0.25">
      <c r="A9231">
        <v>9202</v>
      </c>
      <c r="B9231">
        <v>0.26343490633514072</v>
      </c>
    </row>
    <row r="9232" spans="1:2" x14ac:dyDescent="0.25">
      <c r="A9232">
        <v>9203</v>
      </c>
      <c r="B9232">
        <v>0.56411735975313959</v>
      </c>
    </row>
    <row r="9233" spans="1:2" x14ac:dyDescent="0.25">
      <c r="A9233">
        <v>9204</v>
      </c>
      <c r="B9233">
        <v>0.20278649467202442</v>
      </c>
    </row>
    <row r="9234" spans="1:2" x14ac:dyDescent="0.25">
      <c r="A9234">
        <v>9205</v>
      </c>
      <c r="B9234">
        <v>0.15436947599372589</v>
      </c>
    </row>
    <row r="9235" spans="1:2" x14ac:dyDescent="0.25">
      <c r="A9235">
        <v>9206</v>
      </c>
      <c r="B9235">
        <v>0.44565471391935146</v>
      </c>
    </row>
    <row r="9236" spans="1:2" x14ac:dyDescent="0.25">
      <c r="A9236">
        <v>9207</v>
      </c>
      <c r="B9236">
        <v>0.42889702332524993</v>
      </c>
    </row>
    <row r="9237" spans="1:2" x14ac:dyDescent="0.25">
      <c r="A9237">
        <v>9208</v>
      </c>
      <c r="B9237">
        <v>0.28392857576827329</v>
      </c>
    </row>
    <row r="9238" spans="1:2" x14ac:dyDescent="0.25">
      <c r="A9238">
        <v>9209</v>
      </c>
      <c r="B9238">
        <v>7.0479982476528133E-2</v>
      </c>
    </row>
    <row r="9239" spans="1:2" x14ac:dyDescent="0.25">
      <c r="A9239">
        <v>9210</v>
      </c>
      <c r="B9239">
        <v>0.23357151308832849</v>
      </c>
    </row>
    <row r="9240" spans="1:2" x14ac:dyDescent="0.25">
      <c r="A9240">
        <v>9211</v>
      </c>
      <c r="B9240">
        <v>0.22416386302615718</v>
      </c>
    </row>
    <row r="9241" spans="1:2" x14ac:dyDescent="0.25">
      <c r="A9241">
        <v>9212</v>
      </c>
      <c r="B9241">
        <v>0.30199020513325814</v>
      </c>
    </row>
    <row r="9242" spans="1:2" x14ac:dyDescent="0.25">
      <c r="A9242">
        <v>9213</v>
      </c>
      <c r="B9242">
        <v>0.12165848155085519</v>
      </c>
    </row>
    <row r="9243" spans="1:2" x14ac:dyDescent="0.25">
      <c r="A9243">
        <v>9214</v>
      </c>
      <c r="B9243">
        <v>0.21241145874356746</v>
      </c>
    </row>
    <row r="9244" spans="1:2" x14ac:dyDescent="0.25">
      <c r="A9244">
        <v>9215</v>
      </c>
      <c r="B9244">
        <v>0.30720523944571426</v>
      </c>
    </row>
    <row r="9245" spans="1:2" x14ac:dyDescent="0.25">
      <c r="A9245">
        <v>9216</v>
      </c>
      <c r="B9245">
        <v>0.23175203432435307</v>
      </c>
    </row>
    <row r="9246" spans="1:2" x14ac:dyDescent="0.25">
      <c r="A9246">
        <v>9217</v>
      </c>
      <c r="B9246">
        <v>0.18475571398961119</v>
      </c>
    </row>
    <row r="9247" spans="1:2" x14ac:dyDescent="0.25">
      <c r="A9247">
        <v>9218</v>
      </c>
      <c r="B9247">
        <v>0.22606646230588148</v>
      </c>
    </row>
    <row r="9248" spans="1:2" x14ac:dyDescent="0.25">
      <c r="A9248">
        <v>9219</v>
      </c>
      <c r="B9248">
        <v>0.13851313909145374</v>
      </c>
    </row>
    <row r="9249" spans="1:2" x14ac:dyDescent="0.25">
      <c r="A9249">
        <v>9220</v>
      </c>
      <c r="B9249">
        <v>0.12610305991265819</v>
      </c>
    </row>
    <row r="9250" spans="1:2" x14ac:dyDescent="0.25">
      <c r="A9250">
        <v>9221</v>
      </c>
      <c r="B9250">
        <v>0.12095079529798246</v>
      </c>
    </row>
    <row r="9251" spans="1:2" x14ac:dyDescent="0.25">
      <c r="A9251">
        <v>9222</v>
      </c>
      <c r="B9251">
        <v>4.0652859003287627E-2</v>
      </c>
    </row>
    <row r="9252" spans="1:2" x14ac:dyDescent="0.25">
      <c r="A9252">
        <v>9223</v>
      </c>
      <c r="B9252">
        <v>0.13806322888208747</v>
      </c>
    </row>
    <row r="9253" spans="1:2" x14ac:dyDescent="0.25">
      <c r="A9253">
        <v>9224</v>
      </c>
      <c r="B9253">
        <v>0.18416513195497661</v>
      </c>
    </row>
    <row r="9254" spans="1:2" x14ac:dyDescent="0.25">
      <c r="A9254">
        <v>9225</v>
      </c>
      <c r="B9254">
        <v>0.3514243486376431</v>
      </c>
    </row>
    <row r="9255" spans="1:2" x14ac:dyDescent="0.25">
      <c r="A9255">
        <v>9226</v>
      </c>
      <c r="B9255">
        <v>0.54951064531730964</v>
      </c>
    </row>
    <row r="9256" spans="1:2" x14ac:dyDescent="0.25">
      <c r="A9256">
        <v>9227</v>
      </c>
      <c r="B9256">
        <v>0.17657949657401903</v>
      </c>
    </row>
    <row r="9257" spans="1:2" x14ac:dyDescent="0.25">
      <c r="A9257">
        <v>9228</v>
      </c>
      <c r="B9257">
        <v>0.15737955942678356</v>
      </c>
    </row>
    <row r="9258" spans="1:2" x14ac:dyDescent="0.25">
      <c r="A9258">
        <v>9229</v>
      </c>
      <c r="B9258">
        <v>0.14194714815624723</v>
      </c>
    </row>
    <row r="9259" spans="1:2" x14ac:dyDescent="0.25">
      <c r="A9259">
        <v>9230</v>
      </c>
      <c r="B9259">
        <v>0.57621426862865255</v>
      </c>
    </row>
    <row r="9260" spans="1:2" x14ac:dyDescent="0.25">
      <c r="A9260">
        <v>9231</v>
      </c>
      <c r="B9260">
        <v>0.24205718920212088</v>
      </c>
    </row>
    <row r="9261" spans="1:2" x14ac:dyDescent="0.25">
      <c r="A9261">
        <v>9232</v>
      </c>
      <c r="B9261">
        <v>0.17269905814261832</v>
      </c>
    </row>
    <row r="9262" spans="1:2" x14ac:dyDescent="0.25">
      <c r="A9262">
        <v>9233</v>
      </c>
      <c r="B9262">
        <v>0.24214413007382524</v>
      </c>
    </row>
    <row r="9263" spans="1:2" x14ac:dyDescent="0.25">
      <c r="A9263">
        <v>9234</v>
      </c>
      <c r="B9263">
        <v>0.63352360160722943</v>
      </c>
    </row>
    <row r="9264" spans="1:2" x14ac:dyDescent="0.25">
      <c r="A9264">
        <v>9235</v>
      </c>
      <c r="B9264">
        <v>0.1274889058167831</v>
      </c>
    </row>
    <row r="9265" spans="1:2" x14ac:dyDescent="0.25">
      <c r="A9265">
        <v>9236</v>
      </c>
      <c r="B9265">
        <v>0.3759576119469758</v>
      </c>
    </row>
    <row r="9266" spans="1:2" x14ac:dyDescent="0.25">
      <c r="A9266">
        <v>9237</v>
      </c>
      <c r="B9266">
        <v>0.32649586440742123</v>
      </c>
    </row>
    <row r="9267" spans="1:2" x14ac:dyDescent="0.25">
      <c r="A9267">
        <v>9238</v>
      </c>
      <c r="B9267">
        <v>5.4848928642004767E-2</v>
      </c>
    </row>
    <row r="9268" spans="1:2" x14ac:dyDescent="0.25">
      <c r="A9268">
        <v>9239</v>
      </c>
      <c r="B9268">
        <v>5.6356358464526322E-2</v>
      </c>
    </row>
    <row r="9269" spans="1:2" x14ac:dyDescent="0.25">
      <c r="A9269">
        <v>9240</v>
      </c>
      <c r="B9269">
        <v>0.22531468693217338</v>
      </c>
    </row>
    <row r="9270" spans="1:2" x14ac:dyDescent="0.25">
      <c r="A9270">
        <v>9241</v>
      </c>
      <c r="B9270">
        <v>4.2318066976456188E-2</v>
      </c>
    </row>
    <row r="9271" spans="1:2" x14ac:dyDescent="0.25">
      <c r="A9271">
        <v>9242</v>
      </c>
      <c r="B9271">
        <v>0.45687141633182843</v>
      </c>
    </row>
    <row r="9272" spans="1:2" x14ac:dyDescent="0.25">
      <c r="A9272">
        <v>9243</v>
      </c>
      <c r="B9272">
        <v>0.13015218248658472</v>
      </c>
    </row>
    <row r="9273" spans="1:2" x14ac:dyDescent="0.25">
      <c r="A9273">
        <v>9244</v>
      </c>
      <c r="B9273">
        <v>0.12687562986350401</v>
      </c>
    </row>
    <row r="9274" spans="1:2" x14ac:dyDescent="0.25">
      <c r="A9274">
        <v>9245</v>
      </c>
      <c r="B9274">
        <v>0.46620105925430405</v>
      </c>
    </row>
    <row r="9275" spans="1:2" x14ac:dyDescent="0.25">
      <c r="A9275">
        <v>9246</v>
      </c>
      <c r="B9275">
        <v>0.6989302451955981</v>
      </c>
    </row>
    <row r="9276" spans="1:2" x14ac:dyDescent="0.25">
      <c r="A9276">
        <v>9247</v>
      </c>
      <c r="B9276">
        <v>0.10423888849833805</v>
      </c>
    </row>
    <row r="9277" spans="1:2" x14ac:dyDescent="0.25">
      <c r="A9277">
        <v>9248</v>
      </c>
      <c r="B9277">
        <v>0.2372154429480624</v>
      </c>
    </row>
    <row r="9278" spans="1:2" x14ac:dyDescent="0.25">
      <c r="A9278">
        <v>9249</v>
      </c>
      <c r="B9278">
        <v>0.14683789937429798</v>
      </c>
    </row>
    <row r="9279" spans="1:2" x14ac:dyDescent="0.25">
      <c r="A9279">
        <v>9250</v>
      </c>
      <c r="B9279">
        <v>0.22812911734834432</v>
      </c>
    </row>
    <row r="9280" spans="1:2" x14ac:dyDescent="0.25">
      <c r="A9280">
        <v>9251</v>
      </c>
      <c r="B9280">
        <v>0.27484075920970891</v>
      </c>
    </row>
    <row r="9281" spans="1:2" x14ac:dyDescent="0.25">
      <c r="A9281">
        <v>9252</v>
      </c>
      <c r="B9281">
        <v>0.21596597770037607</v>
      </c>
    </row>
    <row r="9282" spans="1:2" x14ac:dyDescent="0.25">
      <c r="A9282">
        <v>9253</v>
      </c>
      <c r="B9282">
        <v>0.16451935522571567</v>
      </c>
    </row>
    <row r="9283" spans="1:2" x14ac:dyDescent="0.25">
      <c r="A9283">
        <v>9254</v>
      </c>
      <c r="B9283">
        <v>0.17878933980215864</v>
      </c>
    </row>
    <row r="9284" spans="1:2" x14ac:dyDescent="0.25">
      <c r="A9284">
        <v>9255</v>
      </c>
      <c r="B9284">
        <v>0.30043147535974357</v>
      </c>
    </row>
    <row r="9285" spans="1:2" x14ac:dyDescent="0.25">
      <c r="A9285">
        <v>9256</v>
      </c>
      <c r="B9285">
        <v>0.19277531736233069</v>
      </c>
    </row>
    <row r="9286" spans="1:2" x14ac:dyDescent="0.25">
      <c r="A9286">
        <v>9257</v>
      </c>
      <c r="B9286">
        <v>0.21996466566750852</v>
      </c>
    </row>
    <row r="9287" spans="1:2" x14ac:dyDescent="0.25">
      <c r="A9287">
        <v>9258</v>
      </c>
      <c r="B9287">
        <v>0.40547785273894565</v>
      </c>
    </row>
    <row r="9288" spans="1:2" x14ac:dyDescent="0.25">
      <c r="A9288">
        <v>9259</v>
      </c>
      <c r="B9288">
        <v>4.023314417488328E-2</v>
      </c>
    </row>
    <row r="9289" spans="1:2" x14ac:dyDescent="0.25">
      <c r="A9289">
        <v>9260</v>
      </c>
      <c r="B9289">
        <v>0.22075616823308447</v>
      </c>
    </row>
    <row r="9290" spans="1:2" x14ac:dyDescent="0.25">
      <c r="A9290">
        <v>9261</v>
      </c>
      <c r="B9290">
        <v>0.47360455732499224</v>
      </c>
    </row>
    <row r="9291" spans="1:2" x14ac:dyDescent="0.25">
      <c r="A9291">
        <v>9262</v>
      </c>
      <c r="B9291">
        <v>0.30671245990349139</v>
      </c>
    </row>
    <row r="9292" spans="1:2" x14ac:dyDescent="0.25">
      <c r="A9292">
        <v>9263</v>
      </c>
      <c r="B9292">
        <v>0.25256460800468494</v>
      </c>
    </row>
    <row r="9293" spans="1:2" x14ac:dyDescent="0.25">
      <c r="A9293">
        <v>9264</v>
      </c>
      <c r="B9293">
        <v>0.32710019621393566</v>
      </c>
    </row>
    <row r="9294" spans="1:2" x14ac:dyDescent="0.25">
      <c r="A9294">
        <v>9265</v>
      </c>
      <c r="B9294">
        <v>8.7765164948067867E-2</v>
      </c>
    </row>
    <row r="9295" spans="1:2" x14ac:dyDescent="0.25">
      <c r="A9295">
        <v>9266</v>
      </c>
      <c r="B9295">
        <v>0.47436437986475605</v>
      </c>
    </row>
    <row r="9296" spans="1:2" x14ac:dyDescent="0.25">
      <c r="A9296">
        <v>9267</v>
      </c>
      <c r="B9296">
        <v>0.10786591662631531</v>
      </c>
    </row>
    <row r="9297" spans="1:2" x14ac:dyDescent="0.25">
      <c r="A9297">
        <v>9268</v>
      </c>
      <c r="B9297">
        <v>8.4770245916388265E-2</v>
      </c>
    </row>
    <row r="9298" spans="1:2" x14ac:dyDescent="0.25">
      <c r="A9298">
        <v>9269</v>
      </c>
      <c r="B9298">
        <v>9.4396993945604302E-2</v>
      </c>
    </row>
    <row r="9299" spans="1:2" x14ac:dyDescent="0.25">
      <c r="A9299">
        <v>9270</v>
      </c>
      <c r="B9299">
        <v>0.38064665104836071</v>
      </c>
    </row>
    <row r="9300" spans="1:2" x14ac:dyDescent="0.25">
      <c r="A9300">
        <v>9271</v>
      </c>
      <c r="B9300">
        <v>0.21768358149559944</v>
      </c>
    </row>
    <row r="9301" spans="1:2" x14ac:dyDescent="0.25">
      <c r="A9301">
        <v>9272</v>
      </c>
      <c r="B9301">
        <v>0.3791330168376788</v>
      </c>
    </row>
    <row r="9302" spans="1:2" x14ac:dyDescent="0.25">
      <c r="A9302">
        <v>9273</v>
      </c>
      <c r="B9302">
        <v>0.35235130450500934</v>
      </c>
    </row>
    <row r="9303" spans="1:2" x14ac:dyDescent="0.25">
      <c r="A9303">
        <v>9274</v>
      </c>
      <c r="B9303">
        <v>0.38702122116130083</v>
      </c>
    </row>
    <row r="9304" spans="1:2" x14ac:dyDescent="0.25">
      <c r="A9304">
        <v>9275</v>
      </c>
      <c r="B9304">
        <v>0.25447262971850865</v>
      </c>
    </row>
    <row r="9305" spans="1:2" x14ac:dyDescent="0.25">
      <c r="A9305">
        <v>9276</v>
      </c>
      <c r="B9305">
        <v>0.43203657095665787</v>
      </c>
    </row>
    <row r="9306" spans="1:2" x14ac:dyDescent="0.25">
      <c r="A9306">
        <v>9277</v>
      </c>
      <c r="B9306">
        <v>0.46519409096384989</v>
      </c>
    </row>
    <row r="9307" spans="1:2" x14ac:dyDescent="0.25">
      <c r="A9307">
        <v>9278</v>
      </c>
      <c r="B9307">
        <v>0.18083511411463254</v>
      </c>
    </row>
    <row r="9308" spans="1:2" x14ac:dyDescent="0.25">
      <c r="A9308">
        <v>9279</v>
      </c>
      <c r="B9308">
        <v>0.17154720829698736</v>
      </c>
    </row>
    <row r="9309" spans="1:2" x14ac:dyDescent="0.25">
      <c r="A9309">
        <v>9280</v>
      </c>
      <c r="B9309">
        <v>0.22643696214330236</v>
      </c>
    </row>
    <row r="9310" spans="1:2" x14ac:dyDescent="0.25">
      <c r="A9310">
        <v>9281</v>
      </c>
      <c r="B9310">
        <v>9.3770675786601976E-2</v>
      </c>
    </row>
    <row r="9311" spans="1:2" x14ac:dyDescent="0.25">
      <c r="A9311">
        <v>9282</v>
      </c>
      <c r="B9311">
        <v>8.7018563022558795E-2</v>
      </c>
    </row>
    <row r="9312" spans="1:2" x14ac:dyDescent="0.25">
      <c r="A9312">
        <v>9283</v>
      </c>
      <c r="B9312">
        <v>0.24777883447121266</v>
      </c>
    </row>
    <row r="9313" spans="1:2" x14ac:dyDescent="0.25">
      <c r="A9313">
        <v>9284</v>
      </c>
      <c r="B9313">
        <v>8.2006092482500542E-2</v>
      </c>
    </row>
    <row r="9314" spans="1:2" x14ac:dyDescent="0.25">
      <c r="A9314">
        <v>9285</v>
      </c>
      <c r="B9314">
        <v>0.19539834944843693</v>
      </c>
    </row>
    <row r="9315" spans="1:2" x14ac:dyDescent="0.25">
      <c r="A9315">
        <v>9286</v>
      </c>
      <c r="B9315">
        <v>9.0202240987027213E-2</v>
      </c>
    </row>
    <row r="9316" spans="1:2" x14ac:dyDescent="0.25">
      <c r="A9316">
        <v>9287</v>
      </c>
      <c r="B9316">
        <v>7.561550088083481E-2</v>
      </c>
    </row>
    <row r="9317" spans="1:2" x14ac:dyDescent="0.25">
      <c r="A9317">
        <v>9288</v>
      </c>
      <c r="B9317">
        <v>0.11681736264946606</v>
      </c>
    </row>
    <row r="9318" spans="1:2" x14ac:dyDescent="0.25">
      <c r="A9318">
        <v>9289</v>
      </c>
      <c r="B9318">
        <v>0.13513049718038928</v>
      </c>
    </row>
    <row r="9319" spans="1:2" x14ac:dyDescent="0.25">
      <c r="A9319">
        <v>9290</v>
      </c>
      <c r="B9319">
        <v>0.17902727831723941</v>
      </c>
    </row>
    <row r="9320" spans="1:2" x14ac:dyDescent="0.25">
      <c r="A9320">
        <v>9291</v>
      </c>
      <c r="B9320">
        <v>0.21166803983341373</v>
      </c>
    </row>
    <row r="9321" spans="1:2" x14ac:dyDescent="0.25">
      <c r="A9321">
        <v>9292</v>
      </c>
      <c r="B9321">
        <v>0.12370895557355459</v>
      </c>
    </row>
    <row r="9322" spans="1:2" x14ac:dyDescent="0.25">
      <c r="A9322">
        <v>9293</v>
      </c>
      <c r="B9322">
        <v>1.3208326971886926</v>
      </c>
    </row>
    <row r="9323" spans="1:2" x14ac:dyDescent="0.25">
      <c r="A9323">
        <v>9294</v>
      </c>
      <c r="B9323">
        <v>0.27113967637214959</v>
      </c>
    </row>
    <row r="9324" spans="1:2" x14ac:dyDescent="0.25">
      <c r="A9324">
        <v>9295</v>
      </c>
      <c r="B9324">
        <v>0.73428911898880977</v>
      </c>
    </row>
    <row r="9325" spans="1:2" x14ac:dyDescent="0.25">
      <c r="A9325">
        <v>9296</v>
      </c>
      <c r="B9325">
        <v>0.16466802527358509</v>
      </c>
    </row>
    <row r="9326" spans="1:2" x14ac:dyDescent="0.25">
      <c r="A9326">
        <v>9297</v>
      </c>
      <c r="B9326">
        <v>0.4781760561362966</v>
      </c>
    </row>
    <row r="9327" spans="1:2" x14ac:dyDescent="0.25">
      <c r="A9327">
        <v>9298</v>
      </c>
      <c r="B9327">
        <v>0.22038131747045639</v>
      </c>
    </row>
    <row r="9328" spans="1:2" x14ac:dyDescent="0.25">
      <c r="A9328">
        <v>9299</v>
      </c>
      <c r="B9328">
        <v>0.77999893193640635</v>
      </c>
    </row>
    <row r="9329" spans="1:2" x14ac:dyDescent="0.25">
      <c r="A9329">
        <v>9300</v>
      </c>
      <c r="B9329">
        <v>0.15814946028505078</v>
      </c>
    </row>
    <row r="9330" spans="1:2" x14ac:dyDescent="0.25">
      <c r="A9330">
        <v>9301</v>
      </c>
      <c r="B9330">
        <v>9.4369021875522693E-2</v>
      </c>
    </row>
    <row r="9331" spans="1:2" x14ac:dyDescent="0.25">
      <c r="A9331">
        <v>9302</v>
      </c>
      <c r="B9331">
        <v>0.12971456355516653</v>
      </c>
    </row>
    <row r="9332" spans="1:2" x14ac:dyDescent="0.25">
      <c r="A9332">
        <v>9303</v>
      </c>
      <c r="B9332">
        <v>0.17737557911024057</v>
      </c>
    </row>
    <row r="9333" spans="1:2" x14ac:dyDescent="0.25">
      <c r="A9333">
        <v>9304</v>
      </c>
      <c r="B9333">
        <v>0.15309635191452617</v>
      </c>
    </row>
    <row r="9334" spans="1:2" x14ac:dyDescent="0.25">
      <c r="A9334">
        <v>9305</v>
      </c>
      <c r="B9334">
        <v>4.6922130332718429E-2</v>
      </c>
    </row>
    <row r="9335" spans="1:2" x14ac:dyDescent="0.25">
      <c r="A9335">
        <v>9306</v>
      </c>
      <c r="B9335">
        <v>0.16917561558940694</v>
      </c>
    </row>
    <row r="9336" spans="1:2" x14ac:dyDescent="0.25">
      <c r="A9336">
        <v>9307</v>
      </c>
      <c r="B9336">
        <v>0.28219890751337406</v>
      </c>
    </row>
    <row r="9337" spans="1:2" x14ac:dyDescent="0.25">
      <c r="A9337">
        <v>9308</v>
      </c>
      <c r="B9337">
        <v>0.29090076407704846</v>
      </c>
    </row>
    <row r="9338" spans="1:2" x14ac:dyDescent="0.25">
      <c r="A9338">
        <v>9309</v>
      </c>
      <c r="B9338">
        <v>0.28297704790762485</v>
      </c>
    </row>
    <row r="9339" spans="1:2" x14ac:dyDescent="0.25">
      <c r="A9339">
        <v>9310</v>
      </c>
      <c r="B9339">
        <v>0.12642421641361987</v>
      </c>
    </row>
    <row r="9340" spans="1:2" x14ac:dyDescent="0.25">
      <c r="A9340">
        <v>9311</v>
      </c>
      <c r="B9340">
        <v>0.18688162515564319</v>
      </c>
    </row>
    <row r="9341" spans="1:2" x14ac:dyDescent="0.25">
      <c r="A9341">
        <v>9312</v>
      </c>
      <c r="B9341">
        <v>0.30664713620038275</v>
      </c>
    </row>
    <row r="9342" spans="1:2" x14ac:dyDescent="0.25">
      <c r="A9342">
        <v>9313</v>
      </c>
      <c r="B9342">
        <v>6.1038234292695899E-2</v>
      </c>
    </row>
    <row r="9343" spans="1:2" x14ac:dyDescent="0.25">
      <c r="A9343">
        <v>9314</v>
      </c>
      <c r="B9343">
        <v>0.4189773539956741</v>
      </c>
    </row>
    <row r="9344" spans="1:2" x14ac:dyDescent="0.25">
      <c r="A9344">
        <v>9315</v>
      </c>
      <c r="B9344">
        <v>0.24144132291610149</v>
      </c>
    </row>
    <row r="9345" spans="1:2" x14ac:dyDescent="0.25">
      <c r="A9345">
        <v>9316</v>
      </c>
      <c r="B9345">
        <v>8.4723659204562735E-2</v>
      </c>
    </row>
    <row r="9346" spans="1:2" x14ac:dyDescent="0.25">
      <c r="A9346">
        <v>9317</v>
      </c>
      <c r="B9346">
        <v>7.6784143407279598E-2</v>
      </c>
    </row>
    <row r="9347" spans="1:2" x14ac:dyDescent="0.25">
      <c r="A9347">
        <v>9318</v>
      </c>
      <c r="B9347">
        <v>0.47912957216396079</v>
      </c>
    </row>
    <row r="9348" spans="1:2" x14ac:dyDescent="0.25">
      <c r="A9348">
        <v>9319</v>
      </c>
      <c r="B9348">
        <v>0.1735935973270169</v>
      </c>
    </row>
    <row r="9349" spans="1:2" x14ac:dyDescent="0.25">
      <c r="A9349">
        <v>9320</v>
      </c>
      <c r="B9349">
        <v>7.8659500276391542E-2</v>
      </c>
    </row>
    <row r="9350" spans="1:2" x14ac:dyDescent="0.25">
      <c r="A9350">
        <v>9321</v>
      </c>
      <c r="B9350">
        <v>0.14045160084913863</v>
      </c>
    </row>
    <row r="9351" spans="1:2" x14ac:dyDescent="0.25">
      <c r="A9351">
        <v>9322</v>
      </c>
      <c r="B9351">
        <v>0.13199554643037251</v>
      </c>
    </row>
    <row r="9352" spans="1:2" x14ac:dyDescent="0.25">
      <c r="A9352">
        <v>9323</v>
      </c>
      <c r="B9352">
        <v>0.11230296371456136</v>
      </c>
    </row>
    <row r="9353" spans="1:2" x14ac:dyDescent="0.25">
      <c r="A9353">
        <v>9324</v>
      </c>
      <c r="B9353">
        <v>0.14899028773773496</v>
      </c>
    </row>
    <row r="9354" spans="1:2" x14ac:dyDescent="0.25">
      <c r="A9354">
        <v>9325</v>
      </c>
      <c r="B9354">
        <v>7.6531969619057713E-2</v>
      </c>
    </row>
    <row r="9355" spans="1:2" x14ac:dyDescent="0.25">
      <c r="A9355">
        <v>9326</v>
      </c>
      <c r="B9355">
        <v>0.36569577663456909</v>
      </c>
    </row>
    <row r="9356" spans="1:2" x14ac:dyDescent="0.25">
      <c r="A9356">
        <v>9327</v>
      </c>
      <c r="B9356">
        <v>4.3977210692512876E-2</v>
      </c>
    </row>
    <row r="9357" spans="1:2" x14ac:dyDescent="0.25">
      <c r="A9357">
        <v>9328</v>
      </c>
      <c r="B9357">
        <v>0.19713766651311826</v>
      </c>
    </row>
    <row r="9358" spans="1:2" x14ac:dyDescent="0.25">
      <c r="A9358">
        <v>9329</v>
      </c>
      <c r="B9358">
        <v>0.16614025838680385</v>
      </c>
    </row>
    <row r="9359" spans="1:2" x14ac:dyDescent="0.25">
      <c r="A9359">
        <v>9330</v>
      </c>
      <c r="B9359">
        <v>7.4267911023660982E-2</v>
      </c>
    </row>
    <row r="9360" spans="1:2" x14ac:dyDescent="0.25">
      <c r="A9360">
        <v>9331</v>
      </c>
      <c r="B9360">
        <v>0.3124654140468256</v>
      </c>
    </row>
    <row r="9361" spans="1:2" x14ac:dyDescent="0.25">
      <c r="A9361">
        <v>9332</v>
      </c>
      <c r="B9361">
        <v>0.19205736637432766</v>
      </c>
    </row>
    <row r="9362" spans="1:2" x14ac:dyDescent="0.25">
      <c r="A9362">
        <v>9333</v>
      </c>
      <c r="B9362">
        <v>6.4725303168911522E-2</v>
      </c>
    </row>
    <row r="9363" spans="1:2" x14ac:dyDescent="0.25">
      <c r="A9363">
        <v>9334</v>
      </c>
      <c r="B9363">
        <v>0.23522844745395893</v>
      </c>
    </row>
    <row r="9364" spans="1:2" x14ac:dyDescent="0.25">
      <c r="A9364">
        <v>9335</v>
      </c>
      <c r="B9364">
        <v>0.22138762338303811</v>
      </c>
    </row>
    <row r="9365" spans="1:2" x14ac:dyDescent="0.25">
      <c r="A9365">
        <v>9336</v>
      </c>
      <c r="B9365">
        <v>6.1157938165477592E-2</v>
      </c>
    </row>
    <row r="9366" spans="1:2" x14ac:dyDescent="0.25">
      <c r="A9366">
        <v>9337</v>
      </c>
      <c r="B9366">
        <v>0.16003964530169706</v>
      </c>
    </row>
    <row r="9367" spans="1:2" x14ac:dyDescent="0.25">
      <c r="A9367">
        <v>9338</v>
      </c>
      <c r="B9367">
        <v>0.37038026908270633</v>
      </c>
    </row>
    <row r="9368" spans="1:2" x14ac:dyDescent="0.25">
      <c r="A9368">
        <v>9339</v>
      </c>
      <c r="B9368">
        <v>0.28369430367010556</v>
      </c>
    </row>
    <row r="9369" spans="1:2" x14ac:dyDescent="0.25">
      <c r="A9369">
        <v>9340</v>
      </c>
      <c r="B9369">
        <v>0.13894263024032669</v>
      </c>
    </row>
    <row r="9370" spans="1:2" x14ac:dyDescent="0.25">
      <c r="A9370">
        <v>9341</v>
      </c>
      <c r="B9370">
        <v>0.15731415404057308</v>
      </c>
    </row>
    <row r="9371" spans="1:2" x14ac:dyDescent="0.25">
      <c r="A9371">
        <v>9342</v>
      </c>
      <c r="B9371">
        <v>0.24081699035407877</v>
      </c>
    </row>
    <row r="9372" spans="1:2" x14ac:dyDescent="0.25">
      <c r="A9372">
        <v>9343</v>
      </c>
      <c r="B9372">
        <v>0.18174377380107015</v>
      </c>
    </row>
    <row r="9373" spans="1:2" x14ac:dyDescent="0.25">
      <c r="A9373">
        <v>9344</v>
      </c>
      <c r="B9373">
        <v>0.42557911785551888</v>
      </c>
    </row>
    <row r="9374" spans="1:2" x14ac:dyDescent="0.25">
      <c r="A9374">
        <v>9345</v>
      </c>
      <c r="B9374">
        <v>0.15911713960391402</v>
      </c>
    </row>
    <row r="9375" spans="1:2" x14ac:dyDescent="0.25">
      <c r="A9375">
        <v>9346</v>
      </c>
      <c r="B9375">
        <v>0.19007725511451773</v>
      </c>
    </row>
    <row r="9376" spans="1:2" x14ac:dyDescent="0.25">
      <c r="A9376">
        <v>9347</v>
      </c>
      <c r="B9376">
        <v>0.139357940377002</v>
      </c>
    </row>
    <row r="9377" spans="1:2" x14ac:dyDescent="0.25">
      <c r="A9377">
        <v>9348</v>
      </c>
      <c r="B9377">
        <v>0.2229114009813235</v>
      </c>
    </row>
    <row r="9378" spans="1:2" x14ac:dyDescent="0.25">
      <c r="A9378">
        <v>9349</v>
      </c>
      <c r="B9378">
        <v>0.11573837342031838</v>
      </c>
    </row>
    <row r="9379" spans="1:2" x14ac:dyDescent="0.25">
      <c r="A9379">
        <v>9350</v>
      </c>
      <c r="B9379">
        <v>0.27729337966437062</v>
      </c>
    </row>
    <row r="9380" spans="1:2" x14ac:dyDescent="0.25">
      <c r="A9380">
        <v>9351</v>
      </c>
      <c r="B9380">
        <v>0.17594333344093196</v>
      </c>
    </row>
    <row r="9381" spans="1:2" x14ac:dyDescent="0.25">
      <c r="A9381">
        <v>9352</v>
      </c>
      <c r="B9381">
        <v>6.8308542762706856E-2</v>
      </c>
    </row>
    <row r="9382" spans="1:2" x14ac:dyDescent="0.25">
      <c r="A9382">
        <v>9353</v>
      </c>
      <c r="B9382">
        <v>0.27037205722925561</v>
      </c>
    </row>
    <row r="9383" spans="1:2" x14ac:dyDescent="0.25">
      <c r="A9383">
        <v>9354</v>
      </c>
      <c r="B9383">
        <v>0.25994464929071553</v>
      </c>
    </row>
    <row r="9384" spans="1:2" x14ac:dyDescent="0.25">
      <c r="A9384">
        <v>9355</v>
      </c>
      <c r="B9384">
        <v>9.6597721443160228E-2</v>
      </c>
    </row>
    <row r="9385" spans="1:2" x14ac:dyDescent="0.25">
      <c r="A9385">
        <v>9356</v>
      </c>
      <c r="B9385">
        <v>9.9971171062362862E-2</v>
      </c>
    </row>
    <row r="9386" spans="1:2" x14ac:dyDescent="0.25">
      <c r="A9386">
        <v>9357</v>
      </c>
      <c r="B9386">
        <v>0.25108077483462321</v>
      </c>
    </row>
    <row r="9387" spans="1:2" x14ac:dyDescent="0.25">
      <c r="A9387">
        <v>9358</v>
      </c>
      <c r="B9387">
        <v>0.34459081841075478</v>
      </c>
    </row>
    <row r="9388" spans="1:2" x14ac:dyDescent="0.25">
      <c r="A9388">
        <v>9359</v>
      </c>
      <c r="B9388">
        <v>3.1844109364166824E-2</v>
      </c>
    </row>
    <row r="9389" spans="1:2" x14ac:dyDescent="0.25">
      <c r="A9389">
        <v>9360</v>
      </c>
      <c r="B9389">
        <v>0.17088057177508673</v>
      </c>
    </row>
    <row r="9390" spans="1:2" x14ac:dyDescent="0.25">
      <c r="A9390">
        <v>9361</v>
      </c>
      <c r="B9390">
        <v>0.37509708253576207</v>
      </c>
    </row>
    <row r="9391" spans="1:2" x14ac:dyDescent="0.25">
      <c r="A9391">
        <v>9362</v>
      </c>
      <c r="B9391">
        <v>0.27060684641981786</v>
      </c>
    </row>
    <row r="9392" spans="1:2" x14ac:dyDescent="0.25">
      <c r="A9392">
        <v>9363</v>
      </c>
      <c r="B9392">
        <v>5.309490445378201E-2</v>
      </c>
    </row>
    <row r="9393" spans="1:2" x14ac:dyDescent="0.25">
      <c r="A9393">
        <v>9364</v>
      </c>
      <c r="B9393">
        <v>0.33564561892278066</v>
      </c>
    </row>
    <row r="9394" spans="1:2" x14ac:dyDescent="0.25">
      <c r="A9394">
        <v>9365</v>
      </c>
      <c r="B9394">
        <v>5.3612607095618443E-2</v>
      </c>
    </row>
    <row r="9395" spans="1:2" x14ac:dyDescent="0.25">
      <c r="A9395">
        <v>9366</v>
      </c>
      <c r="B9395">
        <v>0.14213046547073849</v>
      </c>
    </row>
    <row r="9396" spans="1:2" x14ac:dyDescent="0.25">
      <c r="A9396">
        <v>9367</v>
      </c>
      <c r="B9396">
        <v>0.33790912313582772</v>
      </c>
    </row>
    <row r="9397" spans="1:2" x14ac:dyDescent="0.25">
      <c r="A9397">
        <v>9368</v>
      </c>
      <c r="B9397">
        <v>0.21522479718812765</v>
      </c>
    </row>
    <row r="9398" spans="1:2" x14ac:dyDescent="0.25">
      <c r="A9398">
        <v>9369</v>
      </c>
      <c r="B9398">
        <v>0.83635473893964318</v>
      </c>
    </row>
    <row r="9399" spans="1:2" x14ac:dyDescent="0.25">
      <c r="A9399">
        <v>9370</v>
      </c>
      <c r="B9399">
        <v>0.14081440119249933</v>
      </c>
    </row>
    <row r="9400" spans="1:2" x14ac:dyDescent="0.25">
      <c r="A9400">
        <v>9371</v>
      </c>
      <c r="B9400">
        <v>5.8449658925254666E-2</v>
      </c>
    </row>
    <row r="9401" spans="1:2" x14ac:dyDescent="0.25">
      <c r="A9401">
        <v>9372</v>
      </c>
      <c r="B9401">
        <v>0.1434676622571715</v>
      </c>
    </row>
    <row r="9402" spans="1:2" x14ac:dyDescent="0.25">
      <c r="A9402">
        <v>9373</v>
      </c>
      <c r="B9402">
        <v>0.22998500771766939</v>
      </c>
    </row>
    <row r="9403" spans="1:2" x14ac:dyDescent="0.25">
      <c r="A9403">
        <v>9374</v>
      </c>
      <c r="B9403">
        <v>9.7603710515263883E-2</v>
      </c>
    </row>
    <row r="9404" spans="1:2" x14ac:dyDescent="0.25">
      <c r="A9404">
        <v>9375</v>
      </c>
      <c r="B9404">
        <v>4.4754640048183685E-2</v>
      </c>
    </row>
    <row r="9405" spans="1:2" x14ac:dyDescent="0.25">
      <c r="A9405">
        <v>9376</v>
      </c>
      <c r="B9405">
        <v>0.15609548031776077</v>
      </c>
    </row>
    <row r="9406" spans="1:2" x14ac:dyDescent="0.25">
      <c r="A9406">
        <v>9377</v>
      </c>
      <c r="B9406">
        <v>0.22600065759282598</v>
      </c>
    </row>
    <row r="9407" spans="1:2" x14ac:dyDescent="0.25">
      <c r="A9407">
        <v>9378</v>
      </c>
      <c r="B9407">
        <v>0.31179996077850952</v>
      </c>
    </row>
    <row r="9408" spans="1:2" x14ac:dyDescent="0.25">
      <c r="A9408">
        <v>9379</v>
      </c>
      <c r="B9408">
        <v>8.1536618249995363E-2</v>
      </c>
    </row>
    <row r="9409" spans="1:2" x14ac:dyDescent="0.25">
      <c r="A9409">
        <v>9380</v>
      </c>
      <c r="B9409">
        <v>0.20038139521963969</v>
      </c>
    </row>
    <row r="9410" spans="1:2" x14ac:dyDescent="0.25">
      <c r="A9410">
        <v>9381</v>
      </c>
      <c r="B9410">
        <v>0.10282735773326233</v>
      </c>
    </row>
    <row r="9411" spans="1:2" x14ac:dyDescent="0.25">
      <c r="A9411">
        <v>9382</v>
      </c>
      <c r="B9411">
        <v>0.29214937248353229</v>
      </c>
    </row>
    <row r="9412" spans="1:2" x14ac:dyDescent="0.25">
      <c r="A9412">
        <v>9383</v>
      </c>
      <c r="B9412">
        <v>0.25878257903535151</v>
      </c>
    </row>
    <row r="9413" spans="1:2" x14ac:dyDescent="0.25">
      <c r="A9413">
        <v>9384</v>
      </c>
      <c r="B9413">
        <v>0.23158688112348086</v>
      </c>
    </row>
    <row r="9414" spans="1:2" x14ac:dyDescent="0.25">
      <c r="A9414">
        <v>9385</v>
      </c>
      <c r="B9414">
        <v>0.22425509187470585</v>
      </c>
    </row>
    <row r="9415" spans="1:2" x14ac:dyDescent="0.25">
      <c r="A9415">
        <v>9386</v>
      </c>
      <c r="B9415">
        <v>3.863479208309565E-2</v>
      </c>
    </row>
    <row r="9416" spans="1:2" x14ac:dyDescent="0.25">
      <c r="A9416">
        <v>9387</v>
      </c>
      <c r="B9416">
        <v>4.0128272019782849E-2</v>
      </c>
    </row>
    <row r="9417" spans="1:2" x14ac:dyDescent="0.25">
      <c r="A9417">
        <v>9388</v>
      </c>
      <c r="B9417">
        <v>0.28853192288613788</v>
      </c>
    </row>
    <row r="9418" spans="1:2" x14ac:dyDescent="0.25">
      <c r="A9418">
        <v>9389</v>
      </c>
      <c r="B9418">
        <v>7.0318364297008898E-2</v>
      </c>
    </row>
    <row r="9419" spans="1:2" x14ac:dyDescent="0.25">
      <c r="A9419">
        <v>9390</v>
      </c>
      <c r="B9419">
        <v>0.19246001203217158</v>
      </c>
    </row>
    <row r="9420" spans="1:2" x14ac:dyDescent="0.25">
      <c r="A9420">
        <v>9391</v>
      </c>
      <c r="B9420">
        <v>0.18577472121746746</v>
      </c>
    </row>
    <row r="9421" spans="1:2" x14ac:dyDescent="0.25">
      <c r="A9421">
        <v>9392</v>
      </c>
      <c r="B9421">
        <v>2.2824929300198932E-2</v>
      </c>
    </row>
    <row r="9422" spans="1:2" x14ac:dyDescent="0.25">
      <c r="A9422">
        <v>9393</v>
      </c>
      <c r="B9422">
        <v>9.8779154886282042E-2</v>
      </c>
    </row>
    <row r="9423" spans="1:2" x14ac:dyDescent="0.25">
      <c r="A9423">
        <v>9394</v>
      </c>
      <c r="B9423">
        <v>0.15519547344043669</v>
      </c>
    </row>
    <row r="9424" spans="1:2" x14ac:dyDescent="0.25">
      <c r="A9424">
        <v>9395</v>
      </c>
      <c r="B9424">
        <v>0.13325597855774324</v>
      </c>
    </row>
    <row r="9425" spans="1:2" x14ac:dyDescent="0.25">
      <c r="A9425">
        <v>9396</v>
      </c>
      <c r="B9425">
        <v>0.15771492425365499</v>
      </c>
    </row>
    <row r="9426" spans="1:2" x14ac:dyDescent="0.25">
      <c r="A9426">
        <v>9397</v>
      </c>
      <c r="B9426">
        <v>0.34793475562079296</v>
      </c>
    </row>
    <row r="9427" spans="1:2" x14ac:dyDescent="0.25">
      <c r="A9427">
        <v>9398</v>
      </c>
      <c r="B9427">
        <v>0.18708058347307133</v>
      </c>
    </row>
    <row r="9428" spans="1:2" x14ac:dyDescent="0.25">
      <c r="A9428">
        <v>9399</v>
      </c>
      <c r="B9428">
        <v>0.12710079407693295</v>
      </c>
    </row>
    <row r="9429" spans="1:2" x14ac:dyDescent="0.25">
      <c r="A9429">
        <v>9400</v>
      </c>
      <c r="B9429">
        <v>0.39427820806048047</v>
      </c>
    </row>
    <row r="9430" spans="1:2" x14ac:dyDescent="0.25">
      <c r="A9430">
        <v>9401</v>
      </c>
      <c r="B9430">
        <v>0.11475751853065498</v>
      </c>
    </row>
    <row r="9431" spans="1:2" x14ac:dyDescent="0.25">
      <c r="A9431">
        <v>9402</v>
      </c>
      <c r="B9431">
        <v>0.18596411215381173</v>
      </c>
    </row>
    <row r="9432" spans="1:2" x14ac:dyDescent="0.25">
      <c r="A9432">
        <v>9403</v>
      </c>
      <c r="B9432">
        <v>0.18756293641438879</v>
      </c>
    </row>
    <row r="9433" spans="1:2" x14ac:dyDescent="0.25">
      <c r="A9433">
        <v>9404</v>
      </c>
      <c r="B9433">
        <v>0.29982787520208931</v>
      </c>
    </row>
    <row r="9434" spans="1:2" x14ac:dyDescent="0.25">
      <c r="A9434">
        <v>9405</v>
      </c>
      <c r="B9434">
        <v>0.17805789674953221</v>
      </c>
    </row>
    <row r="9435" spans="1:2" x14ac:dyDescent="0.25">
      <c r="A9435">
        <v>9406</v>
      </c>
      <c r="B9435">
        <v>9.2409396351174858E-2</v>
      </c>
    </row>
    <row r="9436" spans="1:2" x14ac:dyDescent="0.25">
      <c r="A9436">
        <v>9407</v>
      </c>
      <c r="B9436">
        <v>0.21945167303567842</v>
      </c>
    </row>
    <row r="9437" spans="1:2" x14ac:dyDescent="0.25">
      <c r="A9437">
        <v>9408</v>
      </c>
      <c r="B9437">
        <v>0.14318902399672856</v>
      </c>
    </row>
    <row r="9438" spans="1:2" x14ac:dyDescent="0.25">
      <c r="A9438">
        <v>9409</v>
      </c>
      <c r="B9438">
        <v>7.690863964449865E-2</v>
      </c>
    </row>
    <row r="9439" spans="1:2" x14ac:dyDescent="0.25">
      <c r="A9439">
        <v>9410</v>
      </c>
      <c r="B9439">
        <v>0.31131346274196758</v>
      </c>
    </row>
    <row r="9440" spans="1:2" x14ac:dyDescent="0.25">
      <c r="A9440">
        <v>9411</v>
      </c>
      <c r="B9440">
        <v>0.17016696079885718</v>
      </c>
    </row>
    <row r="9441" spans="1:2" x14ac:dyDescent="0.25">
      <c r="A9441">
        <v>9412</v>
      </c>
      <c r="B9441">
        <v>0.12694118188103939</v>
      </c>
    </row>
    <row r="9442" spans="1:2" x14ac:dyDescent="0.25">
      <c r="A9442">
        <v>9413</v>
      </c>
      <c r="B9442">
        <v>0.1106433114460694</v>
      </c>
    </row>
    <row r="9443" spans="1:2" x14ac:dyDescent="0.25">
      <c r="A9443">
        <v>9414</v>
      </c>
      <c r="B9443">
        <v>0.13090924123575479</v>
      </c>
    </row>
    <row r="9444" spans="1:2" x14ac:dyDescent="0.25">
      <c r="A9444">
        <v>9415</v>
      </c>
      <c r="B9444">
        <v>0.30429458353646233</v>
      </c>
    </row>
    <row r="9445" spans="1:2" x14ac:dyDescent="0.25">
      <c r="A9445">
        <v>9416</v>
      </c>
      <c r="B9445">
        <v>0.64259825344667798</v>
      </c>
    </row>
    <row r="9446" spans="1:2" x14ac:dyDescent="0.25">
      <c r="A9446">
        <v>9417</v>
      </c>
      <c r="B9446">
        <v>0.1029632263891191</v>
      </c>
    </row>
    <row r="9447" spans="1:2" x14ac:dyDescent="0.25">
      <c r="A9447">
        <v>9418</v>
      </c>
      <c r="B9447">
        <v>0.16242472302383881</v>
      </c>
    </row>
    <row r="9448" spans="1:2" x14ac:dyDescent="0.25">
      <c r="A9448">
        <v>9419</v>
      </c>
      <c r="B9448">
        <v>0.17719362842649269</v>
      </c>
    </row>
    <row r="9449" spans="1:2" x14ac:dyDescent="0.25">
      <c r="A9449">
        <v>9420</v>
      </c>
      <c r="B9449">
        <v>0.14173200297663199</v>
      </c>
    </row>
    <row r="9450" spans="1:2" x14ac:dyDescent="0.25">
      <c r="A9450">
        <v>9421</v>
      </c>
      <c r="B9450">
        <v>0.16111855177476839</v>
      </c>
    </row>
    <row r="9451" spans="1:2" x14ac:dyDescent="0.25">
      <c r="A9451">
        <v>9422</v>
      </c>
      <c r="B9451">
        <v>0.23733271564001218</v>
      </c>
    </row>
    <row r="9452" spans="1:2" x14ac:dyDescent="0.25">
      <c r="A9452">
        <v>9423</v>
      </c>
      <c r="B9452">
        <v>0.18114618393651166</v>
      </c>
    </row>
    <row r="9453" spans="1:2" x14ac:dyDescent="0.25">
      <c r="A9453">
        <v>9424</v>
      </c>
      <c r="B9453">
        <v>0.19051013643705222</v>
      </c>
    </row>
    <row r="9454" spans="1:2" x14ac:dyDescent="0.25">
      <c r="A9454">
        <v>9425</v>
      </c>
      <c r="B9454">
        <v>3.374592717063532E-2</v>
      </c>
    </row>
    <row r="9455" spans="1:2" x14ac:dyDescent="0.25">
      <c r="A9455">
        <v>9426</v>
      </c>
      <c r="B9455">
        <v>0.13359911298747246</v>
      </c>
    </row>
    <row r="9456" spans="1:2" x14ac:dyDescent="0.25">
      <c r="A9456">
        <v>9427</v>
      </c>
      <c r="B9456">
        <v>0.29592235879786483</v>
      </c>
    </row>
    <row r="9457" spans="1:2" x14ac:dyDescent="0.25">
      <c r="A9457">
        <v>9428</v>
      </c>
      <c r="B9457">
        <v>0.28271292010714133</v>
      </c>
    </row>
    <row r="9458" spans="1:2" x14ac:dyDescent="0.25">
      <c r="A9458">
        <v>9429</v>
      </c>
      <c r="B9458">
        <v>0.28498947923001161</v>
      </c>
    </row>
    <row r="9459" spans="1:2" x14ac:dyDescent="0.25">
      <c r="A9459">
        <v>9430</v>
      </c>
      <c r="B9459">
        <v>0.32117939086395247</v>
      </c>
    </row>
    <row r="9460" spans="1:2" x14ac:dyDescent="0.25">
      <c r="A9460">
        <v>9431</v>
      </c>
      <c r="B9460">
        <v>9.3329463819675343E-2</v>
      </c>
    </row>
    <row r="9461" spans="1:2" x14ac:dyDescent="0.25">
      <c r="A9461">
        <v>9432</v>
      </c>
      <c r="B9461">
        <v>0.15782215340240363</v>
      </c>
    </row>
    <row r="9462" spans="1:2" x14ac:dyDescent="0.25">
      <c r="A9462">
        <v>9433</v>
      </c>
      <c r="B9462">
        <v>0.23249205344233675</v>
      </c>
    </row>
    <row r="9463" spans="1:2" x14ac:dyDescent="0.25">
      <c r="A9463">
        <v>9434</v>
      </c>
      <c r="B9463">
        <v>0.15299784357746157</v>
      </c>
    </row>
    <row r="9464" spans="1:2" x14ac:dyDescent="0.25">
      <c r="A9464">
        <v>9435</v>
      </c>
      <c r="B9464">
        <v>0.30173269579076545</v>
      </c>
    </row>
    <row r="9465" spans="1:2" x14ac:dyDescent="0.25">
      <c r="A9465">
        <v>9436</v>
      </c>
      <c r="B9465">
        <v>0.37293233059786779</v>
      </c>
    </row>
    <row r="9466" spans="1:2" x14ac:dyDescent="0.25">
      <c r="A9466">
        <v>9437</v>
      </c>
      <c r="B9466">
        <v>0.15040630981169345</v>
      </c>
    </row>
    <row r="9467" spans="1:2" x14ac:dyDescent="0.25">
      <c r="A9467">
        <v>9438</v>
      </c>
      <c r="B9467">
        <v>0.1661557583901738</v>
      </c>
    </row>
    <row r="9468" spans="1:2" x14ac:dyDescent="0.25">
      <c r="A9468">
        <v>9439</v>
      </c>
      <c r="B9468">
        <v>0.20882830351418566</v>
      </c>
    </row>
    <row r="9469" spans="1:2" x14ac:dyDescent="0.25">
      <c r="A9469">
        <v>9440</v>
      </c>
      <c r="B9469">
        <v>1.2990165710255441</v>
      </c>
    </row>
    <row r="9470" spans="1:2" x14ac:dyDescent="0.25">
      <c r="A9470">
        <v>9441</v>
      </c>
      <c r="B9470">
        <v>7.7315231118236669E-2</v>
      </c>
    </row>
    <row r="9471" spans="1:2" x14ac:dyDescent="0.25">
      <c r="A9471">
        <v>9442</v>
      </c>
      <c r="B9471">
        <v>0.3626450233025153</v>
      </c>
    </row>
    <row r="9472" spans="1:2" x14ac:dyDescent="0.25">
      <c r="A9472">
        <v>9443</v>
      </c>
      <c r="B9472">
        <v>0.2387943978277848</v>
      </c>
    </row>
    <row r="9473" spans="1:2" x14ac:dyDescent="0.25">
      <c r="A9473">
        <v>9444</v>
      </c>
      <c r="B9473">
        <v>0.63816595417191013</v>
      </c>
    </row>
    <row r="9474" spans="1:2" x14ac:dyDescent="0.25">
      <c r="A9474">
        <v>9445</v>
      </c>
      <c r="B9474">
        <v>8.8439518253544486E-2</v>
      </c>
    </row>
    <row r="9475" spans="1:2" x14ac:dyDescent="0.25">
      <c r="A9475">
        <v>9446</v>
      </c>
      <c r="B9475">
        <v>8.3253342865963725E-2</v>
      </c>
    </row>
    <row r="9476" spans="1:2" x14ac:dyDescent="0.25">
      <c r="A9476">
        <v>9447</v>
      </c>
      <c r="B9476">
        <v>0.14183790468234531</v>
      </c>
    </row>
    <row r="9477" spans="1:2" x14ac:dyDescent="0.25">
      <c r="A9477">
        <v>9448</v>
      </c>
      <c r="B9477">
        <v>5.7644280705591106E-2</v>
      </c>
    </row>
    <row r="9478" spans="1:2" x14ac:dyDescent="0.25">
      <c r="A9478">
        <v>9449</v>
      </c>
      <c r="B9478">
        <v>0.22482954714288353</v>
      </c>
    </row>
    <row r="9479" spans="1:2" x14ac:dyDescent="0.25">
      <c r="A9479">
        <v>9450</v>
      </c>
      <c r="B9479">
        <v>0.14055148411028018</v>
      </c>
    </row>
    <row r="9480" spans="1:2" x14ac:dyDescent="0.25">
      <c r="A9480">
        <v>9451</v>
      </c>
      <c r="B9480">
        <v>0.36995753721662167</v>
      </c>
    </row>
    <row r="9481" spans="1:2" x14ac:dyDescent="0.25">
      <c r="A9481">
        <v>9452</v>
      </c>
      <c r="B9481">
        <v>7.3619904577716277E-2</v>
      </c>
    </row>
    <row r="9482" spans="1:2" x14ac:dyDescent="0.25">
      <c r="A9482">
        <v>9453</v>
      </c>
      <c r="B9482">
        <v>8.4655313637161403E-2</v>
      </c>
    </row>
    <row r="9483" spans="1:2" x14ac:dyDescent="0.25">
      <c r="A9483">
        <v>9454</v>
      </c>
      <c r="B9483">
        <v>8.2396962594234943E-2</v>
      </c>
    </row>
    <row r="9484" spans="1:2" x14ac:dyDescent="0.25">
      <c r="A9484">
        <v>9455</v>
      </c>
      <c r="B9484">
        <v>0.36952782236821102</v>
      </c>
    </row>
    <row r="9485" spans="1:2" x14ac:dyDescent="0.25">
      <c r="A9485">
        <v>9456</v>
      </c>
      <c r="B9485">
        <v>0.10516478116790309</v>
      </c>
    </row>
    <row r="9486" spans="1:2" x14ac:dyDescent="0.25">
      <c r="A9486">
        <v>9457</v>
      </c>
      <c r="B9486">
        <v>0.12883587149742728</v>
      </c>
    </row>
    <row r="9487" spans="1:2" x14ac:dyDescent="0.25">
      <c r="A9487">
        <v>9458</v>
      </c>
      <c r="B9487">
        <v>0.12256162406356295</v>
      </c>
    </row>
    <row r="9488" spans="1:2" x14ac:dyDescent="0.25">
      <c r="A9488">
        <v>9459</v>
      </c>
      <c r="B9488">
        <v>0.12589107041416778</v>
      </c>
    </row>
    <row r="9489" spans="1:2" x14ac:dyDescent="0.25">
      <c r="A9489">
        <v>9460</v>
      </c>
      <c r="B9489">
        <v>0.16258862999429552</v>
      </c>
    </row>
    <row r="9490" spans="1:2" x14ac:dyDescent="0.25">
      <c r="A9490">
        <v>9461</v>
      </c>
      <c r="B9490">
        <v>0.16455919088719656</v>
      </c>
    </row>
    <row r="9491" spans="1:2" x14ac:dyDescent="0.25">
      <c r="A9491">
        <v>9462</v>
      </c>
      <c r="B9491">
        <v>0.31475795883951763</v>
      </c>
    </row>
    <row r="9492" spans="1:2" x14ac:dyDescent="0.25">
      <c r="A9492">
        <v>9463</v>
      </c>
      <c r="B9492">
        <v>0.36907186459492425</v>
      </c>
    </row>
    <row r="9493" spans="1:2" x14ac:dyDescent="0.25">
      <c r="A9493">
        <v>9464</v>
      </c>
      <c r="B9493">
        <v>0.13593798237002827</v>
      </c>
    </row>
    <row r="9494" spans="1:2" x14ac:dyDescent="0.25">
      <c r="A9494">
        <v>9465</v>
      </c>
      <c r="B9494">
        <v>0.15538782748880661</v>
      </c>
    </row>
    <row r="9495" spans="1:2" x14ac:dyDescent="0.25">
      <c r="A9495">
        <v>9466</v>
      </c>
      <c r="B9495">
        <v>7.3238039189589599E-2</v>
      </c>
    </row>
    <row r="9496" spans="1:2" x14ac:dyDescent="0.25">
      <c r="A9496">
        <v>9467</v>
      </c>
      <c r="B9496">
        <v>0.13064289438742066</v>
      </c>
    </row>
    <row r="9497" spans="1:2" x14ac:dyDescent="0.25">
      <c r="A9497">
        <v>9468</v>
      </c>
      <c r="B9497">
        <v>0.16119768116668026</v>
      </c>
    </row>
    <row r="9498" spans="1:2" x14ac:dyDescent="0.25">
      <c r="A9498">
        <v>9469</v>
      </c>
      <c r="B9498">
        <v>0.42625875621716747</v>
      </c>
    </row>
    <row r="9499" spans="1:2" x14ac:dyDescent="0.25">
      <c r="A9499">
        <v>9470</v>
      </c>
      <c r="B9499">
        <v>0.19741417688445906</v>
      </c>
    </row>
    <row r="9500" spans="1:2" x14ac:dyDescent="0.25">
      <c r="A9500">
        <v>9471</v>
      </c>
      <c r="B9500">
        <v>8.2741030485952188E-2</v>
      </c>
    </row>
    <row r="9501" spans="1:2" x14ac:dyDescent="0.25">
      <c r="A9501">
        <v>9472</v>
      </c>
      <c r="B9501">
        <v>0.1021638254433805</v>
      </c>
    </row>
    <row r="9502" spans="1:2" x14ac:dyDescent="0.25">
      <c r="A9502">
        <v>9473</v>
      </c>
      <c r="B9502">
        <v>0.20640640940788851</v>
      </c>
    </row>
    <row r="9503" spans="1:2" x14ac:dyDescent="0.25">
      <c r="A9503">
        <v>9474</v>
      </c>
      <c r="B9503">
        <v>0.20474595527992218</v>
      </c>
    </row>
    <row r="9504" spans="1:2" x14ac:dyDescent="0.25">
      <c r="A9504">
        <v>9475</v>
      </c>
      <c r="B9504">
        <v>0.16800460127559277</v>
      </c>
    </row>
    <row r="9505" spans="1:2" x14ac:dyDescent="0.25">
      <c r="A9505">
        <v>9476</v>
      </c>
      <c r="B9505">
        <v>8.1084603565538593E-2</v>
      </c>
    </row>
    <row r="9506" spans="1:2" x14ac:dyDescent="0.25">
      <c r="A9506">
        <v>9477</v>
      </c>
      <c r="B9506">
        <v>0.24806464554163055</v>
      </c>
    </row>
    <row r="9507" spans="1:2" x14ac:dyDescent="0.25">
      <c r="A9507">
        <v>9478</v>
      </c>
      <c r="B9507">
        <v>9.5470795505967446E-2</v>
      </c>
    </row>
    <row r="9508" spans="1:2" x14ac:dyDescent="0.25">
      <c r="A9508">
        <v>9479</v>
      </c>
      <c r="B9508">
        <v>4.7698542580810126E-2</v>
      </c>
    </row>
    <row r="9509" spans="1:2" x14ac:dyDescent="0.25">
      <c r="A9509">
        <v>9480</v>
      </c>
      <c r="B9509">
        <v>0.15811388222316028</v>
      </c>
    </row>
    <row r="9510" spans="1:2" x14ac:dyDescent="0.25">
      <c r="A9510">
        <v>9481</v>
      </c>
      <c r="B9510">
        <v>0.27522810335469927</v>
      </c>
    </row>
    <row r="9511" spans="1:2" x14ac:dyDescent="0.25">
      <c r="A9511">
        <v>9482</v>
      </c>
      <c r="B9511">
        <v>4.5291982430659544E-2</v>
      </c>
    </row>
    <row r="9512" spans="1:2" x14ac:dyDescent="0.25">
      <c r="A9512">
        <v>9483</v>
      </c>
      <c r="B9512">
        <v>0.15849396558145648</v>
      </c>
    </row>
    <row r="9513" spans="1:2" x14ac:dyDescent="0.25">
      <c r="A9513">
        <v>9484</v>
      </c>
      <c r="B9513">
        <v>4.4765125327544404E-2</v>
      </c>
    </row>
    <row r="9514" spans="1:2" x14ac:dyDescent="0.25">
      <c r="A9514">
        <v>9485</v>
      </c>
      <c r="B9514">
        <v>0.41851817389700469</v>
      </c>
    </row>
    <row r="9515" spans="1:2" x14ac:dyDescent="0.25">
      <c r="A9515">
        <v>9486</v>
      </c>
      <c r="B9515">
        <v>0.15625898911768282</v>
      </c>
    </row>
    <row r="9516" spans="1:2" x14ac:dyDescent="0.25">
      <c r="A9516">
        <v>9487</v>
      </c>
      <c r="B9516">
        <v>6.5308099156684549E-2</v>
      </c>
    </row>
    <row r="9517" spans="1:2" x14ac:dyDescent="0.25">
      <c r="A9517">
        <v>9488</v>
      </c>
      <c r="B9517">
        <v>9.8276481614808398E-2</v>
      </c>
    </row>
    <row r="9518" spans="1:2" x14ac:dyDescent="0.25">
      <c r="A9518">
        <v>9489</v>
      </c>
      <c r="B9518">
        <v>0.15543147792883866</v>
      </c>
    </row>
    <row r="9519" spans="1:2" x14ac:dyDescent="0.25">
      <c r="A9519">
        <v>9490</v>
      </c>
      <c r="B9519">
        <v>0.21504829905437675</v>
      </c>
    </row>
    <row r="9520" spans="1:2" x14ac:dyDescent="0.25">
      <c r="A9520">
        <v>9491</v>
      </c>
      <c r="B9520">
        <v>0.14318799762806889</v>
      </c>
    </row>
    <row r="9521" spans="1:2" x14ac:dyDescent="0.25">
      <c r="A9521">
        <v>9492</v>
      </c>
      <c r="B9521">
        <v>9.3172754128519913E-2</v>
      </c>
    </row>
    <row r="9522" spans="1:2" x14ac:dyDescent="0.25">
      <c r="A9522">
        <v>9493</v>
      </c>
      <c r="B9522">
        <v>0.23002464776179984</v>
      </c>
    </row>
    <row r="9523" spans="1:2" x14ac:dyDescent="0.25">
      <c r="A9523">
        <v>9494</v>
      </c>
      <c r="B9523">
        <v>0.29186112186074942</v>
      </c>
    </row>
    <row r="9524" spans="1:2" x14ac:dyDescent="0.25">
      <c r="A9524">
        <v>9495</v>
      </c>
      <c r="B9524">
        <v>0.19557731066091075</v>
      </c>
    </row>
    <row r="9525" spans="1:2" x14ac:dyDescent="0.25">
      <c r="A9525">
        <v>9496</v>
      </c>
      <c r="B9525">
        <v>0.29771300671986589</v>
      </c>
    </row>
    <row r="9526" spans="1:2" x14ac:dyDescent="0.25">
      <c r="A9526">
        <v>9497</v>
      </c>
      <c r="B9526">
        <v>0.13004320518294296</v>
      </c>
    </row>
    <row r="9527" spans="1:2" x14ac:dyDescent="0.25">
      <c r="A9527">
        <v>9498</v>
      </c>
      <c r="B9527">
        <v>0.27616018026701472</v>
      </c>
    </row>
    <row r="9528" spans="1:2" x14ac:dyDescent="0.25">
      <c r="A9528">
        <v>9499</v>
      </c>
      <c r="B9528">
        <v>8.1268592970832887E-2</v>
      </c>
    </row>
    <row r="9529" spans="1:2" x14ac:dyDescent="0.25">
      <c r="A9529">
        <v>9500</v>
      </c>
      <c r="B9529">
        <v>0.35175664713433935</v>
      </c>
    </row>
    <row r="9530" spans="1:2" x14ac:dyDescent="0.25">
      <c r="A9530">
        <v>9501</v>
      </c>
      <c r="B9530">
        <v>0.25125791394529401</v>
      </c>
    </row>
    <row r="9531" spans="1:2" x14ac:dyDescent="0.25">
      <c r="A9531">
        <v>9502</v>
      </c>
      <c r="B9531">
        <v>0.21855649932028248</v>
      </c>
    </row>
    <row r="9532" spans="1:2" x14ac:dyDescent="0.25">
      <c r="A9532">
        <v>9503</v>
      </c>
      <c r="B9532">
        <v>0.3048254631737865</v>
      </c>
    </row>
    <row r="9533" spans="1:2" x14ac:dyDescent="0.25">
      <c r="A9533">
        <v>9504</v>
      </c>
      <c r="B9533">
        <v>0.43325853686223043</v>
      </c>
    </row>
    <row r="9534" spans="1:2" x14ac:dyDescent="0.25">
      <c r="A9534">
        <v>9505</v>
      </c>
      <c r="B9534">
        <v>0.2088205025163998</v>
      </c>
    </row>
    <row r="9535" spans="1:2" x14ac:dyDescent="0.25">
      <c r="A9535">
        <v>9506</v>
      </c>
      <c r="B9535">
        <v>0.13741155271089736</v>
      </c>
    </row>
    <row r="9536" spans="1:2" x14ac:dyDescent="0.25">
      <c r="A9536">
        <v>9507</v>
      </c>
      <c r="B9536">
        <v>8.2250448319038036E-2</v>
      </c>
    </row>
    <row r="9537" spans="1:2" x14ac:dyDescent="0.25">
      <c r="A9537">
        <v>9508</v>
      </c>
      <c r="B9537">
        <v>0.42161194570476812</v>
      </c>
    </row>
    <row r="9538" spans="1:2" x14ac:dyDescent="0.25">
      <c r="A9538">
        <v>9509</v>
      </c>
      <c r="B9538">
        <v>0.21902798632123668</v>
      </c>
    </row>
    <row r="9539" spans="1:2" x14ac:dyDescent="0.25">
      <c r="A9539">
        <v>9510</v>
      </c>
      <c r="B9539">
        <v>0.11964920287864089</v>
      </c>
    </row>
    <row r="9540" spans="1:2" x14ac:dyDescent="0.25">
      <c r="A9540">
        <v>9511</v>
      </c>
      <c r="B9540">
        <v>0.17938387578512419</v>
      </c>
    </row>
    <row r="9541" spans="1:2" x14ac:dyDescent="0.25">
      <c r="A9541">
        <v>9512</v>
      </c>
      <c r="B9541">
        <v>0.15274471744061369</v>
      </c>
    </row>
    <row r="9542" spans="1:2" x14ac:dyDescent="0.25">
      <c r="A9542">
        <v>9513</v>
      </c>
      <c r="B9542">
        <v>0.87614902762189917</v>
      </c>
    </row>
    <row r="9543" spans="1:2" x14ac:dyDescent="0.25">
      <c r="A9543">
        <v>9514</v>
      </c>
      <c r="B9543">
        <v>0.22061928772740119</v>
      </c>
    </row>
    <row r="9544" spans="1:2" x14ac:dyDescent="0.25">
      <c r="A9544">
        <v>9515</v>
      </c>
      <c r="B9544">
        <v>0.23843665223083269</v>
      </c>
    </row>
    <row r="9545" spans="1:2" x14ac:dyDescent="0.25">
      <c r="A9545">
        <v>9516</v>
      </c>
      <c r="B9545">
        <v>7.8941234511835406E-2</v>
      </c>
    </row>
    <row r="9546" spans="1:2" x14ac:dyDescent="0.25">
      <c r="A9546">
        <v>9517</v>
      </c>
      <c r="B9546">
        <v>7.5787390583859193E-2</v>
      </c>
    </row>
    <row r="9547" spans="1:2" x14ac:dyDescent="0.25">
      <c r="A9547">
        <v>9518</v>
      </c>
      <c r="B9547">
        <v>0.2713383496477193</v>
      </c>
    </row>
    <row r="9548" spans="1:2" x14ac:dyDescent="0.25">
      <c r="A9548">
        <v>9519</v>
      </c>
      <c r="B9548">
        <v>0.33689011848485356</v>
      </c>
    </row>
    <row r="9549" spans="1:2" x14ac:dyDescent="0.25">
      <c r="A9549">
        <v>9520</v>
      </c>
      <c r="B9549">
        <v>0.19952393338398558</v>
      </c>
    </row>
    <row r="9550" spans="1:2" x14ac:dyDescent="0.25">
      <c r="A9550">
        <v>9521</v>
      </c>
      <c r="B9550">
        <v>0.47236049671986702</v>
      </c>
    </row>
    <row r="9551" spans="1:2" x14ac:dyDescent="0.25">
      <c r="A9551">
        <v>9522</v>
      </c>
      <c r="B9551">
        <v>0.13174911389021299</v>
      </c>
    </row>
    <row r="9552" spans="1:2" x14ac:dyDescent="0.25">
      <c r="A9552">
        <v>9523</v>
      </c>
      <c r="B9552">
        <v>0.23362374398126406</v>
      </c>
    </row>
    <row r="9553" spans="1:2" x14ac:dyDescent="0.25">
      <c r="A9553">
        <v>9524</v>
      </c>
      <c r="B9553">
        <v>0.21450328935745575</v>
      </c>
    </row>
    <row r="9554" spans="1:2" x14ac:dyDescent="0.25">
      <c r="A9554">
        <v>9525</v>
      </c>
      <c r="B9554">
        <v>0.16312972220970473</v>
      </c>
    </row>
    <row r="9555" spans="1:2" x14ac:dyDescent="0.25">
      <c r="A9555">
        <v>9526</v>
      </c>
      <c r="B9555">
        <v>0.15610158896780177</v>
      </c>
    </row>
    <row r="9556" spans="1:2" x14ac:dyDescent="0.25">
      <c r="A9556">
        <v>9527</v>
      </c>
      <c r="B9556">
        <v>0.10710339878406357</v>
      </c>
    </row>
    <row r="9557" spans="1:2" x14ac:dyDescent="0.25">
      <c r="A9557">
        <v>9528</v>
      </c>
      <c r="B9557">
        <v>0.11953262987742029</v>
      </c>
    </row>
    <row r="9558" spans="1:2" x14ac:dyDescent="0.25">
      <c r="A9558">
        <v>9529</v>
      </c>
      <c r="B9558">
        <v>0.40705289773328762</v>
      </c>
    </row>
    <row r="9559" spans="1:2" x14ac:dyDescent="0.25">
      <c r="A9559">
        <v>9530</v>
      </c>
      <c r="B9559">
        <v>0.25312768465428026</v>
      </c>
    </row>
    <row r="9560" spans="1:2" x14ac:dyDescent="0.25">
      <c r="A9560">
        <v>9531</v>
      </c>
      <c r="B9560">
        <v>0.21748448976631402</v>
      </c>
    </row>
    <row r="9561" spans="1:2" x14ac:dyDescent="0.25">
      <c r="A9561">
        <v>9532</v>
      </c>
      <c r="B9561">
        <v>0.17582071025379437</v>
      </c>
    </row>
    <row r="9562" spans="1:2" x14ac:dyDescent="0.25">
      <c r="A9562">
        <v>9533</v>
      </c>
      <c r="B9562">
        <v>0.14455532560540152</v>
      </c>
    </row>
    <row r="9563" spans="1:2" x14ac:dyDescent="0.25">
      <c r="A9563">
        <v>9534</v>
      </c>
      <c r="B9563">
        <v>0.12101640597831761</v>
      </c>
    </row>
    <row r="9564" spans="1:2" x14ac:dyDescent="0.25">
      <c r="A9564">
        <v>9535</v>
      </c>
      <c r="B9564">
        <v>7.8248861378667031E-2</v>
      </c>
    </row>
    <row r="9565" spans="1:2" x14ac:dyDescent="0.25">
      <c r="A9565">
        <v>9536</v>
      </c>
      <c r="B9565">
        <v>0.23455439368088304</v>
      </c>
    </row>
    <row r="9566" spans="1:2" x14ac:dyDescent="0.25">
      <c r="A9566">
        <v>9537</v>
      </c>
      <c r="B9566">
        <v>0.22516961313404144</v>
      </c>
    </row>
    <row r="9567" spans="1:2" x14ac:dyDescent="0.25">
      <c r="A9567">
        <v>9538</v>
      </c>
      <c r="B9567">
        <v>8.4835141031867581E-2</v>
      </c>
    </row>
    <row r="9568" spans="1:2" x14ac:dyDescent="0.25">
      <c r="A9568">
        <v>9539</v>
      </c>
      <c r="B9568">
        <v>0.52251677326057744</v>
      </c>
    </row>
    <row r="9569" spans="1:2" x14ac:dyDescent="0.25">
      <c r="A9569">
        <v>9540</v>
      </c>
      <c r="B9569">
        <v>4.7941235824372784E-2</v>
      </c>
    </row>
    <row r="9570" spans="1:2" x14ac:dyDescent="0.25">
      <c r="A9570">
        <v>9541</v>
      </c>
      <c r="B9570">
        <v>0.10635601114053887</v>
      </c>
    </row>
    <row r="9571" spans="1:2" x14ac:dyDescent="0.25">
      <c r="A9571">
        <v>9542</v>
      </c>
      <c r="B9571">
        <v>0.47543098654148469</v>
      </c>
    </row>
    <row r="9572" spans="1:2" x14ac:dyDescent="0.25">
      <c r="A9572">
        <v>9543</v>
      </c>
      <c r="B9572">
        <v>0.11018963959668743</v>
      </c>
    </row>
    <row r="9573" spans="1:2" x14ac:dyDescent="0.25">
      <c r="A9573">
        <v>9544</v>
      </c>
      <c r="B9573">
        <v>0.16762748523772686</v>
      </c>
    </row>
    <row r="9574" spans="1:2" x14ac:dyDescent="0.25">
      <c r="A9574">
        <v>9545</v>
      </c>
      <c r="B9574">
        <v>0.15072679888878657</v>
      </c>
    </row>
    <row r="9575" spans="1:2" x14ac:dyDescent="0.25">
      <c r="A9575">
        <v>9546</v>
      </c>
      <c r="B9575">
        <v>0.36876379717489843</v>
      </c>
    </row>
    <row r="9576" spans="1:2" x14ac:dyDescent="0.25">
      <c r="A9576">
        <v>9547</v>
      </c>
      <c r="B9576">
        <v>0.85156282978536346</v>
      </c>
    </row>
    <row r="9577" spans="1:2" x14ac:dyDescent="0.25">
      <c r="A9577">
        <v>9548</v>
      </c>
      <c r="B9577">
        <v>0.37792018574031894</v>
      </c>
    </row>
    <row r="9578" spans="1:2" x14ac:dyDescent="0.25">
      <c r="A9578">
        <v>9549</v>
      </c>
      <c r="B9578">
        <v>0.36065322303811809</v>
      </c>
    </row>
    <row r="9579" spans="1:2" x14ac:dyDescent="0.25">
      <c r="A9579">
        <v>9550</v>
      </c>
      <c r="B9579">
        <v>0.23713763420939854</v>
      </c>
    </row>
    <row r="9580" spans="1:2" x14ac:dyDescent="0.25">
      <c r="A9580">
        <v>9551</v>
      </c>
      <c r="B9580">
        <v>0.130370135474982</v>
      </c>
    </row>
    <row r="9581" spans="1:2" x14ac:dyDescent="0.25">
      <c r="A9581">
        <v>9552</v>
      </c>
      <c r="B9581">
        <v>0.11350887415098186</v>
      </c>
    </row>
    <row r="9582" spans="1:2" x14ac:dyDescent="0.25">
      <c r="A9582">
        <v>9553</v>
      </c>
      <c r="B9582">
        <v>0.52812978269381439</v>
      </c>
    </row>
    <row r="9583" spans="1:2" x14ac:dyDescent="0.25">
      <c r="A9583">
        <v>9554</v>
      </c>
      <c r="B9583">
        <v>0.20166500499541867</v>
      </c>
    </row>
    <row r="9584" spans="1:2" x14ac:dyDescent="0.25">
      <c r="A9584">
        <v>9555</v>
      </c>
      <c r="B9584">
        <v>9.2801440574333385E-2</v>
      </c>
    </row>
    <row r="9585" spans="1:2" x14ac:dyDescent="0.25">
      <c r="A9585">
        <v>9556</v>
      </c>
      <c r="B9585">
        <v>0.35386065146661494</v>
      </c>
    </row>
    <row r="9586" spans="1:2" x14ac:dyDescent="0.25">
      <c r="A9586">
        <v>9557</v>
      </c>
      <c r="B9586">
        <v>0.24163513189063729</v>
      </c>
    </row>
    <row r="9587" spans="1:2" x14ac:dyDescent="0.25">
      <c r="A9587">
        <v>9558</v>
      </c>
      <c r="B9587">
        <v>5.8259268426982758E-2</v>
      </c>
    </row>
    <row r="9588" spans="1:2" x14ac:dyDescent="0.25">
      <c r="A9588">
        <v>9559</v>
      </c>
      <c r="B9588">
        <v>0.44097442467540171</v>
      </c>
    </row>
    <row r="9589" spans="1:2" x14ac:dyDescent="0.25">
      <c r="A9589">
        <v>9560</v>
      </c>
      <c r="B9589">
        <v>0.15716869863356858</v>
      </c>
    </row>
    <row r="9590" spans="1:2" x14ac:dyDescent="0.25">
      <c r="A9590">
        <v>9561</v>
      </c>
      <c r="B9590">
        <v>0.36340026170248368</v>
      </c>
    </row>
    <row r="9591" spans="1:2" x14ac:dyDescent="0.25">
      <c r="A9591">
        <v>9562</v>
      </c>
      <c r="B9591">
        <v>0.54396311628118932</v>
      </c>
    </row>
    <row r="9592" spans="1:2" x14ac:dyDescent="0.25">
      <c r="A9592">
        <v>9563</v>
      </c>
      <c r="B9592">
        <v>0.10612586461524651</v>
      </c>
    </row>
    <row r="9593" spans="1:2" x14ac:dyDescent="0.25">
      <c r="A9593">
        <v>9564</v>
      </c>
      <c r="B9593">
        <v>0.11707119271879128</v>
      </c>
    </row>
    <row r="9594" spans="1:2" x14ac:dyDescent="0.25">
      <c r="A9594">
        <v>9565</v>
      </c>
      <c r="B9594">
        <v>8.1997384356307809E-2</v>
      </c>
    </row>
    <row r="9595" spans="1:2" x14ac:dyDescent="0.25">
      <c r="A9595">
        <v>9566</v>
      </c>
      <c r="B9595">
        <v>0.2119538209471005</v>
      </c>
    </row>
    <row r="9596" spans="1:2" x14ac:dyDescent="0.25">
      <c r="A9596">
        <v>9567</v>
      </c>
      <c r="B9596">
        <v>0.44292598835352237</v>
      </c>
    </row>
    <row r="9597" spans="1:2" x14ac:dyDescent="0.25">
      <c r="A9597">
        <v>9568</v>
      </c>
      <c r="B9597">
        <v>0.39598766901245164</v>
      </c>
    </row>
    <row r="9598" spans="1:2" x14ac:dyDescent="0.25">
      <c r="A9598">
        <v>9569</v>
      </c>
      <c r="B9598">
        <v>0.13030582186269424</v>
      </c>
    </row>
    <row r="9599" spans="1:2" x14ac:dyDescent="0.25">
      <c r="A9599">
        <v>9570</v>
      </c>
      <c r="B9599">
        <v>0.16865999561139361</v>
      </c>
    </row>
    <row r="9600" spans="1:2" x14ac:dyDescent="0.25">
      <c r="A9600">
        <v>9571</v>
      </c>
      <c r="B9600">
        <v>0.11641545803514425</v>
      </c>
    </row>
    <row r="9601" spans="1:2" x14ac:dyDescent="0.25">
      <c r="A9601">
        <v>9572</v>
      </c>
      <c r="B9601">
        <v>0.10447630387145979</v>
      </c>
    </row>
    <row r="9602" spans="1:2" x14ac:dyDescent="0.25">
      <c r="A9602">
        <v>9573</v>
      </c>
      <c r="B9602">
        <v>0.10919107829827332</v>
      </c>
    </row>
    <row r="9603" spans="1:2" x14ac:dyDescent="0.25">
      <c r="A9603">
        <v>9574</v>
      </c>
      <c r="B9603">
        <v>0.14717044545535493</v>
      </c>
    </row>
    <row r="9604" spans="1:2" x14ac:dyDescent="0.25">
      <c r="A9604">
        <v>9575</v>
      </c>
      <c r="B9604">
        <v>0.2154872175720943</v>
      </c>
    </row>
    <row r="9605" spans="1:2" x14ac:dyDescent="0.25">
      <c r="A9605">
        <v>9576</v>
      </c>
      <c r="B9605">
        <v>0.19947522081924435</v>
      </c>
    </row>
    <row r="9606" spans="1:2" x14ac:dyDescent="0.25">
      <c r="A9606">
        <v>9577</v>
      </c>
      <c r="B9606">
        <v>0.11509527124389729</v>
      </c>
    </row>
    <row r="9607" spans="1:2" x14ac:dyDescent="0.25">
      <c r="A9607">
        <v>9578</v>
      </c>
      <c r="B9607">
        <v>9.9782947221001589E-2</v>
      </c>
    </row>
    <row r="9608" spans="1:2" x14ac:dyDescent="0.25">
      <c r="A9608">
        <v>9579</v>
      </c>
      <c r="B9608">
        <v>0.23314901658424447</v>
      </c>
    </row>
    <row r="9609" spans="1:2" x14ac:dyDescent="0.25">
      <c r="A9609">
        <v>9580</v>
      </c>
      <c r="B9609">
        <v>6.1415094235298465E-2</v>
      </c>
    </row>
    <row r="9610" spans="1:2" x14ac:dyDescent="0.25">
      <c r="A9610">
        <v>9581</v>
      </c>
      <c r="B9610">
        <v>0.14993054825906574</v>
      </c>
    </row>
    <row r="9611" spans="1:2" x14ac:dyDescent="0.25">
      <c r="A9611">
        <v>9582</v>
      </c>
      <c r="B9611">
        <v>0.13606886023541986</v>
      </c>
    </row>
    <row r="9612" spans="1:2" x14ac:dyDescent="0.25">
      <c r="A9612">
        <v>9583</v>
      </c>
      <c r="B9612">
        <v>0.33651295483944632</v>
      </c>
    </row>
    <row r="9613" spans="1:2" x14ac:dyDescent="0.25">
      <c r="A9613">
        <v>9584</v>
      </c>
      <c r="B9613">
        <v>0.1074464283886479</v>
      </c>
    </row>
    <row r="9614" spans="1:2" x14ac:dyDescent="0.25">
      <c r="A9614">
        <v>9585</v>
      </c>
      <c r="B9614">
        <v>0.19469631114924757</v>
      </c>
    </row>
    <row r="9615" spans="1:2" x14ac:dyDescent="0.25">
      <c r="A9615">
        <v>9586</v>
      </c>
      <c r="B9615">
        <v>0.10441442353766639</v>
      </c>
    </row>
    <row r="9616" spans="1:2" x14ac:dyDescent="0.25">
      <c r="A9616">
        <v>9587</v>
      </c>
      <c r="B9616">
        <v>0.21957029468860406</v>
      </c>
    </row>
    <row r="9617" spans="1:2" x14ac:dyDescent="0.25">
      <c r="A9617">
        <v>9588</v>
      </c>
      <c r="B9617">
        <v>0.14832698436571859</v>
      </c>
    </row>
    <row r="9618" spans="1:2" x14ac:dyDescent="0.25">
      <c r="A9618">
        <v>9589</v>
      </c>
      <c r="B9618">
        <v>0.34527054337296997</v>
      </c>
    </row>
    <row r="9619" spans="1:2" x14ac:dyDescent="0.25">
      <c r="A9619">
        <v>9590</v>
      </c>
      <c r="B9619">
        <v>0.14918133695339258</v>
      </c>
    </row>
    <row r="9620" spans="1:2" x14ac:dyDescent="0.25">
      <c r="A9620">
        <v>9591</v>
      </c>
      <c r="B9620">
        <v>0.33438669397322851</v>
      </c>
    </row>
    <row r="9621" spans="1:2" x14ac:dyDescent="0.25">
      <c r="A9621">
        <v>9592</v>
      </c>
      <c r="B9621">
        <v>0.23132624072380017</v>
      </c>
    </row>
    <row r="9622" spans="1:2" x14ac:dyDescent="0.25">
      <c r="A9622">
        <v>9593</v>
      </c>
      <c r="B9622">
        <v>0.12314786847232326</v>
      </c>
    </row>
    <row r="9623" spans="1:2" x14ac:dyDescent="0.25">
      <c r="A9623">
        <v>9594</v>
      </c>
      <c r="B9623">
        <v>0.15942077426173173</v>
      </c>
    </row>
    <row r="9624" spans="1:2" x14ac:dyDescent="0.25">
      <c r="A9624">
        <v>9595</v>
      </c>
      <c r="B9624">
        <v>0.19786310067434174</v>
      </c>
    </row>
    <row r="9625" spans="1:2" x14ac:dyDescent="0.25">
      <c r="A9625">
        <v>9596</v>
      </c>
      <c r="B9625">
        <v>0.17248718529175949</v>
      </c>
    </row>
    <row r="9626" spans="1:2" x14ac:dyDescent="0.25">
      <c r="A9626">
        <v>9597</v>
      </c>
      <c r="B9626">
        <v>0.14619199624801765</v>
      </c>
    </row>
    <row r="9627" spans="1:2" x14ac:dyDescent="0.25">
      <c r="A9627">
        <v>9598</v>
      </c>
      <c r="B9627">
        <v>8.9946317646127288E-2</v>
      </c>
    </row>
    <row r="9628" spans="1:2" x14ac:dyDescent="0.25">
      <c r="A9628">
        <v>9599</v>
      </c>
      <c r="B9628">
        <v>0.19682165894434664</v>
      </c>
    </row>
    <row r="9629" spans="1:2" x14ac:dyDescent="0.25">
      <c r="A9629">
        <v>9600</v>
      </c>
      <c r="B9629">
        <v>4.7574067704326289E-2</v>
      </c>
    </row>
    <row r="9630" spans="1:2" x14ac:dyDescent="0.25">
      <c r="A9630">
        <v>9601</v>
      </c>
      <c r="B9630">
        <v>9.1948626340381243E-2</v>
      </c>
    </row>
    <row r="9631" spans="1:2" x14ac:dyDescent="0.25">
      <c r="A9631">
        <v>9602</v>
      </c>
      <c r="B9631">
        <v>0.3376487843016126</v>
      </c>
    </row>
    <row r="9632" spans="1:2" x14ac:dyDescent="0.25">
      <c r="A9632">
        <v>9603</v>
      </c>
      <c r="B9632">
        <v>0.14997896541715447</v>
      </c>
    </row>
    <row r="9633" spans="1:2" x14ac:dyDescent="0.25">
      <c r="A9633">
        <v>9604</v>
      </c>
      <c r="B9633">
        <v>0.23564607014136321</v>
      </c>
    </row>
    <row r="9634" spans="1:2" x14ac:dyDescent="0.25">
      <c r="A9634">
        <v>9605</v>
      </c>
      <c r="B9634">
        <v>0.16517899889400961</v>
      </c>
    </row>
    <row r="9635" spans="1:2" x14ac:dyDescent="0.25">
      <c r="A9635">
        <v>9606</v>
      </c>
      <c r="B9635">
        <v>0.25053333191517174</v>
      </c>
    </row>
    <row r="9636" spans="1:2" x14ac:dyDescent="0.25">
      <c r="A9636">
        <v>9607</v>
      </c>
      <c r="B9636">
        <v>3.3637767235925764E-2</v>
      </c>
    </row>
    <row r="9637" spans="1:2" x14ac:dyDescent="0.25">
      <c r="A9637">
        <v>9608</v>
      </c>
      <c r="B9637">
        <v>0.15526651826526008</v>
      </c>
    </row>
    <row r="9638" spans="1:2" x14ac:dyDescent="0.25">
      <c r="A9638">
        <v>9609</v>
      </c>
      <c r="B9638">
        <v>0.33001834906328836</v>
      </c>
    </row>
    <row r="9639" spans="1:2" x14ac:dyDescent="0.25">
      <c r="A9639">
        <v>9610</v>
      </c>
      <c r="B9639">
        <v>0.37898655251139141</v>
      </c>
    </row>
    <row r="9640" spans="1:2" x14ac:dyDescent="0.25">
      <c r="A9640">
        <v>9611</v>
      </c>
      <c r="B9640">
        <v>0.25252798658754882</v>
      </c>
    </row>
    <row r="9641" spans="1:2" x14ac:dyDescent="0.25">
      <c r="A9641">
        <v>9612</v>
      </c>
      <c r="B9641">
        <v>8.5510613891780482E-2</v>
      </c>
    </row>
    <row r="9642" spans="1:2" x14ac:dyDescent="0.25">
      <c r="A9642">
        <v>9613</v>
      </c>
      <c r="B9642">
        <v>0.15960088272136919</v>
      </c>
    </row>
    <row r="9643" spans="1:2" x14ac:dyDescent="0.25">
      <c r="A9643">
        <v>9614</v>
      </c>
      <c r="B9643">
        <v>0.34466791155762055</v>
      </c>
    </row>
    <row r="9644" spans="1:2" x14ac:dyDescent="0.25">
      <c r="A9644">
        <v>9615</v>
      </c>
      <c r="B9644">
        <v>0.46573239046340953</v>
      </c>
    </row>
    <row r="9645" spans="1:2" x14ac:dyDescent="0.25">
      <c r="A9645">
        <v>9616</v>
      </c>
      <c r="B9645">
        <v>0.24861377785924349</v>
      </c>
    </row>
    <row r="9646" spans="1:2" x14ac:dyDescent="0.25">
      <c r="A9646">
        <v>9617</v>
      </c>
      <c r="B9646">
        <v>0.34882649912459807</v>
      </c>
    </row>
    <row r="9647" spans="1:2" x14ac:dyDescent="0.25">
      <c r="A9647">
        <v>9618</v>
      </c>
      <c r="B9647">
        <v>0.15104315930664766</v>
      </c>
    </row>
    <row r="9648" spans="1:2" x14ac:dyDescent="0.25">
      <c r="A9648">
        <v>9619</v>
      </c>
      <c r="B9648">
        <v>4.4270315361471579E-2</v>
      </c>
    </row>
    <row r="9649" spans="1:2" x14ac:dyDescent="0.25">
      <c r="A9649">
        <v>9620</v>
      </c>
      <c r="B9649">
        <v>0.17068257425875194</v>
      </c>
    </row>
    <row r="9650" spans="1:2" x14ac:dyDescent="0.25">
      <c r="A9650">
        <v>9621</v>
      </c>
      <c r="B9650">
        <v>0.26601523936915394</v>
      </c>
    </row>
    <row r="9651" spans="1:2" x14ac:dyDescent="0.25">
      <c r="A9651">
        <v>9622</v>
      </c>
      <c r="B9651">
        <v>0.22872001255501753</v>
      </c>
    </row>
    <row r="9652" spans="1:2" x14ac:dyDescent="0.25">
      <c r="A9652">
        <v>9623</v>
      </c>
      <c r="B9652">
        <v>0.35709593614433915</v>
      </c>
    </row>
    <row r="9653" spans="1:2" x14ac:dyDescent="0.25">
      <c r="A9653">
        <v>9624</v>
      </c>
      <c r="B9653">
        <v>0.12657326788725515</v>
      </c>
    </row>
    <row r="9654" spans="1:2" x14ac:dyDescent="0.25">
      <c r="A9654">
        <v>9625</v>
      </c>
      <c r="B9654">
        <v>0.3632726948574439</v>
      </c>
    </row>
    <row r="9655" spans="1:2" x14ac:dyDescent="0.25">
      <c r="A9655">
        <v>9626</v>
      </c>
      <c r="B9655">
        <v>8.9670974010520654E-2</v>
      </c>
    </row>
    <row r="9656" spans="1:2" x14ac:dyDescent="0.25">
      <c r="A9656">
        <v>9627</v>
      </c>
      <c r="B9656">
        <v>8.4469833113737805E-2</v>
      </c>
    </row>
    <row r="9657" spans="1:2" x14ac:dyDescent="0.25">
      <c r="A9657">
        <v>9628</v>
      </c>
      <c r="B9657">
        <v>0.25906191177482674</v>
      </c>
    </row>
    <row r="9658" spans="1:2" x14ac:dyDescent="0.25">
      <c r="A9658">
        <v>9629</v>
      </c>
      <c r="B9658">
        <v>0.42270896743081027</v>
      </c>
    </row>
    <row r="9659" spans="1:2" x14ac:dyDescent="0.25">
      <c r="A9659">
        <v>9630</v>
      </c>
      <c r="B9659">
        <v>0.1175828933434602</v>
      </c>
    </row>
    <row r="9660" spans="1:2" x14ac:dyDescent="0.25">
      <c r="A9660">
        <v>9631</v>
      </c>
      <c r="B9660">
        <v>0.12992963565450177</v>
      </c>
    </row>
    <row r="9661" spans="1:2" x14ac:dyDescent="0.25">
      <c r="A9661">
        <v>9632</v>
      </c>
      <c r="B9661">
        <v>0.17465078174141246</v>
      </c>
    </row>
    <row r="9662" spans="1:2" x14ac:dyDescent="0.25">
      <c r="A9662">
        <v>9633</v>
      </c>
      <c r="B9662">
        <v>0.54420958990338808</v>
      </c>
    </row>
    <row r="9663" spans="1:2" x14ac:dyDescent="0.25">
      <c r="A9663">
        <v>9634</v>
      </c>
      <c r="B9663">
        <v>8.1600748839517567E-2</v>
      </c>
    </row>
    <row r="9664" spans="1:2" x14ac:dyDescent="0.25">
      <c r="A9664">
        <v>9635</v>
      </c>
      <c r="B9664">
        <v>9.8621747218962025E-2</v>
      </c>
    </row>
    <row r="9665" spans="1:2" x14ac:dyDescent="0.25">
      <c r="A9665">
        <v>9636</v>
      </c>
      <c r="B9665">
        <v>0.28910384476389234</v>
      </c>
    </row>
    <row r="9666" spans="1:2" x14ac:dyDescent="0.25">
      <c r="A9666">
        <v>9637</v>
      </c>
      <c r="B9666">
        <v>0.53400149865936175</v>
      </c>
    </row>
    <row r="9667" spans="1:2" x14ac:dyDescent="0.25">
      <c r="A9667">
        <v>9638</v>
      </c>
      <c r="B9667">
        <v>0.23505891717464608</v>
      </c>
    </row>
    <row r="9668" spans="1:2" x14ac:dyDescent="0.25">
      <c r="A9668">
        <v>9639</v>
      </c>
      <c r="B9668">
        <v>0.24636772400277909</v>
      </c>
    </row>
    <row r="9669" spans="1:2" x14ac:dyDescent="0.25">
      <c r="A9669">
        <v>9640</v>
      </c>
      <c r="B9669">
        <v>0.15771594585314919</v>
      </c>
    </row>
    <row r="9670" spans="1:2" x14ac:dyDescent="0.25">
      <c r="A9670">
        <v>9641</v>
      </c>
      <c r="B9670">
        <v>0.21049519345985462</v>
      </c>
    </row>
    <row r="9671" spans="1:2" x14ac:dyDescent="0.25">
      <c r="A9671">
        <v>9642</v>
      </c>
      <c r="B9671">
        <v>0.40325474380300824</v>
      </c>
    </row>
    <row r="9672" spans="1:2" x14ac:dyDescent="0.25">
      <c r="A9672">
        <v>9643</v>
      </c>
      <c r="B9672">
        <v>0.22412373001231525</v>
      </c>
    </row>
    <row r="9673" spans="1:2" x14ac:dyDescent="0.25">
      <c r="A9673">
        <v>9644</v>
      </c>
      <c r="B9673">
        <v>0.26272450762394978</v>
      </c>
    </row>
    <row r="9674" spans="1:2" x14ac:dyDescent="0.25">
      <c r="A9674">
        <v>9645</v>
      </c>
      <c r="B9674">
        <v>0.36352974289627321</v>
      </c>
    </row>
    <row r="9675" spans="1:2" x14ac:dyDescent="0.25">
      <c r="A9675">
        <v>9646</v>
      </c>
      <c r="B9675">
        <v>0.21346642328595369</v>
      </c>
    </row>
    <row r="9676" spans="1:2" x14ac:dyDescent="0.25">
      <c r="A9676">
        <v>9647</v>
      </c>
      <c r="B9676">
        <v>6.3012039710511017E-2</v>
      </c>
    </row>
    <row r="9677" spans="1:2" x14ac:dyDescent="0.25">
      <c r="A9677">
        <v>9648</v>
      </c>
      <c r="B9677">
        <v>0.16994782122421784</v>
      </c>
    </row>
    <row r="9678" spans="1:2" x14ac:dyDescent="0.25">
      <c r="A9678">
        <v>9649</v>
      </c>
      <c r="B9678">
        <v>0.10378357437512496</v>
      </c>
    </row>
    <row r="9679" spans="1:2" x14ac:dyDescent="0.25">
      <c r="A9679">
        <v>9650</v>
      </c>
      <c r="B9679">
        <v>0.15407855995305475</v>
      </c>
    </row>
    <row r="9680" spans="1:2" x14ac:dyDescent="0.25">
      <c r="A9680">
        <v>9651</v>
      </c>
      <c r="B9680">
        <v>0.76529319300811871</v>
      </c>
    </row>
    <row r="9681" spans="1:2" x14ac:dyDescent="0.25">
      <c r="A9681">
        <v>9652</v>
      </c>
      <c r="B9681">
        <v>0.13514072257931115</v>
      </c>
    </row>
    <row r="9682" spans="1:2" x14ac:dyDescent="0.25">
      <c r="A9682">
        <v>9653</v>
      </c>
      <c r="B9682">
        <v>6.5263102073850651E-2</v>
      </c>
    </row>
    <row r="9683" spans="1:2" x14ac:dyDescent="0.25">
      <c r="A9683">
        <v>9654</v>
      </c>
      <c r="B9683">
        <v>0.16655751506528199</v>
      </c>
    </row>
    <row r="9684" spans="1:2" x14ac:dyDescent="0.25">
      <c r="A9684">
        <v>9655</v>
      </c>
      <c r="B9684">
        <v>9.6307390534494372E-2</v>
      </c>
    </row>
    <row r="9685" spans="1:2" x14ac:dyDescent="0.25">
      <c r="A9685">
        <v>9656</v>
      </c>
      <c r="B9685">
        <v>0.34531039271175196</v>
      </c>
    </row>
    <row r="9686" spans="1:2" x14ac:dyDescent="0.25">
      <c r="A9686">
        <v>9657</v>
      </c>
      <c r="B9686">
        <v>0.21164437841692002</v>
      </c>
    </row>
    <row r="9687" spans="1:2" x14ac:dyDescent="0.25">
      <c r="A9687">
        <v>9658</v>
      </c>
      <c r="B9687">
        <v>0.40460956723549857</v>
      </c>
    </row>
    <row r="9688" spans="1:2" x14ac:dyDescent="0.25">
      <c r="A9688">
        <v>9659</v>
      </c>
      <c r="B9688">
        <v>0.42294558439750707</v>
      </c>
    </row>
    <row r="9689" spans="1:2" x14ac:dyDescent="0.25">
      <c r="A9689">
        <v>9660</v>
      </c>
      <c r="B9689">
        <v>0.20002084315998256</v>
      </c>
    </row>
    <row r="9690" spans="1:2" x14ac:dyDescent="0.25">
      <c r="A9690">
        <v>9661</v>
      </c>
      <c r="B9690">
        <v>0.3321285255176728</v>
      </c>
    </row>
    <row r="9691" spans="1:2" x14ac:dyDescent="0.25">
      <c r="A9691">
        <v>9662</v>
      </c>
      <c r="B9691">
        <v>0.27814412371045927</v>
      </c>
    </row>
    <row r="9692" spans="1:2" x14ac:dyDescent="0.25">
      <c r="A9692">
        <v>9663</v>
      </c>
      <c r="B9692">
        <v>0.33532735984920564</v>
      </c>
    </row>
    <row r="9693" spans="1:2" x14ac:dyDescent="0.25">
      <c r="A9693">
        <v>9664</v>
      </c>
      <c r="B9693">
        <v>0.26864820666854977</v>
      </c>
    </row>
    <row r="9694" spans="1:2" x14ac:dyDescent="0.25">
      <c r="A9694">
        <v>9665</v>
      </c>
      <c r="B9694">
        <v>0.11133458895755076</v>
      </c>
    </row>
    <row r="9695" spans="1:2" x14ac:dyDescent="0.25">
      <c r="A9695">
        <v>9666</v>
      </c>
      <c r="B9695">
        <v>0.16070212645738186</v>
      </c>
    </row>
    <row r="9696" spans="1:2" x14ac:dyDescent="0.25">
      <c r="A9696">
        <v>9667</v>
      </c>
      <c r="B9696">
        <v>0.25467904309744804</v>
      </c>
    </row>
    <row r="9697" spans="1:2" x14ac:dyDescent="0.25">
      <c r="A9697">
        <v>9668</v>
      </c>
      <c r="B9697">
        <v>0.14085604140311611</v>
      </c>
    </row>
    <row r="9698" spans="1:2" x14ac:dyDescent="0.25">
      <c r="A9698">
        <v>9669</v>
      </c>
      <c r="B9698">
        <v>0.28880916347092295</v>
      </c>
    </row>
    <row r="9699" spans="1:2" x14ac:dyDescent="0.25">
      <c r="A9699">
        <v>9670</v>
      </c>
      <c r="B9699">
        <v>0.31741393399685158</v>
      </c>
    </row>
    <row r="9700" spans="1:2" x14ac:dyDescent="0.25">
      <c r="A9700">
        <v>9671</v>
      </c>
      <c r="B9700">
        <v>0.30997732918468107</v>
      </c>
    </row>
    <row r="9701" spans="1:2" x14ac:dyDescent="0.25">
      <c r="A9701">
        <v>9672</v>
      </c>
      <c r="B9701">
        <v>0.12626270893971439</v>
      </c>
    </row>
    <row r="9702" spans="1:2" x14ac:dyDescent="0.25">
      <c r="A9702">
        <v>9673</v>
      </c>
      <c r="B9702">
        <v>0.22224201745007477</v>
      </c>
    </row>
    <row r="9703" spans="1:2" x14ac:dyDescent="0.25">
      <c r="A9703">
        <v>9674</v>
      </c>
      <c r="B9703">
        <v>0.81310182958565869</v>
      </c>
    </row>
    <row r="9704" spans="1:2" x14ac:dyDescent="0.25">
      <c r="A9704">
        <v>9675</v>
      </c>
      <c r="B9704">
        <v>1.3208326971886926</v>
      </c>
    </row>
    <row r="9705" spans="1:2" x14ac:dyDescent="0.25">
      <c r="A9705">
        <v>9676</v>
      </c>
      <c r="B9705">
        <v>0.13076161604062775</v>
      </c>
    </row>
    <row r="9706" spans="1:2" x14ac:dyDescent="0.25">
      <c r="A9706">
        <v>9677</v>
      </c>
      <c r="B9706">
        <v>0.23744458242211308</v>
      </c>
    </row>
    <row r="9707" spans="1:2" x14ac:dyDescent="0.25">
      <c r="A9707">
        <v>9678</v>
      </c>
      <c r="B9707">
        <v>0.17068286246599085</v>
      </c>
    </row>
    <row r="9708" spans="1:2" x14ac:dyDescent="0.25">
      <c r="A9708">
        <v>9679</v>
      </c>
      <c r="B9708">
        <v>0.27943803495609276</v>
      </c>
    </row>
    <row r="9709" spans="1:2" x14ac:dyDescent="0.25">
      <c r="A9709">
        <v>9680</v>
      </c>
      <c r="B9709">
        <v>0.50229811962964044</v>
      </c>
    </row>
    <row r="9710" spans="1:2" x14ac:dyDescent="0.25">
      <c r="A9710">
        <v>9681</v>
      </c>
      <c r="B9710">
        <v>0.74626176396438371</v>
      </c>
    </row>
    <row r="9711" spans="1:2" x14ac:dyDescent="0.25">
      <c r="A9711">
        <v>9682</v>
      </c>
      <c r="B9711">
        <v>0.35572770430245609</v>
      </c>
    </row>
    <row r="9712" spans="1:2" x14ac:dyDescent="0.25">
      <c r="A9712">
        <v>9683</v>
      </c>
      <c r="B9712">
        <v>0.13256929281063562</v>
      </c>
    </row>
    <row r="9713" spans="1:2" x14ac:dyDescent="0.25">
      <c r="A9713">
        <v>9684</v>
      </c>
      <c r="B9713">
        <v>0.12234547453907083</v>
      </c>
    </row>
    <row r="9714" spans="1:2" x14ac:dyDescent="0.25">
      <c r="A9714">
        <v>9685</v>
      </c>
      <c r="B9714">
        <v>0.1402304473882908</v>
      </c>
    </row>
    <row r="9715" spans="1:2" x14ac:dyDescent="0.25">
      <c r="A9715">
        <v>9686</v>
      </c>
      <c r="B9715">
        <v>0.42359407783248509</v>
      </c>
    </row>
    <row r="9716" spans="1:2" x14ac:dyDescent="0.25">
      <c r="A9716">
        <v>9687</v>
      </c>
      <c r="B9716">
        <v>0.30174237068330007</v>
      </c>
    </row>
    <row r="9717" spans="1:2" x14ac:dyDescent="0.25">
      <c r="A9717">
        <v>9688</v>
      </c>
      <c r="B9717">
        <v>0.20194105135457827</v>
      </c>
    </row>
    <row r="9718" spans="1:2" x14ac:dyDescent="0.25">
      <c r="A9718">
        <v>9689</v>
      </c>
      <c r="B9718">
        <v>8.1678201826499403E-2</v>
      </c>
    </row>
    <row r="9719" spans="1:2" x14ac:dyDescent="0.25">
      <c r="A9719">
        <v>9690</v>
      </c>
      <c r="B9719">
        <v>0.37598133546264412</v>
      </c>
    </row>
    <row r="9720" spans="1:2" x14ac:dyDescent="0.25">
      <c r="A9720">
        <v>9691</v>
      </c>
      <c r="B9720">
        <v>0.12416983287821251</v>
      </c>
    </row>
    <row r="9721" spans="1:2" x14ac:dyDescent="0.25">
      <c r="A9721">
        <v>9692</v>
      </c>
      <c r="B9721">
        <v>0.42926344354128998</v>
      </c>
    </row>
    <row r="9722" spans="1:2" x14ac:dyDescent="0.25">
      <c r="A9722">
        <v>9693</v>
      </c>
      <c r="B9722">
        <v>0.26593225033000489</v>
      </c>
    </row>
    <row r="9723" spans="1:2" x14ac:dyDescent="0.25">
      <c r="A9723">
        <v>9694</v>
      </c>
      <c r="B9723">
        <v>0.15480215705552969</v>
      </c>
    </row>
    <row r="9724" spans="1:2" x14ac:dyDescent="0.25">
      <c r="A9724">
        <v>9695</v>
      </c>
      <c r="B9724">
        <v>0.28494357975402534</v>
      </c>
    </row>
    <row r="9725" spans="1:2" x14ac:dyDescent="0.25">
      <c r="A9725">
        <v>9696</v>
      </c>
      <c r="B9725">
        <v>0.16657266905040263</v>
      </c>
    </row>
    <row r="9726" spans="1:2" x14ac:dyDescent="0.25">
      <c r="A9726">
        <v>9697</v>
      </c>
      <c r="B9726">
        <v>6.3174605067465708E-2</v>
      </c>
    </row>
    <row r="9727" spans="1:2" x14ac:dyDescent="0.25">
      <c r="A9727">
        <v>9698</v>
      </c>
      <c r="B9727">
        <v>9.6878776585964152E-2</v>
      </c>
    </row>
    <row r="9728" spans="1:2" x14ac:dyDescent="0.25">
      <c r="A9728">
        <v>9699</v>
      </c>
      <c r="B9728">
        <v>0.1073675736707342</v>
      </c>
    </row>
    <row r="9729" spans="1:2" x14ac:dyDescent="0.25">
      <c r="A9729">
        <v>9700</v>
      </c>
      <c r="B9729">
        <v>2.8570280445404314E-2</v>
      </c>
    </row>
    <row r="9730" spans="1:2" x14ac:dyDescent="0.25">
      <c r="A9730">
        <v>9701</v>
      </c>
      <c r="B9730">
        <v>0.2234528123397008</v>
      </c>
    </row>
    <row r="9731" spans="1:2" x14ac:dyDescent="0.25">
      <c r="A9731">
        <v>9702</v>
      </c>
      <c r="B9731">
        <v>0.3050295036914914</v>
      </c>
    </row>
    <row r="9732" spans="1:2" x14ac:dyDescent="0.25">
      <c r="A9732">
        <v>9703</v>
      </c>
      <c r="B9732">
        <v>0.14963972681920151</v>
      </c>
    </row>
    <row r="9733" spans="1:2" x14ac:dyDescent="0.25">
      <c r="A9733">
        <v>9704</v>
      </c>
      <c r="B9733">
        <v>0.23401580098273478</v>
      </c>
    </row>
    <row r="9734" spans="1:2" x14ac:dyDescent="0.25">
      <c r="A9734">
        <v>9705</v>
      </c>
      <c r="B9734">
        <v>0.10871750321938313</v>
      </c>
    </row>
    <row r="9735" spans="1:2" x14ac:dyDescent="0.25">
      <c r="A9735">
        <v>9706</v>
      </c>
      <c r="B9735">
        <v>0.27417633110409978</v>
      </c>
    </row>
    <row r="9736" spans="1:2" x14ac:dyDescent="0.25">
      <c r="A9736">
        <v>9707</v>
      </c>
      <c r="B9736">
        <v>0.1946787710498929</v>
      </c>
    </row>
    <row r="9737" spans="1:2" x14ac:dyDescent="0.25">
      <c r="A9737">
        <v>9708</v>
      </c>
      <c r="B9737">
        <v>0.21645759111229851</v>
      </c>
    </row>
    <row r="9738" spans="1:2" x14ac:dyDescent="0.25">
      <c r="A9738">
        <v>9709</v>
      </c>
      <c r="B9738">
        <v>0.42354258743844886</v>
      </c>
    </row>
    <row r="9739" spans="1:2" x14ac:dyDescent="0.25">
      <c r="A9739">
        <v>9710</v>
      </c>
      <c r="B9739">
        <v>0.11854481290928985</v>
      </c>
    </row>
    <row r="9740" spans="1:2" x14ac:dyDescent="0.25">
      <c r="A9740">
        <v>9711</v>
      </c>
      <c r="B9740">
        <v>0.1079085652418286</v>
      </c>
    </row>
    <row r="9741" spans="1:2" x14ac:dyDescent="0.25">
      <c r="A9741">
        <v>9712</v>
      </c>
      <c r="B9741">
        <v>0.33498315203898432</v>
      </c>
    </row>
    <row r="9742" spans="1:2" x14ac:dyDescent="0.25">
      <c r="A9742">
        <v>9713</v>
      </c>
      <c r="B9742">
        <v>0.68460665317208924</v>
      </c>
    </row>
    <row r="9743" spans="1:2" x14ac:dyDescent="0.25">
      <c r="A9743">
        <v>9714</v>
      </c>
      <c r="B9743">
        <v>0.57802783881660946</v>
      </c>
    </row>
    <row r="9744" spans="1:2" x14ac:dyDescent="0.25">
      <c r="A9744">
        <v>9715</v>
      </c>
      <c r="B9744">
        <v>0.26508600148882228</v>
      </c>
    </row>
    <row r="9745" spans="1:2" x14ac:dyDescent="0.25">
      <c r="A9745">
        <v>9716</v>
      </c>
      <c r="B9745">
        <v>0.25035037696161183</v>
      </c>
    </row>
    <row r="9746" spans="1:2" x14ac:dyDescent="0.25">
      <c r="A9746">
        <v>9717</v>
      </c>
      <c r="B9746">
        <v>0.19759167394371557</v>
      </c>
    </row>
    <row r="9747" spans="1:2" x14ac:dyDescent="0.25">
      <c r="A9747">
        <v>9718</v>
      </c>
      <c r="B9747">
        <v>7.5959775291235501E-2</v>
      </c>
    </row>
    <row r="9748" spans="1:2" x14ac:dyDescent="0.25">
      <c r="A9748">
        <v>9719</v>
      </c>
      <c r="B9748">
        <v>7.774667106709203E-2</v>
      </c>
    </row>
    <row r="9749" spans="1:2" x14ac:dyDescent="0.25">
      <c r="A9749">
        <v>9720</v>
      </c>
      <c r="B9749">
        <v>0.11770644093872593</v>
      </c>
    </row>
    <row r="9750" spans="1:2" x14ac:dyDescent="0.25">
      <c r="A9750">
        <v>9721</v>
      </c>
      <c r="B9750">
        <v>9.3810619425003239E-2</v>
      </c>
    </row>
    <row r="9751" spans="1:2" x14ac:dyDescent="0.25">
      <c r="A9751">
        <v>9722</v>
      </c>
      <c r="B9751">
        <v>9.2468408630747886E-2</v>
      </c>
    </row>
    <row r="9752" spans="1:2" x14ac:dyDescent="0.25">
      <c r="A9752">
        <v>9723</v>
      </c>
      <c r="B9752">
        <v>0.14444206228303688</v>
      </c>
    </row>
    <row r="9753" spans="1:2" x14ac:dyDescent="0.25">
      <c r="A9753">
        <v>9724</v>
      </c>
      <c r="B9753">
        <v>0.33914029134390478</v>
      </c>
    </row>
    <row r="9754" spans="1:2" x14ac:dyDescent="0.25">
      <c r="A9754">
        <v>9725</v>
      </c>
      <c r="B9754">
        <v>0.19921317576397646</v>
      </c>
    </row>
    <row r="9755" spans="1:2" x14ac:dyDescent="0.25">
      <c r="A9755">
        <v>9726</v>
      </c>
      <c r="B9755">
        <v>0.10923935702707026</v>
      </c>
    </row>
    <row r="9756" spans="1:2" x14ac:dyDescent="0.25">
      <c r="A9756">
        <v>9727</v>
      </c>
      <c r="B9756">
        <v>0.54942412554450504</v>
      </c>
    </row>
    <row r="9757" spans="1:2" x14ac:dyDescent="0.25">
      <c r="A9757">
        <v>9728</v>
      </c>
      <c r="B9757">
        <v>0.12401993090983553</v>
      </c>
    </row>
    <row r="9758" spans="1:2" x14ac:dyDescent="0.25">
      <c r="A9758">
        <v>9729</v>
      </c>
      <c r="B9758">
        <v>0.12411073086951957</v>
      </c>
    </row>
    <row r="9759" spans="1:2" x14ac:dyDescent="0.25">
      <c r="A9759">
        <v>9730</v>
      </c>
      <c r="B9759">
        <v>4.3606247106346752E-2</v>
      </c>
    </row>
    <row r="9760" spans="1:2" x14ac:dyDescent="0.25">
      <c r="A9760">
        <v>9731</v>
      </c>
      <c r="B9760">
        <v>0.1528596432379451</v>
      </c>
    </row>
    <row r="9761" spans="1:2" x14ac:dyDescent="0.25">
      <c r="A9761">
        <v>9732</v>
      </c>
      <c r="B9761">
        <v>0.18993689785678314</v>
      </c>
    </row>
    <row r="9762" spans="1:2" x14ac:dyDescent="0.25">
      <c r="A9762">
        <v>9733</v>
      </c>
      <c r="B9762">
        <v>0.17766349029342252</v>
      </c>
    </row>
    <row r="9763" spans="1:2" x14ac:dyDescent="0.25">
      <c r="A9763">
        <v>9734</v>
      </c>
      <c r="B9763">
        <v>0.22647576498526945</v>
      </c>
    </row>
    <row r="9764" spans="1:2" x14ac:dyDescent="0.25">
      <c r="A9764">
        <v>9735</v>
      </c>
      <c r="B9764">
        <v>5.218327770581542E-2</v>
      </c>
    </row>
    <row r="9765" spans="1:2" x14ac:dyDescent="0.25">
      <c r="A9765">
        <v>9736</v>
      </c>
      <c r="B9765">
        <v>0.35670178112223216</v>
      </c>
    </row>
    <row r="9766" spans="1:2" x14ac:dyDescent="0.25">
      <c r="A9766">
        <v>9737</v>
      </c>
      <c r="B9766">
        <v>0.18950700793637978</v>
      </c>
    </row>
    <row r="9767" spans="1:2" x14ac:dyDescent="0.25">
      <c r="A9767">
        <v>9738</v>
      </c>
      <c r="B9767">
        <v>0.17698566179783523</v>
      </c>
    </row>
    <row r="9768" spans="1:2" x14ac:dyDescent="0.25">
      <c r="A9768">
        <v>9739</v>
      </c>
      <c r="B9768">
        <v>0.26000812784866384</v>
      </c>
    </row>
    <row r="9769" spans="1:2" x14ac:dyDescent="0.25">
      <c r="A9769">
        <v>9740</v>
      </c>
      <c r="B9769">
        <v>0.15131889173374286</v>
      </c>
    </row>
    <row r="9770" spans="1:2" x14ac:dyDescent="0.25">
      <c r="A9770">
        <v>9741</v>
      </c>
      <c r="B9770">
        <v>0.27603249663244173</v>
      </c>
    </row>
    <row r="9771" spans="1:2" x14ac:dyDescent="0.25">
      <c r="A9771">
        <v>9742</v>
      </c>
      <c r="B9771">
        <v>0.23017525506405251</v>
      </c>
    </row>
    <row r="9772" spans="1:2" x14ac:dyDescent="0.25">
      <c r="A9772">
        <v>9743</v>
      </c>
      <c r="B9772">
        <v>0.17858308614964233</v>
      </c>
    </row>
    <row r="9773" spans="1:2" x14ac:dyDescent="0.25">
      <c r="A9773">
        <v>9744</v>
      </c>
      <c r="B9773">
        <v>2.979267816467682E-2</v>
      </c>
    </row>
    <row r="9774" spans="1:2" x14ac:dyDescent="0.25">
      <c r="A9774">
        <v>9745</v>
      </c>
      <c r="B9774">
        <v>0.35187956027566542</v>
      </c>
    </row>
    <row r="9775" spans="1:2" x14ac:dyDescent="0.25">
      <c r="A9775">
        <v>9746</v>
      </c>
      <c r="B9775">
        <v>0.11256399388768551</v>
      </c>
    </row>
    <row r="9776" spans="1:2" x14ac:dyDescent="0.25">
      <c r="A9776">
        <v>9747</v>
      </c>
      <c r="B9776">
        <v>0.17015643828959384</v>
      </c>
    </row>
    <row r="9777" spans="1:2" x14ac:dyDescent="0.25">
      <c r="A9777">
        <v>9748</v>
      </c>
      <c r="B9777">
        <v>0.13509426692547216</v>
      </c>
    </row>
    <row r="9778" spans="1:2" x14ac:dyDescent="0.25">
      <c r="A9778">
        <v>9749</v>
      </c>
      <c r="B9778">
        <v>0.22190212743053775</v>
      </c>
    </row>
    <row r="9779" spans="1:2" x14ac:dyDescent="0.25">
      <c r="A9779">
        <v>9750</v>
      </c>
      <c r="B9779">
        <v>0.31093582600569331</v>
      </c>
    </row>
    <row r="9780" spans="1:2" x14ac:dyDescent="0.25">
      <c r="A9780">
        <v>9751</v>
      </c>
      <c r="B9780">
        <v>0.28187492979872519</v>
      </c>
    </row>
    <row r="9781" spans="1:2" x14ac:dyDescent="0.25">
      <c r="A9781">
        <v>9752</v>
      </c>
      <c r="B9781">
        <v>0.17000064720956606</v>
      </c>
    </row>
    <row r="9782" spans="1:2" x14ac:dyDescent="0.25">
      <c r="A9782">
        <v>9753</v>
      </c>
      <c r="B9782">
        <v>0.20811002793885264</v>
      </c>
    </row>
    <row r="9783" spans="1:2" x14ac:dyDescent="0.25">
      <c r="A9783">
        <v>9754</v>
      </c>
      <c r="B9783">
        <v>0.54417788693962665</v>
      </c>
    </row>
    <row r="9784" spans="1:2" x14ac:dyDescent="0.25">
      <c r="A9784">
        <v>9755</v>
      </c>
      <c r="B9784">
        <v>4.3740655478346317E-2</v>
      </c>
    </row>
    <row r="9785" spans="1:2" x14ac:dyDescent="0.25">
      <c r="A9785">
        <v>9756</v>
      </c>
      <c r="B9785">
        <v>8.7877595730461749E-2</v>
      </c>
    </row>
    <row r="9786" spans="1:2" x14ac:dyDescent="0.25">
      <c r="A9786">
        <v>9757</v>
      </c>
      <c r="B9786">
        <v>0.3789449753739616</v>
      </c>
    </row>
    <row r="9787" spans="1:2" x14ac:dyDescent="0.25">
      <c r="A9787">
        <v>9758</v>
      </c>
      <c r="B9787">
        <v>0.1744609408152622</v>
      </c>
    </row>
    <row r="9788" spans="1:2" x14ac:dyDescent="0.25">
      <c r="A9788">
        <v>9759</v>
      </c>
      <c r="B9788">
        <v>9.6870785476842775E-2</v>
      </c>
    </row>
    <row r="9789" spans="1:2" x14ac:dyDescent="0.25">
      <c r="A9789">
        <v>9760</v>
      </c>
      <c r="B9789">
        <v>0.13994986085268216</v>
      </c>
    </row>
    <row r="9790" spans="1:2" x14ac:dyDescent="0.25">
      <c r="A9790">
        <v>9761</v>
      </c>
      <c r="B9790">
        <v>0.12010987450606991</v>
      </c>
    </row>
    <row r="9791" spans="1:2" x14ac:dyDescent="0.25">
      <c r="A9791">
        <v>9762</v>
      </c>
      <c r="B9791">
        <v>7.2223530210330941E-2</v>
      </c>
    </row>
    <row r="9792" spans="1:2" x14ac:dyDescent="0.25">
      <c r="A9792">
        <v>9763</v>
      </c>
      <c r="B9792">
        <v>0.11492208167408267</v>
      </c>
    </row>
    <row r="9793" spans="1:2" x14ac:dyDescent="0.25">
      <c r="A9793">
        <v>9764</v>
      </c>
      <c r="B9793">
        <v>8.3339245748071403E-2</v>
      </c>
    </row>
    <row r="9794" spans="1:2" x14ac:dyDescent="0.25">
      <c r="A9794">
        <v>9765</v>
      </c>
      <c r="B9794">
        <v>0.24625109026476805</v>
      </c>
    </row>
    <row r="9795" spans="1:2" x14ac:dyDescent="0.25">
      <c r="A9795">
        <v>9766</v>
      </c>
      <c r="B9795">
        <v>0.34718798267343404</v>
      </c>
    </row>
    <row r="9796" spans="1:2" x14ac:dyDescent="0.25">
      <c r="A9796">
        <v>9767</v>
      </c>
      <c r="B9796">
        <v>0.19638719357299725</v>
      </c>
    </row>
    <row r="9797" spans="1:2" x14ac:dyDescent="0.25">
      <c r="A9797">
        <v>9768</v>
      </c>
      <c r="B9797">
        <v>0.2445618417158045</v>
      </c>
    </row>
    <row r="9798" spans="1:2" x14ac:dyDescent="0.25">
      <c r="A9798">
        <v>9769</v>
      </c>
      <c r="B9798">
        <v>9.4348824811542928E-2</v>
      </c>
    </row>
    <row r="9799" spans="1:2" x14ac:dyDescent="0.25">
      <c r="A9799">
        <v>9770</v>
      </c>
      <c r="B9799">
        <v>0.58120603349764688</v>
      </c>
    </row>
    <row r="9800" spans="1:2" x14ac:dyDescent="0.25">
      <c r="A9800">
        <v>9771</v>
      </c>
      <c r="B9800">
        <v>0.25214647511937216</v>
      </c>
    </row>
    <row r="9801" spans="1:2" x14ac:dyDescent="0.25">
      <c r="A9801">
        <v>9772</v>
      </c>
      <c r="B9801">
        <v>0.27576897804380274</v>
      </c>
    </row>
    <row r="9802" spans="1:2" x14ac:dyDescent="0.25">
      <c r="A9802">
        <v>9773</v>
      </c>
      <c r="B9802">
        <v>0.13958121933572751</v>
      </c>
    </row>
    <row r="9803" spans="1:2" x14ac:dyDescent="0.25">
      <c r="A9803">
        <v>9774</v>
      </c>
      <c r="B9803">
        <v>0.41747557040768679</v>
      </c>
    </row>
    <row r="9804" spans="1:2" x14ac:dyDescent="0.25">
      <c r="A9804">
        <v>9775</v>
      </c>
      <c r="B9804">
        <v>0.11771922752898278</v>
      </c>
    </row>
    <row r="9805" spans="1:2" x14ac:dyDescent="0.25">
      <c r="A9805">
        <v>9776</v>
      </c>
      <c r="B9805">
        <v>0.17143557061783429</v>
      </c>
    </row>
    <row r="9806" spans="1:2" x14ac:dyDescent="0.25">
      <c r="A9806">
        <v>9777</v>
      </c>
      <c r="B9806">
        <v>7.6678334851183513E-2</v>
      </c>
    </row>
    <row r="9807" spans="1:2" x14ac:dyDescent="0.25">
      <c r="A9807">
        <v>9778</v>
      </c>
      <c r="B9807">
        <v>8.4454206078800401E-2</v>
      </c>
    </row>
    <row r="9808" spans="1:2" x14ac:dyDescent="0.25">
      <c r="A9808">
        <v>9779</v>
      </c>
      <c r="B9808">
        <v>0.39706460319205655</v>
      </c>
    </row>
    <row r="9809" spans="1:2" x14ac:dyDescent="0.25">
      <c r="A9809">
        <v>9780</v>
      </c>
      <c r="B9809">
        <v>8.4376211194429743E-2</v>
      </c>
    </row>
    <row r="9810" spans="1:2" x14ac:dyDescent="0.25">
      <c r="A9810">
        <v>9781</v>
      </c>
      <c r="B9810">
        <v>0.14102082009577163</v>
      </c>
    </row>
    <row r="9811" spans="1:2" x14ac:dyDescent="0.25">
      <c r="A9811">
        <v>9782</v>
      </c>
      <c r="B9811">
        <v>0.48216240348814526</v>
      </c>
    </row>
    <row r="9812" spans="1:2" x14ac:dyDescent="0.25">
      <c r="A9812">
        <v>9783</v>
      </c>
      <c r="B9812">
        <v>0.12966787458879395</v>
      </c>
    </row>
    <row r="9813" spans="1:2" x14ac:dyDescent="0.25">
      <c r="A9813">
        <v>9784</v>
      </c>
      <c r="B9813">
        <v>0.49351573455108622</v>
      </c>
    </row>
    <row r="9814" spans="1:2" x14ac:dyDescent="0.25">
      <c r="A9814">
        <v>9785</v>
      </c>
      <c r="B9814">
        <v>0.14295823627234841</v>
      </c>
    </row>
    <row r="9815" spans="1:2" x14ac:dyDescent="0.25">
      <c r="A9815">
        <v>9786</v>
      </c>
      <c r="B9815">
        <v>0.11928629107305204</v>
      </c>
    </row>
    <row r="9816" spans="1:2" x14ac:dyDescent="0.25">
      <c r="A9816">
        <v>9787</v>
      </c>
      <c r="B9816">
        <v>0.13344281532845872</v>
      </c>
    </row>
    <row r="9817" spans="1:2" x14ac:dyDescent="0.25">
      <c r="A9817">
        <v>9788</v>
      </c>
      <c r="B9817">
        <v>6.4611224115116911E-2</v>
      </c>
    </row>
    <row r="9818" spans="1:2" x14ac:dyDescent="0.25">
      <c r="A9818">
        <v>9789</v>
      </c>
      <c r="B9818">
        <v>0.22843565539806518</v>
      </c>
    </row>
    <row r="9819" spans="1:2" x14ac:dyDescent="0.25">
      <c r="A9819">
        <v>9790</v>
      </c>
      <c r="B9819">
        <v>0.10955210258188149</v>
      </c>
    </row>
    <row r="9820" spans="1:2" x14ac:dyDescent="0.25">
      <c r="A9820">
        <v>9791</v>
      </c>
      <c r="B9820">
        <v>0.11114710208123665</v>
      </c>
    </row>
    <row r="9821" spans="1:2" x14ac:dyDescent="0.25">
      <c r="A9821">
        <v>9792</v>
      </c>
      <c r="B9821">
        <v>0.17962801254205787</v>
      </c>
    </row>
    <row r="9822" spans="1:2" x14ac:dyDescent="0.25">
      <c r="A9822">
        <v>9793</v>
      </c>
      <c r="B9822">
        <v>0.11128193785681038</v>
      </c>
    </row>
    <row r="9823" spans="1:2" x14ac:dyDescent="0.25">
      <c r="A9823">
        <v>9794</v>
      </c>
      <c r="B9823">
        <v>0.85051773796330687</v>
      </c>
    </row>
    <row r="9824" spans="1:2" x14ac:dyDescent="0.25">
      <c r="A9824">
        <v>9795</v>
      </c>
      <c r="B9824">
        <v>0.16838076951284034</v>
      </c>
    </row>
    <row r="9825" spans="1:2" x14ac:dyDescent="0.25">
      <c r="A9825">
        <v>9796</v>
      </c>
      <c r="B9825">
        <v>0.1094565971747966</v>
      </c>
    </row>
    <row r="9826" spans="1:2" x14ac:dyDescent="0.25">
      <c r="A9826">
        <v>9797</v>
      </c>
      <c r="B9826">
        <v>0.48271844835756872</v>
      </c>
    </row>
    <row r="9827" spans="1:2" x14ac:dyDescent="0.25">
      <c r="A9827">
        <v>9798</v>
      </c>
      <c r="B9827">
        <v>0.16763239948759862</v>
      </c>
    </row>
    <row r="9828" spans="1:2" x14ac:dyDescent="0.25">
      <c r="A9828">
        <v>9799</v>
      </c>
      <c r="B9828">
        <v>0.29110236357659791</v>
      </c>
    </row>
    <row r="9829" spans="1:2" x14ac:dyDescent="0.25">
      <c r="A9829">
        <v>9800</v>
      </c>
      <c r="B9829">
        <v>0.13593748783166978</v>
      </c>
    </row>
    <row r="9830" spans="1:2" x14ac:dyDescent="0.25">
      <c r="A9830">
        <v>9801</v>
      </c>
      <c r="B9830">
        <v>0.10262236846454066</v>
      </c>
    </row>
    <row r="9831" spans="1:2" x14ac:dyDescent="0.25">
      <c r="A9831">
        <v>9802</v>
      </c>
      <c r="B9831">
        <v>0.1921093565965695</v>
      </c>
    </row>
    <row r="9832" spans="1:2" x14ac:dyDescent="0.25">
      <c r="A9832">
        <v>9803</v>
      </c>
      <c r="B9832">
        <v>0.41862365469676494</v>
      </c>
    </row>
    <row r="9833" spans="1:2" x14ac:dyDescent="0.25">
      <c r="A9833">
        <v>9804</v>
      </c>
      <c r="B9833">
        <v>0.22421797579051886</v>
      </c>
    </row>
    <row r="9834" spans="1:2" x14ac:dyDescent="0.25">
      <c r="A9834">
        <v>9805</v>
      </c>
      <c r="B9834">
        <v>0.29998472619196276</v>
      </c>
    </row>
    <row r="9835" spans="1:2" x14ac:dyDescent="0.25">
      <c r="A9835">
        <v>9806</v>
      </c>
      <c r="B9835">
        <v>0.20600682722262997</v>
      </c>
    </row>
    <row r="9836" spans="1:2" x14ac:dyDescent="0.25">
      <c r="A9836">
        <v>9807</v>
      </c>
      <c r="B9836">
        <v>0.25165799012554929</v>
      </c>
    </row>
    <row r="9837" spans="1:2" x14ac:dyDescent="0.25">
      <c r="A9837">
        <v>9808</v>
      </c>
      <c r="B9837">
        <v>0.14213952709666067</v>
      </c>
    </row>
    <row r="9838" spans="1:2" x14ac:dyDescent="0.25">
      <c r="A9838">
        <v>9809</v>
      </c>
      <c r="B9838">
        <v>8.2185515604845494E-2</v>
      </c>
    </row>
    <row r="9839" spans="1:2" x14ac:dyDescent="0.25">
      <c r="A9839">
        <v>9810</v>
      </c>
      <c r="B9839">
        <v>9.5853729640055743E-2</v>
      </c>
    </row>
    <row r="9840" spans="1:2" x14ac:dyDescent="0.25">
      <c r="A9840">
        <v>9811</v>
      </c>
      <c r="B9840">
        <v>0.25356277566165297</v>
      </c>
    </row>
    <row r="9841" spans="1:2" x14ac:dyDescent="0.25">
      <c r="A9841">
        <v>9812</v>
      </c>
      <c r="B9841">
        <v>0.14357853866788736</v>
      </c>
    </row>
    <row r="9842" spans="1:2" x14ac:dyDescent="0.25">
      <c r="A9842">
        <v>9813</v>
      </c>
      <c r="B9842">
        <v>0.32324898004187175</v>
      </c>
    </row>
    <row r="9843" spans="1:2" x14ac:dyDescent="0.25">
      <c r="A9843">
        <v>9814</v>
      </c>
      <c r="B9843">
        <v>7.3917675599117619E-2</v>
      </c>
    </row>
    <row r="9844" spans="1:2" x14ac:dyDescent="0.25">
      <c r="A9844">
        <v>9815</v>
      </c>
      <c r="B9844">
        <v>0.1666476535420239</v>
      </c>
    </row>
    <row r="9845" spans="1:2" x14ac:dyDescent="0.25">
      <c r="A9845">
        <v>9816</v>
      </c>
      <c r="B9845">
        <v>1.3244548398399543</v>
      </c>
    </row>
    <row r="9846" spans="1:2" x14ac:dyDescent="0.25">
      <c r="A9846">
        <v>9817</v>
      </c>
      <c r="B9846">
        <v>0.2796194492929131</v>
      </c>
    </row>
    <row r="9847" spans="1:2" x14ac:dyDescent="0.25">
      <c r="A9847">
        <v>9818</v>
      </c>
      <c r="B9847">
        <v>0.20416430255670673</v>
      </c>
    </row>
    <row r="9848" spans="1:2" x14ac:dyDescent="0.25">
      <c r="A9848">
        <v>9819</v>
      </c>
      <c r="B9848">
        <v>0.18412834509720108</v>
      </c>
    </row>
    <row r="9849" spans="1:2" x14ac:dyDescent="0.25">
      <c r="A9849">
        <v>9820</v>
      </c>
      <c r="B9849">
        <v>0.30595724198102398</v>
      </c>
    </row>
    <row r="9850" spans="1:2" x14ac:dyDescent="0.25">
      <c r="A9850">
        <v>9821</v>
      </c>
      <c r="B9850">
        <v>9.3527677369562773E-2</v>
      </c>
    </row>
    <row r="9851" spans="1:2" x14ac:dyDescent="0.25">
      <c r="A9851">
        <v>9822</v>
      </c>
      <c r="B9851">
        <v>0.21760650311744797</v>
      </c>
    </row>
    <row r="9852" spans="1:2" x14ac:dyDescent="0.25">
      <c r="A9852">
        <v>9823</v>
      </c>
      <c r="B9852">
        <v>0.13828489735004226</v>
      </c>
    </row>
    <row r="9853" spans="1:2" x14ac:dyDescent="0.25">
      <c r="A9853">
        <v>9824</v>
      </c>
      <c r="B9853">
        <v>0.12741173143835316</v>
      </c>
    </row>
    <row r="9854" spans="1:2" x14ac:dyDescent="0.25">
      <c r="A9854">
        <v>9825</v>
      </c>
      <c r="B9854">
        <v>0.11501088845796466</v>
      </c>
    </row>
    <row r="9855" spans="1:2" x14ac:dyDescent="0.25">
      <c r="A9855">
        <v>9826</v>
      </c>
      <c r="B9855">
        <v>4.8943529838484892E-2</v>
      </c>
    </row>
    <row r="9856" spans="1:2" x14ac:dyDescent="0.25">
      <c r="A9856">
        <v>9827</v>
      </c>
      <c r="B9856">
        <v>4.576484461088369E-2</v>
      </c>
    </row>
    <row r="9857" spans="1:2" x14ac:dyDescent="0.25">
      <c r="A9857">
        <v>9828</v>
      </c>
      <c r="B9857">
        <v>0.11388464910600853</v>
      </c>
    </row>
    <row r="9858" spans="1:2" x14ac:dyDescent="0.25">
      <c r="A9858">
        <v>9829</v>
      </c>
      <c r="B9858">
        <v>7.7129727250227265E-2</v>
      </c>
    </row>
    <row r="9859" spans="1:2" x14ac:dyDescent="0.25">
      <c r="A9859">
        <v>9830</v>
      </c>
      <c r="B9859">
        <v>0.1048870677729815</v>
      </c>
    </row>
    <row r="9860" spans="1:2" x14ac:dyDescent="0.25">
      <c r="A9860">
        <v>9831</v>
      </c>
      <c r="B9860">
        <v>0.12324212722667656</v>
      </c>
    </row>
    <row r="9861" spans="1:2" x14ac:dyDescent="0.25">
      <c r="A9861">
        <v>9832</v>
      </c>
      <c r="B9861">
        <v>7.5452593785450744E-2</v>
      </c>
    </row>
    <row r="9862" spans="1:2" x14ac:dyDescent="0.25">
      <c r="A9862">
        <v>9833</v>
      </c>
      <c r="B9862">
        <v>0.20233777388771915</v>
      </c>
    </row>
    <row r="9863" spans="1:2" x14ac:dyDescent="0.25">
      <c r="A9863">
        <v>9834</v>
      </c>
      <c r="B9863">
        <v>3.331590110929096E-2</v>
      </c>
    </row>
    <row r="9864" spans="1:2" x14ac:dyDescent="0.25">
      <c r="A9864">
        <v>9835</v>
      </c>
      <c r="B9864">
        <v>0.13995354791824183</v>
      </c>
    </row>
    <row r="9865" spans="1:2" x14ac:dyDescent="0.25">
      <c r="A9865">
        <v>9836</v>
      </c>
      <c r="B9865">
        <v>0.55688980328798743</v>
      </c>
    </row>
    <row r="9866" spans="1:2" x14ac:dyDescent="0.25">
      <c r="A9866">
        <v>9837</v>
      </c>
      <c r="B9866">
        <v>0.15621319957255797</v>
      </c>
    </row>
    <row r="9867" spans="1:2" x14ac:dyDescent="0.25">
      <c r="A9867">
        <v>9838</v>
      </c>
      <c r="B9867">
        <v>0.3328318500255707</v>
      </c>
    </row>
    <row r="9868" spans="1:2" x14ac:dyDescent="0.25">
      <c r="A9868">
        <v>9839</v>
      </c>
      <c r="B9868">
        <v>0.26373331655407073</v>
      </c>
    </row>
    <row r="9869" spans="1:2" x14ac:dyDescent="0.25">
      <c r="A9869">
        <v>9840</v>
      </c>
      <c r="B9869">
        <v>0.16726219516624297</v>
      </c>
    </row>
    <row r="9870" spans="1:2" x14ac:dyDescent="0.25">
      <c r="A9870">
        <v>9841</v>
      </c>
      <c r="B9870">
        <v>8.2733999177979828E-2</v>
      </c>
    </row>
    <row r="9871" spans="1:2" x14ac:dyDescent="0.25">
      <c r="A9871">
        <v>9842</v>
      </c>
      <c r="B9871">
        <v>0.27151092002174149</v>
      </c>
    </row>
    <row r="9872" spans="1:2" x14ac:dyDescent="0.25">
      <c r="A9872">
        <v>9843</v>
      </c>
      <c r="B9872">
        <v>0.14364162603540157</v>
      </c>
    </row>
    <row r="9873" spans="1:2" x14ac:dyDescent="0.25">
      <c r="A9873">
        <v>9844</v>
      </c>
      <c r="B9873">
        <v>0.24952950932694312</v>
      </c>
    </row>
    <row r="9874" spans="1:2" x14ac:dyDescent="0.25">
      <c r="A9874">
        <v>9845</v>
      </c>
      <c r="B9874">
        <v>6.9342075035749545E-2</v>
      </c>
    </row>
    <row r="9875" spans="1:2" x14ac:dyDescent="0.25">
      <c r="A9875">
        <v>9846</v>
      </c>
      <c r="B9875">
        <v>6.7816267908297465E-2</v>
      </c>
    </row>
    <row r="9876" spans="1:2" x14ac:dyDescent="0.25">
      <c r="A9876">
        <v>9847</v>
      </c>
      <c r="B9876">
        <v>0.4728260445752836</v>
      </c>
    </row>
    <row r="9877" spans="1:2" x14ac:dyDescent="0.25">
      <c r="A9877">
        <v>9848</v>
      </c>
      <c r="B9877">
        <v>9.1246637068215078E-2</v>
      </c>
    </row>
    <row r="9878" spans="1:2" x14ac:dyDescent="0.25">
      <c r="A9878">
        <v>9849</v>
      </c>
      <c r="B9878">
        <v>0.51919295366876628</v>
      </c>
    </row>
    <row r="9879" spans="1:2" x14ac:dyDescent="0.25">
      <c r="A9879">
        <v>9850</v>
      </c>
      <c r="B9879">
        <v>0.13095735952946691</v>
      </c>
    </row>
    <row r="9880" spans="1:2" x14ac:dyDescent="0.25">
      <c r="A9880">
        <v>9851</v>
      </c>
      <c r="B9880">
        <v>0.23076532795418564</v>
      </c>
    </row>
    <row r="9881" spans="1:2" x14ac:dyDescent="0.25">
      <c r="A9881">
        <v>9852</v>
      </c>
      <c r="B9881">
        <v>5.4430094487430143E-2</v>
      </c>
    </row>
    <row r="9882" spans="1:2" x14ac:dyDescent="0.25">
      <c r="A9882">
        <v>9853</v>
      </c>
      <c r="B9882">
        <v>9.7524870301205255E-2</v>
      </c>
    </row>
    <row r="9883" spans="1:2" x14ac:dyDescent="0.25">
      <c r="A9883">
        <v>9854</v>
      </c>
      <c r="B9883">
        <v>0.13703715730690452</v>
      </c>
    </row>
    <row r="9884" spans="1:2" x14ac:dyDescent="0.25">
      <c r="A9884">
        <v>9855</v>
      </c>
      <c r="B9884">
        <v>0.17882847285476772</v>
      </c>
    </row>
    <row r="9885" spans="1:2" x14ac:dyDescent="0.25">
      <c r="A9885">
        <v>9856</v>
      </c>
      <c r="B9885">
        <v>0.10771045213980224</v>
      </c>
    </row>
    <row r="9886" spans="1:2" x14ac:dyDescent="0.25">
      <c r="A9886">
        <v>9857</v>
      </c>
      <c r="B9886">
        <v>0.36718176074251446</v>
      </c>
    </row>
    <row r="9887" spans="1:2" x14ac:dyDescent="0.25">
      <c r="A9887">
        <v>9858</v>
      </c>
      <c r="B9887">
        <v>0.30665508013440856</v>
      </c>
    </row>
    <row r="9888" spans="1:2" x14ac:dyDescent="0.25">
      <c r="A9888">
        <v>9859</v>
      </c>
      <c r="B9888">
        <v>0.22338890614028092</v>
      </c>
    </row>
    <row r="9889" spans="1:2" x14ac:dyDescent="0.25">
      <c r="A9889">
        <v>9860</v>
      </c>
      <c r="B9889">
        <v>0.29097243957142216</v>
      </c>
    </row>
    <row r="9890" spans="1:2" x14ac:dyDescent="0.25">
      <c r="A9890">
        <v>9861</v>
      </c>
      <c r="B9890">
        <v>0.14364309150555446</v>
      </c>
    </row>
    <row r="9891" spans="1:2" x14ac:dyDescent="0.25">
      <c r="A9891">
        <v>9862</v>
      </c>
      <c r="B9891">
        <v>0.22424429444852237</v>
      </c>
    </row>
    <row r="9892" spans="1:2" x14ac:dyDescent="0.25">
      <c r="A9892">
        <v>9863</v>
      </c>
      <c r="B9892">
        <v>0.30908475663166429</v>
      </c>
    </row>
    <row r="9893" spans="1:2" x14ac:dyDescent="0.25">
      <c r="A9893">
        <v>9864</v>
      </c>
      <c r="B9893">
        <v>8.0830511255000015E-2</v>
      </c>
    </row>
    <row r="9894" spans="1:2" x14ac:dyDescent="0.25">
      <c r="A9894">
        <v>9865</v>
      </c>
      <c r="B9894">
        <v>0.39088455453570398</v>
      </c>
    </row>
    <row r="9895" spans="1:2" x14ac:dyDescent="0.25">
      <c r="A9895">
        <v>9866</v>
      </c>
      <c r="B9895">
        <v>0.12613713089303272</v>
      </c>
    </row>
    <row r="9896" spans="1:2" x14ac:dyDescent="0.25">
      <c r="A9896">
        <v>9867</v>
      </c>
      <c r="B9896">
        <v>0.332591858763293</v>
      </c>
    </row>
    <row r="9897" spans="1:2" x14ac:dyDescent="0.25">
      <c r="A9897">
        <v>9868</v>
      </c>
      <c r="B9897">
        <v>0.44866760471368561</v>
      </c>
    </row>
    <row r="9898" spans="1:2" x14ac:dyDescent="0.25">
      <c r="A9898">
        <v>9869</v>
      </c>
      <c r="B9898">
        <v>0.24136929420882736</v>
      </c>
    </row>
    <row r="9899" spans="1:2" x14ac:dyDescent="0.25">
      <c r="A9899">
        <v>9870</v>
      </c>
      <c r="B9899">
        <v>0.19684580125116927</v>
      </c>
    </row>
    <row r="9900" spans="1:2" x14ac:dyDescent="0.25">
      <c r="A9900">
        <v>9871</v>
      </c>
      <c r="B9900">
        <v>0.15781805806015689</v>
      </c>
    </row>
    <row r="9901" spans="1:2" x14ac:dyDescent="0.25">
      <c r="A9901">
        <v>9872</v>
      </c>
      <c r="B9901">
        <v>0.19263914657389972</v>
      </c>
    </row>
    <row r="9902" spans="1:2" x14ac:dyDescent="0.25">
      <c r="A9902">
        <v>9873</v>
      </c>
      <c r="B9902">
        <v>0.15267917164360215</v>
      </c>
    </row>
    <row r="9903" spans="1:2" x14ac:dyDescent="0.25">
      <c r="A9903">
        <v>9874</v>
      </c>
      <c r="B9903">
        <v>0.31522021349658941</v>
      </c>
    </row>
    <row r="9904" spans="1:2" x14ac:dyDescent="0.25">
      <c r="A9904">
        <v>9875</v>
      </c>
      <c r="B9904">
        <v>7.4547797651603492E-2</v>
      </c>
    </row>
    <row r="9905" spans="1:2" x14ac:dyDescent="0.25">
      <c r="A9905">
        <v>9876</v>
      </c>
      <c r="B9905">
        <v>0.1217040705739445</v>
      </c>
    </row>
    <row r="9906" spans="1:2" x14ac:dyDescent="0.25">
      <c r="A9906">
        <v>9877</v>
      </c>
      <c r="B9906">
        <v>0.14877961302746764</v>
      </c>
    </row>
    <row r="9907" spans="1:2" x14ac:dyDescent="0.25">
      <c r="A9907">
        <v>9878</v>
      </c>
      <c r="B9907">
        <v>0.22553379385763331</v>
      </c>
    </row>
    <row r="9908" spans="1:2" x14ac:dyDescent="0.25">
      <c r="A9908">
        <v>9879</v>
      </c>
      <c r="B9908">
        <v>0.1294954725109479</v>
      </c>
    </row>
    <row r="9909" spans="1:2" x14ac:dyDescent="0.25">
      <c r="A9909">
        <v>9880</v>
      </c>
      <c r="B9909">
        <v>0.2279474256558206</v>
      </c>
    </row>
    <row r="9910" spans="1:2" x14ac:dyDescent="0.25">
      <c r="A9910">
        <v>9881</v>
      </c>
      <c r="B9910">
        <v>0.21111662694721439</v>
      </c>
    </row>
    <row r="9911" spans="1:2" x14ac:dyDescent="0.25">
      <c r="A9911">
        <v>9882</v>
      </c>
      <c r="B9911">
        <v>0.43344916714786064</v>
      </c>
    </row>
    <row r="9912" spans="1:2" x14ac:dyDescent="0.25">
      <c r="A9912">
        <v>9883</v>
      </c>
      <c r="B9912">
        <v>0.37561271534800317</v>
      </c>
    </row>
    <row r="9913" spans="1:2" x14ac:dyDescent="0.25">
      <c r="A9913">
        <v>9884</v>
      </c>
      <c r="B9913">
        <v>0.1744688744469228</v>
      </c>
    </row>
    <row r="9914" spans="1:2" x14ac:dyDescent="0.25">
      <c r="A9914">
        <v>9885</v>
      </c>
      <c r="B9914">
        <v>0.18167531935290224</v>
      </c>
    </row>
    <row r="9915" spans="1:2" x14ac:dyDescent="0.25">
      <c r="A9915">
        <v>9886</v>
      </c>
      <c r="B9915">
        <v>0.1409757323833338</v>
      </c>
    </row>
    <row r="9916" spans="1:2" x14ac:dyDescent="0.25">
      <c r="A9916">
        <v>9887</v>
      </c>
      <c r="B9916">
        <v>0.17782089791823691</v>
      </c>
    </row>
    <row r="9917" spans="1:2" x14ac:dyDescent="0.25">
      <c r="A9917">
        <v>9888</v>
      </c>
      <c r="B9917">
        <v>1.6790249826135133E-2</v>
      </c>
    </row>
    <row r="9918" spans="1:2" x14ac:dyDescent="0.25">
      <c r="A9918">
        <v>9889</v>
      </c>
      <c r="B9918">
        <v>5.3618150247179273E-2</v>
      </c>
    </row>
    <row r="9919" spans="1:2" x14ac:dyDescent="0.25">
      <c r="A9919">
        <v>9890</v>
      </c>
      <c r="B9919">
        <v>0.12399397074067747</v>
      </c>
    </row>
    <row r="9920" spans="1:2" x14ac:dyDescent="0.25">
      <c r="A9920">
        <v>9891</v>
      </c>
      <c r="B9920">
        <v>0.26868665358047417</v>
      </c>
    </row>
    <row r="9921" spans="1:2" x14ac:dyDescent="0.25">
      <c r="A9921">
        <v>9892</v>
      </c>
      <c r="B9921">
        <v>0.45054608557367715</v>
      </c>
    </row>
    <row r="9922" spans="1:2" x14ac:dyDescent="0.25">
      <c r="A9922">
        <v>9893</v>
      </c>
      <c r="B9922">
        <v>0.10114907890646897</v>
      </c>
    </row>
    <row r="9923" spans="1:2" x14ac:dyDescent="0.25">
      <c r="A9923">
        <v>9894</v>
      </c>
      <c r="B9923">
        <v>0.30609919820556436</v>
      </c>
    </row>
    <row r="9924" spans="1:2" x14ac:dyDescent="0.25">
      <c r="A9924">
        <v>9895</v>
      </c>
      <c r="B9924">
        <v>0.12360226153311719</v>
      </c>
    </row>
    <row r="9925" spans="1:2" x14ac:dyDescent="0.25">
      <c r="A9925">
        <v>9896</v>
      </c>
      <c r="B9925">
        <v>0.20270241904606487</v>
      </c>
    </row>
    <row r="9926" spans="1:2" x14ac:dyDescent="0.25">
      <c r="A9926">
        <v>9897</v>
      </c>
      <c r="B9926">
        <v>0.19193155695833067</v>
      </c>
    </row>
    <row r="9927" spans="1:2" x14ac:dyDescent="0.25">
      <c r="A9927">
        <v>9898</v>
      </c>
      <c r="B9927">
        <v>0.53708264073387568</v>
      </c>
    </row>
    <row r="9928" spans="1:2" x14ac:dyDescent="0.25">
      <c r="A9928">
        <v>9899</v>
      </c>
      <c r="B9928">
        <v>0.19165439731396744</v>
      </c>
    </row>
    <row r="9929" spans="1:2" x14ac:dyDescent="0.25">
      <c r="A9929">
        <v>9900</v>
      </c>
      <c r="B9929">
        <v>0.11205258583883429</v>
      </c>
    </row>
    <row r="9930" spans="1:2" x14ac:dyDescent="0.25">
      <c r="A9930">
        <v>9901</v>
      </c>
      <c r="B9930">
        <v>0.14082881861499602</v>
      </c>
    </row>
    <row r="9931" spans="1:2" x14ac:dyDescent="0.25">
      <c r="A9931">
        <v>9902</v>
      </c>
      <c r="B9931">
        <v>0.54427448501361064</v>
      </c>
    </row>
    <row r="9932" spans="1:2" x14ac:dyDescent="0.25">
      <c r="A9932">
        <v>9903</v>
      </c>
      <c r="B9932">
        <v>9.3741869557072505E-2</v>
      </c>
    </row>
    <row r="9933" spans="1:2" x14ac:dyDescent="0.25">
      <c r="A9933">
        <v>9904</v>
      </c>
      <c r="B9933">
        <v>0.14753097275766436</v>
      </c>
    </row>
    <row r="9934" spans="1:2" x14ac:dyDescent="0.25">
      <c r="A9934">
        <v>9905</v>
      </c>
      <c r="B9934">
        <v>0.25659236568733518</v>
      </c>
    </row>
    <row r="9935" spans="1:2" x14ac:dyDescent="0.25">
      <c r="A9935">
        <v>9906</v>
      </c>
      <c r="B9935">
        <v>0.4704180176522903</v>
      </c>
    </row>
    <row r="9936" spans="1:2" x14ac:dyDescent="0.25">
      <c r="A9936">
        <v>9907</v>
      </c>
      <c r="B9936">
        <v>0.25494394471034071</v>
      </c>
    </row>
    <row r="9937" spans="1:2" x14ac:dyDescent="0.25">
      <c r="A9937">
        <v>9908</v>
      </c>
      <c r="B9937">
        <v>0.5248344622505432</v>
      </c>
    </row>
    <row r="9938" spans="1:2" x14ac:dyDescent="0.25">
      <c r="A9938">
        <v>9909</v>
      </c>
      <c r="B9938">
        <v>0.15325757806291698</v>
      </c>
    </row>
    <row r="9939" spans="1:2" x14ac:dyDescent="0.25">
      <c r="A9939">
        <v>9910</v>
      </c>
      <c r="B9939">
        <v>0.24189321446213127</v>
      </c>
    </row>
    <row r="9940" spans="1:2" x14ac:dyDescent="0.25">
      <c r="A9940">
        <v>9911</v>
      </c>
      <c r="B9940">
        <v>0.13623224103116893</v>
      </c>
    </row>
    <row r="9941" spans="1:2" x14ac:dyDescent="0.25">
      <c r="A9941">
        <v>9912</v>
      </c>
      <c r="B9941">
        <v>0.12399402143024031</v>
      </c>
    </row>
    <row r="9942" spans="1:2" x14ac:dyDescent="0.25">
      <c r="A9942">
        <v>9913</v>
      </c>
      <c r="B9942">
        <v>0.18209919679853945</v>
      </c>
    </row>
    <row r="9943" spans="1:2" x14ac:dyDescent="0.25">
      <c r="A9943">
        <v>9914</v>
      </c>
      <c r="B9943">
        <v>0.17219984239738467</v>
      </c>
    </row>
    <row r="9944" spans="1:2" x14ac:dyDescent="0.25">
      <c r="A9944">
        <v>9915</v>
      </c>
      <c r="B9944">
        <v>0.23681628991432635</v>
      </c>
    </row>
    <row r="9945" spans="1:2" x14ac:dyDescent="0.25">
      <c r="A9945">
        <v>9916</v>
      </c>
      <c r="B9945">
        <v>8.5697111641775084E-2</v>
      </c>
    </row>
    <row r="9946" spans="1:2" x14ac:dyDescent="0.25">
      <c r="A9946">
        <v>9917</v>
      </c>
      <c r="B9946">
        <v>9.4925548175202823E-2</v>
      </c>
    </row>
    <row r="9947" spans="1:2" x14ac:dyDescent="0.25">
      <c r="A9947">
        <v>9918</v>
      </c>
      <c r="B9947">
        <v>0.33175849478518726</v>
      </c>
    </row>
    <row r="9948" spans="1:2" x14ac:dyDescent="0.25">
      <c r="A9948">
        <v>9919</v>
      </c>
      <c r="B9948">
        <v>0.28542524771138017</v>
      </c>
    </row>
    <row r="9949" spans="1:2" x14ac:dyDescent="0.25">
      <c r="A9949">
        <v>9920</v>
      </c>
      <c r="B9949">
        <v>0.12584325957022691</v>
      </c>
    </row>
    <row r="9950" spans="1:2" x14ac:dyDescent="0.25">
      <c r="A9950">
        <v>9921</v>
      </c>
      <c r="B9950">
        <v>9.5066770389563168E-2</v>
      </c>
    </row>
    <row r="9951" spans="1:2" x14ac:dyDescent="0.25">
      <c r="A9951">
        <v>9922</v>
      </c>
      <c r="B9951">
        <v>9.1559110775245867E-2</v>
      </c>
    </row>
    <row r="9952" spans="1:2" x14ac:dyDescent="0.25">
      <c r="A9952">
        <v>9923</v>
      </c>
      <c r="B9952">
        <v>0.11877104613884958</v>
      </c>
    </row>
    <row r="9953" spans="1:2" x14ac:dyDescent="0.25">
      <c r="A9953">
        <v>9924</v>
      </c>
      <c r="B9953">
        <v>9.1831402770696527E-2</v>
      </c>
    </row>
    <row r="9954" spans="1:2" x14ac:dyDescent="0.25">
      <c r="A9954">
        <v>9925</v>
      </c>
      <c r="B9954">
        <v>0.20815488810382496</v>
      </c>
    </row>
    <row r="9955" spans="1:2" x14ac:dyDescent="0.25">
      <c r="A9955">
        <v>9926</v>
      </c>
      <c r="B9955">
        <v>0.26737081402085017</v>
      </c>
    </row>
    <row r="9956" spans="1:2" x14ac:dyDescent="0.25">
      <c r="A9956">
        <v>9927</v>
      </c>
      <c r="B9956">
        <v>0.18602789515846033</v>
      </c>
    </row>
    <row r="9957" spans="1:2" x14ac:dyDescent="0.25">
      <c r="A9957">
        <v>9928</v>
      </c>
      <c r="B9957">
        <v>0.30026864872001663</v>
      </c>
    </row>
    <row r="9958" spans="1:2" x14ac:dyDescent="0.25">
      <c r="A9958">
        <v>9929</v>
      </c>
      <c r="B9958">
        <v>0.2335226817721561</v>
      </c>
    </row>
    <row r="9959" spans="1:2" x14ac:dyDescent="0.25">
      <c r="A9959">
        <v>9930</v>
      </c>
      <c r="B9959">
        <v>0.1863966625144422</v>
      </c>
    </row>
    <row r="9960" spans="1:2" x14ac:dyDescent="0.25">
      <c r="A9960">
        <v>9931</v>
      </c>
      <c r="B9960">
        <v>0.59109553030834461</v>
      </c>
    </row>
    <row r="9961" spans="1:2" x14ac:dyDescent="0.25">
      <c r="A9961">
        <v>9932</v>
      </c>
      <c r="B9961">
        <v>8.0017227876734695E-2</v>
      </c>
    </row>
    <row r="9962" spans="1:2" x14ac:dyDescent="0.25">
      <c r="A9962">
        <v>9933</v>
      </c>
      <c r="B9962">
        <v>0.13944368016234976</v>
      </c>
    </row>
    <row r="9963" spans="1:2" x14ac:dyDescent="0.25">
      <c r="A9963">
        <v>9934</v>
      </c>
      <c r="B9963">
        <v>0.35486040564843546</v>
      </c>
    </row>
    <row r="9964" spans="1:2" x14ac:dyDescent="0.25">
      <c r="A9964">
        <v>9935</v>
      </c>
      <c r="B9964">
        <v>0.11093900746135639</v>
      </c>
    </row>
    <row r="9965" spans="1:2" x14ac:dyDescent="0.25">
      <c r="A9965">
        <v>9936</v>
      </c>
      <c r="B9965">
        <v>0.16045714929552893</v>
      </c>
    </row>
    <row r="9966" spans="1:2" x14ac:dyDescent="0.25">
      <c r="A9966">
        <v>9937</v>
      </c>
      <c r="B9966">
        <v>0.13282768821163593</v>
      </c>
    </row>
    <row r="9967" spans="1:2" x14ac:dyDescent="0.25">
      <c r="A9967">
        <v>9938</v>
      </c>
      <c r="B9967">
        <v>0.13021466817268085</v>
      </c>
    </row>
    <row r="9968" spans="1:2" x14ac:dyDescent="0.25">
      <c r="A9968">
        <v>9939</v>
      </c>
      <c r="B9968">
        <v>0.10660931726553381</v>
      </c>
    </row>
    <row r="9969" spans="1:2" x14ac:dyDescent="0.25">
      <c r="A9969">
        <v>9940</v>
      </c>
      <c r="B9969">
        <v>0.18955902644753142</v>
      </c>
    </row>
    <row r="9970" spans="1:2" x14ac:dyDescent="0.25">
      <c r="A9970">
        <v>9941</v>
      </c>
      <c r="B9970">
        <v>0.14404968453367953</v>
      </c>
    </row>
    <row r="9971" spans="1:2" x14ac:dyDescent="0.25">
      <c r="A9971">
        <v>9942</v>
      </c>
      <c r="B9971">
        <v>0.1245838949079956</v>
      </c>
    </row>
    <row r="9972" spans="1:2" x14ac:dyDescent="0.25">
      <c r="A9972">
        <v>9943</v>
      </c>
      <c r="B9972">
        <v>0.17202050869184204</v>
      </c>
    </row>
    <row r="9973" spans="1:2" x14ac:dyDescent="0.25">
      <c r="A9973">
        <v>9944</v>
      </c>
      <c r="B9973">
        <v>5.7422022441816226E-2</v>
      </c>
    </row>
    <row r="9974" spans="1:2" x14ac:dyDescent="0.25">
      <c r="A9974">
        <v>9945</v>
      </c>
      <c r="B9974">
        <v>0.12529091860193223</v>
      </c>
    </row>
    <row r="9975" spans="1:2" x14ac:dyDescent="0.25">
      <c r="A9975">
        <v>9946</v>
      </c>
      <c r="B9975">
        <v>0.17475506225924731</v>
      </c>
    </row>
    <row r="9976" spans="1:2" x14ac:dyDescent="0.25">
      <c r="A9976">
        <v>9947</v>
      </c>
      <c r="B9976">
        <v>0.2487607474975318</v>
      </c>
    </row>
    <row r="9977" spans="1:2" x14ac:dyDescent="0.25">
      <c r="A9977">
        <v>9948</v>
      </c>
      <c r="B9977">
        <v>0.19129129706904319</v>
      </c>
    </row>
    <row r="9978" spans="1:2" x14ac:dyDescent="0.25">
      <c r="A9978">
        <v>9949</v>
      </c>
      <c r="B9978">
        <v>7.3457778026600404E-2</v>
      </c>
    </row>
    <row r="9979" spans="1:2" x14ac:dyDescent="0.25">
      <c r="A9979">
        <v>9950</v>
      </c>
      <c r="B9979">
        <v>0.2062013243842187</v>
      </c>
    </row>
    <row r="9980" spans="1:2" x14ac:dyDescent="0.25">
      <c r="A9980">
        <v>9951</v>
      </c>
      <c r="B9980">
        <v>0.46290888519180029</v>
      </c>
    </row>
    <row r="9981" spans="1:2" x14ac:dyDescent="0.25">
      <c r="A9981">
        <v>9952</v>
      </c>
      <c r="B9981">
        <v>0.16614493904337535</v>
      </c>
    </row>
    <row r="9982" spans="1:2" x14ac:dyDescent="0.25">
      <c r="A9982">
        <v>9953</v>
      </c>
      <c r="B9982">
        <v>7.6891071094122895E-2</v>
      </c>
    </row>
    <row r="9983" spans="1:2" x14ac:dyDescent="0.25">
      <c r="A9983">
        <v>9954</v>
      </c>
      <c r="B9983">
        <v>0.22339974884550057</v>
      </c>
    </row>
    <row r="9984" spans="1:2" x14ac:dyDescent="0.25">
      <c r="A9984">
        <v>9955</v>
      </c>
      <c r="B9984">
        <v>0.25978648672476556</v>
      </c>
    </row>
    <row r="9985" spans="1:2" x14ac:dyDescent="0.25">
      <c r="A9985">
        <v>9956</v>
      </c>
      <c r="B9985">
        <v>0.13422397214785062</v>
      </c>
    </row>
    <row r="9986" spans="1:2" x14ac:dyDescent="0.25">
      <c r="A9986">
        <v>9957</v>
      </c>
      <c r="B9986">
        <v>0.28176229032190458</v>
      </c>
    </row>
    <row r="9987" spans="1:2" x14ac:dyDescent="0.25">
      <c r="A9987">
        <v>9958</v>
      </c>
      <c r="B9987">
        <v>0.36862143179102469</v>
      </c>
    </row>
    <row r="9988" spans="1:2" x14ac:dyDescent="0.25">
      <c r="A9988">
        <v>9959</v>
      </c>
      <c r="B9988">
        <v>0.16027353446238199</v>
      </c>
    </row>
    <row r="9989" spans="1:2" x14ac:dyDescent="0.25">
      <c r="A9989">
        <v>9960</v>
      </c>
      <c r="B9989">
        <v>0.28944135574320035</v>
      </c>
    </row>
    <row r="9990" spans="1:2" x14ac:dyDescent="0.25">
      <c r="A9990">
        <v>9961</v>
      </c>
      <c r="B9990">
        <v>0.17919987037515428</v>
      </c>
    </row>
    <row r="9991" spans="1:2" x14ac:dyDescent="0.25">
      <c r="A9991">
        <v>9962</v>
      </c>
      <c r="B9991">
        <v>0.16869861536168998</v>
      </c>
    </row>
    <row r="9992" spans="1:2" x14ac:dyDescent="0.25">
      <c r="A9992">
        <v>9963</v>
      </c>
      <c r="B9992">
        <v>0.19861683553930837</v>
      </c>
    </row>
    <row r="9993" spans="1:2" x14ac:dyDescent="0.25">
      <c r="A9993">
        <v>9964</v>
      </c>
      <c r="B9993">
        <v>0.36589017531023926</v>
      </c>
    </row>
    <row r="9994" spans="1:2" x14ac:dyDescent="0.25">
      <c r="A9994">
        <v>9965</v>
      </c>
      <c r="B9994">
        <v>0.1192492791694743</v>
      </c>
    </row>
    <row r="9995" spans="1:2" x14ac:dyDescent="0.25">
      <c r="A9995">
        <v>9966</v>
      </c>
      <c r="B9995">
        <v>0.1369303181963698</v>
      </c>
    </row>
    <row r="9996" spans="1:2" x14ac:dyDescent="0.25">
      <c r="A9996">
        <v>9967</v>
      </c>
      <c r="B9996">
        <v>0.20311664595825715</v>
      </c>
    </row>
    <row r="9997" spans="1:2" x14ac:dyDescent="0.25">
      <c r="A9997">
        <v>9968</v>
      </c>
      <c r="B9997">
        <v>0.19148672043248294</v>
      </c>
    </row>
    <row r="9998" spans="1:2" x14ac:dyDescent="0.25">
      <c r="A9998">
        <v>9969</v>
      </c>
      <c r="B9998">
        <v>0.25568742970288577</v>
      </c>
    </row>
    <row r="9999" spans="1:2" x14ac:dyDescent="0.25">
      <c r="A9999">
        <v>9970</v>
      </c>
      <c r="B9999">
        <v>8.1721496275223127E-2</v>
      </c>
    </row>
    <row r="10000" spans="1:2" x14ac:dyDescent="0.25">
      <c r="A10000">
        <v>9971</v>
      </c>
      <c r="B10000">
        <v>7.2297791036002798E-2</v>
      </c>
    </row>
    <row r="10001" spans="1:2" x14ac:dyDescent="0.25">
      <c r="A10001">
        <v>9972</v>
      </c>
      <c r="B10001">
        <v>0.18806865024204331</v>
      </c>
    </row>
    <row r="10002" spans="1:2" x14ac:dyDescent="0.25">
      <c r="A10002">
        <v>9973</v>
      </c>
      <c r="B10002">
        <v>0.20691111156233266</v>
      </c>
    </row>
    <row r="10003" spans="1:2" x14ac:dyDescent="0.25">
      <c r="A10003">
        <v>9974</v>
      </c>
      <c r="B10003">
        <v>0.43917007270359215</v>
      </c>
    </row>
    <row r="10004" spans="1:2" x14ac:dyDescent="0.25">
      <c r="A10004">
        <v>9975</v>
      </c>
      <c r="B10004">
        <v>0.29676629803841831</v>
      </c>
    </row>
    <row r="10005" spans="1:2" x14ac:dyDescent="0.25">
      <c r="A10005">
        <v>9976</v>
      </c>
      <c r="B10005">
        <v>0.16192176640780118</v>
      </c>
    </row>
    <row r="10006" spans="1:2" x14ac:dyDescent="0.25">
      <c r="A10006">
        <v>9977</v>
      </c>
      <c r="B10006">
        <v>0.35001440753265822</v>
      </c>
    </row>
    <row r="10007" spans="1:2" x14ac:dyDescent="0.25">
      <c r="A10007">
        <v>9978</v>
      </c>
      <c r="B10007">
        <v>0.19142566347415277</v>
      </c>
    </row>
    <row r="10008" spans="1:2" x14ac:dyDescent="0.25">
      <c r="A10008">
        <v>9979</v>
      </c>
      <c r="B10008">
        <v>0.19694317468611858</v>
      </c>
    </row>
    <row r="10009" spans="1:2" x14ac:dyDescent="0.25">
      <c r="A10009">
        <v>9980</v>
      </c>
      <c r="B10009">
        <v>6.3168133670289173E-2</v>
      </c>
    </row>
    <row r="10010" spans="1:2" x14ac:dyDescent="0.25">
      <c r="A10010">
        <v>9981</v>
      </c>
      <c r="B10010">
        <v>0.33513462586458631</v>
      </c>
    </row>
    <row r="10011" spans="1:2" x14ac:dyDescent="0.25">
      <c r="A10011">
        <v>9982</v>
      </c>
      <c r="B10011">
        <v>0.18791836282602675</v>
      </c>
    </row>
    <row r="10012" spans="1:2" x14ac:dyDescent="0.25">
      <c r="A10012">
        <v>9983</v>
      </c>
      <c r="B10012">
        <v>0.18218207212347978</v>
      </c>
    </row>
    <row r="10013" spans="1:2" x14ac:dyDescent="0.25">
      <c r="A10013">
        <v>9984</v>
      </c>
      <c r="B10013">
        <v>0.2142618993604932</v>
      </c>
    </row>
    <row r="10014" spans="1:2" x14ac:dyDescent="0.25">
      <c r="A10014">
        <v>9985</v>
      </c>
      <c r="B10014">
        <v>0.32260773302516638</v>
      </c>
    </row>
    <row r="10015" spans="1:2" x14ac:dyDescent="0.25">
      <c r="A10015">
        <v>9986</v>
      </c>
      <c r="B10015">
        <v>0.20384880059618837</v>
      </c>
    </row>
    <row r="10016" spans="1:2" x14ac:dyDescent="0.25">
      <c r="A10016">
        <v>9987</v>
      </c>
      <c r="B10016">
        <v>0.17325256936095726</v>
      </c>
    </row>
    <row r="10017" spans="1:2" x14ac:dyDescent="0.25">
      <c r="A10017">
        <v>9988</v>
      </c>
      <c r="B10017">
        <v>0.23212852742847787</v>
      </c>
    </row>
    <row r="10018" spans="1:2" x14ac:dyDescent="0.25">
      <c r="A10018">
        <v>9989</v>
      </c>
      <c r="B10018">
        <v>8.3532951593711754E-2</v>
      </c>
    </row>
    <row r="10019" spans="1:2" x14ac:dyDescent="0.25">
      <c r="A10019">
        <v>9990</v>
      </c>
      <c r="B10019">
        <v>8.5508918751323895E-2</v>
      </c>
    </row>
    <row r="10020" spans="1:2" x14ac:dyDescent="0.25">
      <c r="A10020">
        <v>9991</v>
      </c>
      <c r="B10020">
        <v>0.10700738488025212</v>
      </c>
    </row>
    <row r="10021" spans="1:2" x14ac:dyDescent="0.25">
      <c r="A10021">
        <v>9992</v>
      </c>
      <c r="B10021">
        <v>6.2062339699050013E-2</v>
      </c>
    </row>
    <row r="10022" spans="1:2" x14ac:dyDescent="0.25">
      <c r="A10022">
        <v>9993</v>
      </c>
      <c r="B10022">
        <v>7.8576612376971416E-2</v>
      </c>
    </row>
    <row r="10023" spans="1:2" x14ac:dyDescent="0.25">
      <c r="A10023">
        <v>9994</v>
      </c>
      <c r="B10023">
        <v>0.14861370416721834</v>
      </c>
    </row>
    <row r="10024" spans="1:2" x14ac:dyDescent="0.25">
      <c r="A10024">
        <v>9995</v>
      </c>
      <c r="B10024">
        <v>0.21649016881206185</v>
      </c>
    </row>
    <row r="10025" spans="1:2" x14ac:dyDescent="0.25">
      <c r="A10025">
        <v>9996</v>
      </c>
      <c r="B10025">
        <v>0.12543658122365384</v>
      </c>
    </row>
    <row r="10026" spans="1:2" x14ac:dyDescent="0.25">
      <c r="A10026">
        <v>9997</v>
      </c>
      <c r="B10026">
        <v>9.9359213604925251E-2</v>
      </c>
    </row>
    <row r="10027" spans="1:2" x14ac:dyDescent="0.25">
      <c r="A10027">
        <v>9998</v>
      </c>
      <c r="B10027">
        <v>0.21883962403838206</v>
      </c>
    </row>
    <row r="10028" spans="1:2" x14ac:dyDescent="0.25">
      <c r="A10028">
        <v>9999</v>
      </c>
      <c r="B10028">
        <v>0.18854070091089942</v>
      </c>
    </row>
    <row r="10029" spans="1:2" x14ac:dyDescent="0.25">
      <c r="A10029">
        <v>10000</v>
      </c>
      <c r="B10029">
        <v>0.22860971735309052</v>
      </c>
    </row>
    <row r="10030" spans="1:2" x14ac:dyDescent="0.25">
      <c r="B10030">
        <v>0.11201272743714763</v>
      </c>
    </row>
  </sheetData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cenarios">
                <anchor moveWithCells="1" sizeWithCells="1">
                  <from>
                    <xdr:col>19</xdr:col>
                    <xdr:colOff>895350</xdr:colOff>
                    <xdr:row>22</xdr:row>
                    <xdr:rowOff>38100</xdr:rowOff>
                  </from>
                  <to>
                    <xdr:col>23</xdr:col>
                    <xdr:colOff>676275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T55"/>
  <sheetViews>
    <sheetView showGridLines="0" workbookViewId="0">
      <selection activeCell="M18" sqref="M18"/>
    </sheetView>
  </sheetViews>
  <sheetFormatPr defaultRowHeight="15" x14ac:dyDescent="0.25"/>
  <cols>
    <col min="1" max="1" width="23.140625" bestFit="1" customWidth="1"/>
    <col min="2" max="2" width="10.85546875" customWidth="1"/>
    <col min="3" max="3" width="11.5703125" bestFit="1" customWidth="1"/>
    <col min="7" max="7" width="10.85546875" bestFit="1" customWidth="1"/>
    <col min="16" max="16" width="19.85546875" customWidth="1"/>
    <col min="17" max="17" width="10.140625" bestFit="1" customWidth="1"/>
    <col min="18" max="18" width="25.85546875" customWidth="1"/>
    <col min="23" max="23" width="39.28515625" customWidth="1"/>
  </cols>
  <sheetData>
    <row r="1" spans="1:20" x14ac:dyDescent="0.25">
      <c r="A1" s="13" t="s">
        <v>31</v>
      </c>
    </row>
    <row r="2" spans="1:20" x14ac:dyDescent="0.25">
      <c r="O2" t="s">
        <v>44</v>
      </c>
      <c r="P2" s="49" t="s">
        <v>45</v>
      </c>
    </row>
    <row r="3" spans="1:20" x14ac:dyDescent="0.25">
      <c r="A3" s="50" t="s">
        <v>5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2"/>
      <c r="N3" s="53"/>
      <c r="O3" s="53"/>
      <c r="P3" s="53"/>
      <c r="Q3" s="53"/>
      <c r="R3" s="53"/>
    </row>
    <row r="4" spans="1:20" x14ac:dyDescent="0.25">
      <c r="A4" s="54" t="s">
        <v>65</v>
      </c>
      <c r="B4" s="55" t="s">
        <v>66</v>
      </c>
      <c r="C4" s="55" t="s">
        <v>67</v>
      </c>
      <c r="D4" s="55" t="s">
        <v>68</v>
      </c>
      <c r="E4" s="55" t="s">
        <v>69</v>
      </c>
      <c r="F4" s="56" t="s">
        <v>70</v>
      </c>
      <c r="G4" s="55" t="s">
        <v>71</v>
      </c>
      <c r="H4" s="55" t="s">
        <v>72</v>
      </c>
      <c r="I4" s="55" t="s">
        <v>73</v>
      </c>
      <c r="J4" s="55" t="s">
        <v>74</v>
      </c>
      <c r="K4" s="55" t="s">
        <v>75</v>
      </c>
      <c r="L4" s="55" t="s">
        <v>76</v>
      </c>
      <c r="M4" s="57" t="s">
        <v>77</v>
      </c>
      <c r="N4" s="53"/>
      <c r="O4" s="53" t="s">
        <v>78</v>
      </c>
      <c r="P4" s="58" t="s">
        <v>79</v>
      </c>
      <c r="Q4" s="53"/>
      <c r="R4" s="53"/>
    </row>
    <row r="5" spans="1:20" x14ac:dyDescent="0.25">
      <c r="A5" s="59">
        <f>'Параметры ноты'!B5</f>
        <v>44925</v>
      </c>
      <c r="B5" s="60">
        <v>4.1200000000000001E-2</v>
      </c>
      <c r="C5" s="60">
        <v>4.41E-2</v>
      </c>
      <c r="D5" s="60">
        <v>4.4200000000000003E-2</v>
      </c>
      <c r="E5" s="60">
        <v>4.7600000000000003E-2</v>
      </c>
      <c r="F5" s="60">
        <v>4.7300000000000002E-2</v>
      </c>
      <c r="G5" s="60">
        <v>4.41E-2</v>
      </c>
      <c r="H5" s="60">
        <v>4.2200000000000001E-2</v>
      </c>
      <c r="I5" s="60">
        <v>3.9899999999999998E-2</v>
      </c>
      <c r="J5" s="60">
        <v>3.9600000000000003E-2</v>
      </c>
      <c r="K5" s="60">
        <v>3.8800000000000001E-2</v>
      </c>
      <c r="L5" s="60">
        <v>4.1399999999999999E-2</v>
      </c>
      <c r="M5" s="61">
        <v>3.9699999999999999E-2</v>
      </c>
      <c r="N5" s="53"/>
      <c r="O5" s="53"/>
      <c r="P5" s="53"/>
      <c r="Q5" s="53"/>
      <c r="R5" s="53"/>
    </row>
    <row r="6" spans="1:20" ht="15.75" thickBot="1" x14ac:dyDescent="0.3">
      <c r="A6" s="62" t="s">
        <v>32</v>
      </c>
      <c r="B6" s="63">
        <f>1/12</f>
        <v>8.3333333333333329E-2</v>
      </c>
      <c r="C6" s="63">
        <f>2/12</f>
        <v>0.16666666666666666</v>
      </c>
      <c r="D6" s="63">
        <f>3/12</f>
        <v>0.25</v>
      </c>
      <c r="E6" s="63">
        <f>6/12</f>
        <v>0.5</v>
      </c>
      <c r="F6" s="64">
        <f>1</f>
        <v>1</v>
      </c>
      <c r="G6" s="63">
        <v>2</v>
      </c>
      <c r="H6" s="63">
        <v>3</v>
      </c>
      <c r="I6" s="63">
        <v>5</v>
      </c>
      <c r="J6" s="63">
        <v>7</v>
      </c>
      <c r="K6" s="63">
        <v>10</v>
      </c>
      <c r="L6" s="63">
        <v>20</v>
      </c>
      <c r="M6" s="63">
        <v>30</v>
      </c>
      <c r="N6" s="53"/>
      <c r="O6" s="53"/>
      <c r="P6" s="58"/>
      <c r="Q6" s="53"/>
      <c r="R6" s="53"/>
    </row>
    <row r="7" spans="1:20" x14ac:dyDescent="0.25">
      <c r="A7" s="65" t="s">
        <v>33</v>
      </c>
      <c r="B7" s="66">
        <v>0</v>
      </c>
      <c r="C7" s="66">
        <f t="shared" ref="C7:I7" si="0">B8+1</f>
        <v>46</v>
      </c>
      <c r="D7" s="66">
        <f t="shared" si="0"/>
        <v>76</v>
      </c>
      <c r="E7" s="66">
        <f t="shared" si="0"/>
        <v>136</v>
      </c>
      <c r="F7" s="66">
        <f t="shared" si="0"/>
        <v>275</v>
      </c>
      <c r="G7" s="66">
        <f t="shared" si="0"/>
        <v>549</v>
      </c>
      <c r="H7" s="66">
        <f t="shared" si="0"/>
        <v>914</v>
      </c>
      <c r="I7" s="66">
        <f t="shared" si="0"/>
        <v>1461</v>
      </c>
      <c r="J7" s="66">
        <f>I8+1</f>
        <v>2191</v>
      </c>
      <c r="K7" s="63"/>
      <c r="L7" s="63"/>
      <c r="M7" s="63"/>
      <c r="N7" s="53"/>
      <c r="O7" s="53"/>
      <c r="P7" s="53"/>
      <c r="Q7" s="53"/>
      <c r="R7" s="53"/>
    </row>
    <row r="8" spans="1:20" x14ac:dyDescent="0.25">
      <c r="A8" s="65" t="s">
        <v>34</v>
      </c>
      <c r="B8" s="63">
        <v>45</v>
      </c>
      <c r="C8" s="63">
        <f>B8+30</f>
        <v>75</v>
      </c>
      <c r="D8" s="63">
        <v>135</v>
      </c>
      <c r="E8" s="63">
        <f>ROUND((365-183)/2+183,0)</f>
        <v>274</v>
      </c>
      <c r="F8" s="64">
        <f>ROUND((365*2-365)/2+365,0)</f>
        <v>548</v>
      </c>
      <c r="G8" s="63">
        <f>ROUND((365*3-365*2)/2+365*2,0)</f>
        <v>913</v>
      </c>
      <c r="H8" s="63">
        <f>ROUND((365*5-365*3)/2+365*3,0)</f>
        <v>1460</v>
      </c>
      <c r="I8" s="63">
        <f>ROUND((365*7-365*5)/2+365*5,0)</f>
        <v>2190</v>
      </c>
      <c r="J8" s="63">
        <f>ROUND((365*10-365*7)/2+365*7,0)</f>
        <v>3103</v>
      </c>
      <c r="K8" s="63"/>
      <c r="L8" s="63"/>
      <c r="M8" s="63"/>
      <c r="N8" s="53"/>
      <c r="O8" s="53"/>
      <c r="P8" s="58"/>
      <c r="Q8" s="53"/>
      <c r="R8" s="53"/>
    </row>
    <row r="9" spans="1:20" x14ac:dyDescent="0.25">
      <c r="A9" s="67"/>
      <c r="B9" s="63"/>
      <c r="C9" s="63"/>
      <c r="D9" s="63"/>
      <c r="E9" s="63"/>
      <c r="F9" s="64"/>
      <c r="G9" s="63"/>
      <c r="H9" s="63"/>
      <c r="I9" s="63"/>
      <c r="J9" s="63"/>
      <c r="K9" s="63"/>
      <c r="L9" s="63"/>
      <c r="M9" s="63"/>
      <c r="N9" s="53"/>
      <c r="O9" s="53"/>
      <c r="P9" s="53"/>
      <c r="Q9" s="53"/>
      <c r="R9" s="53"/>
    </row>
    <row r="11" spans="1:20" x14ac:dyDescent="0.25">
      <c r="A11" s="50" t="s">
        <v>4</v>
      </c>
      <c r="B11" s="121"/>
      <c r="C11" s="121"/>
      <c r="D11" s="121"/>
      <c r="E11" s="121"/>
      <c r="F11" s="122"/>
      <c r="G11" s="121"/>
      <c r="H11" s="121"/>
      <c r="I11" s="121"/>
      <c r="J11" s="121"/>
      <c r="K11" s="121"/>
      <c r="L11" s="121"/>
      <c r="M11" s="123"/>
      <c r="T11" s="32"/>
    </row>
    <row r="12" spans="1:20" ht="15.75" thickBot="1" x14ac:dyDescent="0.3">
      <c r="A12" s="124"/>
      <c r="C12" s="62"/>
      <c r="D12" s="62"/>
      <c r="E12" s="62"/>
      <c r="F12" s="125"/>
      <c r="G12" s="62"/>
      <c r="H12" s="62"/>
      <c r="I12" s="62"/>
      <c r="J12" s="62"/>
      <c r="K12" s="62"/>
      <c r="L12" s="62"/>
      <c r="M12" s="126"/>
    </row>
    <row r="13" spans="1:20" ht="15.75" thickBot="1" x14ac:dyDescent="0.3">
      <c r="A13" s="62" t="s">
        <v>32</v>
      </c>
      <c r="B13" s="127" t="s">
        <v>89</v>
      </c>
      <c r="C13" s="127" t="s">
        <v>90</v>
      </c>
      <c r="D13" s="127" t="s">
        <v>91</v>
      </c>
      <c r="E13" s="127">
        <v>1</v>
      </c>
      <c r="F13" s="128">
        <v>2</v>
      </c>
      <c r="G13" s="127">
        <v>3</v>
      </c>
      <c r="H13" s="127">
        <v>5</v>
      </c>
      <c r="I13" s="127">
        <v>7</v>
      </c>
      <c r="J13" s="127">
        <v>10</v>
      </c>
      <c r="K13" s="127">
        <v>15</v>
      </c>
      <c r="L13" s="127">
        <v>20</v>
      </c>
      <c r="M13" s="129">
        <v>30</v>
      </c>
      <c r="T13" s="32"/>
    </row>
    <row r="14" spans="1:20" x14ac:dyDescent="0.25">
      <c r="A14" s="65" t="s">
        <v>33</v>
      </c>
      <c r="B14" s="130">
        <v>0</v>
      </c>
      <c r="C14" s="130">
        <f>B15+1</f>
        <v>48</v>
      </c>
      <c r="D14" s="130">
        <f>C15+1</f>
        <v>228</v>
      </c>
      <c r="E14" s="130">
        <f>D15+1</f>
        <v>319</v>
      </c>
      <c r="F14" s="130">
        <f>E15+1</f>
        <v>549</v>
      </c>
      <c r="G14" s="131">
        <f t="shared" ref="G14:M14" si="1">F15+1</f>
        <v>914</v>
      </c>
      <c r="H14" s="131">
        <f t="shared" si="1"/>
        <v>1461</v>
      </c>
      <c r="I14" s="131">
        <f t="shared" si="1"/>
        <v>2191</v>
      </c>
      <c r="J14" s="131">
        <f t="shared" si="1"/>
        <v>3104</v>
      </c>
      <c r="K14" s="131">
        <f t="shared" si="1"/>
        <v>4564</v>
      </c>
      <c r="L14" s="131">
        <f t="shared" si="1"/>
        <v>6389</v>
      </c>
      <c r="M14" s="132">
        <f t="shared" si="1"/>
        <v>9126</v>
      </c>
      <c r="T14" s="32"/>
    </row>
    <row r="15" spans="1:20" x14ac:dyDescent="0.25">
      <c r="A15" s="65" t="s">
        <v>34</v>
      </c>
      <c r="B15" s="65">
        <f>ROUND((183-90)/2,0)</f>
        <v>47</v>
      </c>
      <c r="C15" s="65">
        <f>ROUND((270-183)/2+183,0)</f>
        <v>227</v>
      </c>
      <c r="D15" s="65">
        <f>ROUND((365-270)/2+270,0)</f>
        <v>318</v>
      </c>
      <c r="E15" s="65">
        <f>ROUND((365*2-365)/2+365,0)</f>
        <v>548</v>
      </c>
      <c r="F15" s="133">
        <f>ROUND((365*3-365*2)/2+365*2,0)</f>
        <v>913</v>
      </c>
      <c r="G15" s="65">
        <f>ROUND((365*5-365*3)/2+365*3,0)</f>
        <v>1460</v>
      </c>
      <c r="H15" s="65">
        <f>ROUND((365*7-365*5)/2+365*5,0)</f>
        <v>2190</v>
      </c>
      <c r="I15" s="65">
        <f>ROUND((365*10-365*7)/2+365*7,0)</f>
        <v>3103</v>
      </c>
      <c r="J15" s="65">
        <f>ROUND((365*15-365*10)/2+365*10,0)</f>
        <v>4563</v>
      </c>
      <c r="K15" s="65">
        <f>ROUND((365*20-365*15)/2+365*15,0)</f>
        <v>6388</v>
      </c>
      <c r="L15" s="65">
        <f>ROUND((365*30-365*20)/2+365*20,0)</f>
        <v>9125</v>
      </c>
      <c r="M15" s="134">
        <v>1000000</v>
      </c>
      <c r="S15" s="53"/>
      <c r="T15" s="32"/>
    </row>
    <row r="16" spans="1:20" x14ac:dyDescent="0.25">
      <c r="A16" s="67" t="s">
        <v>92</v>
      </c>
      <c r="B16" s="65"/>
      <c r="C16" s="65"/>
      <c r="D16" s="65"/>
      <c r="E16" s="65"/>
      <c r="F16" s="133"/>
      <c r="G16" s="65"/>
      <c r="H16" s="65"/>
      <c r="I16" s="65"/>
      <c r="J16" s="65"/>
      <c r="K16" s="65"/>
      <c r="L16" s="65"/>
      <c r="M16" s="134"/>
      <c r="S16" s="53"/>
      <c r="T16" s="32"/>
    </row>
    <row r="17" spans="1:20" x14ac:dyDescent="0.25">
      <c r="A17" s="59">
        <v>44925</v>
      </c>
      <c r="B17" s="98">
        <v>6.6799999999999998E-2</v>
      </c>
      <c r="C17" s="98">
        <v>6.8699999999999997E-2</v>
      </c>
      <c r="D17" s="98">
        <v>7.0599999999999996E-2</v>
      </c>
      <c r="E17" s="98">
        <v>7.2499999999999995E-2</v>
      </c>
      <c r="F17" s="98">
        <v>7.9500000000000001E-2</v>
      </c>
      <c r="G17" s="98">
        <v>8.5199999999999998E-2</v>
      </c>
      <c r="H17" s="98">
        <v>9.3700000000000006E-2</v>
      </c>
      <c r="I17" s="98">
        <v>9.8900000000000002E-2</v>
      </c>
      <c r="J17" s="98">
        <v>0.1031</v>
      </c>
      <c r="K17" s="98">
        <v>0.10630000000000001</v>
      </c>
      <c r="L17" s="98">
        <v>0.1082</v>
      </c>
      <c r="M17" s="98">
        <v>0.1104</v>
      </c>
      <c r="S17" s="53"/>
      <c r="T17" s="32"/>
    </row>
    <row r="18" spans="1:20" x14ac:dyDescent="0.25">
      <c r="A18" s="53"/>
      <c r="B18" s="53"/>
      <c r="C18" s="53"/>
      <c r="D18" s="53"/>
      <c r="E18" s="53"/>
      <c r="F18" s="135"/>
      <c r="G18" s="53"/>
      <c r="H18" s="53"/>
      <c r="I18" s="53"/>
      <c r="J18" s="53"/>
      <c r="K18" s="53"/>
      <c r="L18" s="53"/>
      <c r="M18" s="53"/>
      <c r="S18" s="99"/>
      <c r="T18" s="32"/>
    </row>
    <row r="19" spans="1:20" x14ac:dyDescent="0.25">
      <c r="A19" s="50"/>
      <c r="B19" s="51"/>
      <c r="C19" s="51"/>
      <c r="D19" s="51"/>
      <c r="E19" s="51"/>
      <c r="F19" s="136"/>
      <c r="G19" s="51"/>
      <c r="H19" s="51"/>
      <c r="I19" s="51"/>
      <c r="J19" s="51"/>
      <c r="K19" s="51"/>
      <c r="L19" s="51"/>
      <c r="M19" s="51"/>
      <c r="S19" s="100"/>
      <c r="T19" s="32"/>
    </row>
    <row r="20" spans="1:20" x14ac:dyDescent="0.25">
      <c r="S20" s="99"/>
      <c r="T20" s="32"/>
    </row>
    <row r="21" spans="1:20" x14ac:dyDescent="0.25">
      <c r="S21" s="53"/>
      <c r="T21" s="32"/>
    </row>
    <row r="22" spans="1:20" x14ac:dyDescent="0.25">
      <c r="S22" s="53"/>
    </row>
    <row r="23" spans="1:20" x14ac:dyDescent="0.25">
      <c r="S23" s="53"/>
      <c r="T23" s="32"/>
    </row>
    <row r="42" spans="3:6" x14ac:dyDescent="0.25">
      <c r="C42" s="14"/>
      <c r="D42" s="14"/>
      <c r="E42" s="14"/>
      <c r="F42" s="14"/>
    </row>
    <row r="45" spans="3:6" x14ac:dyDescent="0.25">
      <c r="C45" s="43"/>
      <c r="D45" s="43"/>
    </row>
    <row r="46" spans="3:6" x14ac:dyDescent="0.25">
      <c r="C46" s="43"/>
      <c r="D46" s="43"/>
    </row>
    <row r="49" spans="2:3" s="103" customFormat="1" x14ac:dyDescent="0.25"/>
    <row r="53" spans="2:3" x14ac:dyDescent="0.25">
      <c r="B53" s="98"/>
      <c r="C53" s="98"/>
    </row>
    <row r="55" spans="2:3" x14ac:dyDescent="0.25">
      <c r="B55" s="104"/>
      <c r="C55" s="104"/>
    </row>
  </sheetData>
  <hyperlinks>
    <hyperlink ref="P2" r:id="rId1"/>
    <hyperlink ref="P4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A39"/>
  <sheetViews>
    <sheetView showGridLines="0" topLeftCell="K1" workbookViewId="0">
      <selection activeCell="T25" sqref="T25"/>
    </sheetView>
  </sheetViews>
  <sheetFormatPr defaultRowHeight="15" x14ac:dyDescent="0.25"/>
  <cols>
    <col min="2" max="2" width="14.28515625" customWidth="1"/>
    <col min="3" max="5" width="16.42578125" customWidth="1"/>
    <col min="6" max="6" width="17.85546875" customWidth="1"/>
    <col min="7" max="7" width="19.28515625" customWidth="1"/>
    <col min="9" max="9" width="11.7109375" customWidth="1"/>
    <col min="10" max="13" width="16.42578125" customWidth="1"/>
    <col min="14" max="14" width="16.140625" customWidth="1"/>
    <col min="16" max="16" width="21" customWidth="1"/>
    <col min="17" max="17" width="15.85546875" customWidth="1"/>
    <col min="18" max="18" width="16.7109375" customWidth="1"/>
    <col min="19" max="19" width="16" customWidth="1"/>
    <col min="20" max="21" width="16.42578125" customWidth="1"/>
    <col min="23" max="26" width="15.85546875" customWidth="1"/>
    <col min="27" max="27" width="14.5703125" customWidth="1"/>
  </cols>
  <sheetData>
    <row r="1" spans="1:27" x14ac:dyDescent="0.25">
      <c r="W1" t="s">
        <v>62</v>
      </c>
    </row>
    <row r="2" spans="1:27" x14ac:dyDescent="0.25">
      <c r="B2" s="96" t="s">
        <v>43</v>
      </c>
      <c r="C2" s="139" t="s">
        <v>87</v>
      </c>
      <c r="D2" s="139" t="s">
        <v>88</v>
      </c>
      <c r="E2" s="139" t="s">
        <v>84</v>
      </c>
      <c r="F2" s="139" t="s">
        <v>85</v>
      </c>
      <c r="G2" s="139" t="s">
        <v>86</v>
      </c>
      <c r="I2" s="96" t="s">
        <v>43</v>
      </c>
      <c r="J2" s="139" t="s">
        <v>87</v>
      </c>
      <c r="K2" s="139" t="s">
        <v>88</v>
      </c>
      <c r="L2" s="139" t="s">
        <v>84</v>
      </c>
      <c r="M2" s="139" t="s">
        <v>85</v>
      </c>
      <c r="N2" s="139" t="s">
        <v>86</v>
      </c>
      <c r="W2" s="111" t="s">
        <v>87</v>
      </c>
      <c r="X2" s="111" t="s">
        <v>88</v>
      </c>
      <c r="Y2" s="111" t="s">
        <v>84</v>
      </c>
      <c r="Z2" s="111" t="s">
        <v>85</v>
      </c>
      <c r="AA2" s="111" t="s">
        <v>86</v>
      </c>
    </row>
    <row r="3" spans="1:27" x14ac:dyDescent="0.25">
      <c r="A3">
        <v>1</v>
      </c>
      <c r="B3" s="1">
        <v>44895</v>
      </c>
      <c r="C3" s="140">
        <v>67.77</v>
      </c>
      <c r="D3" s="140">
        <v>75.430000000000007</v>
      </c>
      <c r="E3" s="141">
        <v>77.63</v>
      </c>
      <c r="F3" s="140">
        <v>169.229996</v>
      </c>
      <c r="G3" s="141">
        <v>78.41</v>
      </c>
      <c r="I3" s="1">
        <v>44895</v>
      </c>
      <c r="J3" s="110">
        <f>LN(C3/C4)</f>
        <v>0.12060907028595137</v>
      </c>
      <c r="K3" s="110">
        <f>LN(D3/D4)</f>
        <v>-0.10092273682697739</v>
      </c>
      <c r="L3" s="110">
        <f>LN(E3/E4)</f>
        <v>0.25660988786240463</v>
      </c>
      <c r="M3" s="110">
        <f>LN(F3/F4)</f>
        <v>0.22620617385327871</v>
      </c>
      <c r="N3" s="110">
        <f>LN(G3/G4)</f>
        <v>-6.3852786776938744E-2</v>
      </c>
      <c r="W3" s="113">
        <f>_xlfn.STDEV.S(J3:J38)</f>
        <v>0.18736457607830648</v>
      </c>
      <c r="X3" s="113">
        <f>_xlfn.STDEV.S(K3:K38)</f>
        <v>0.18463181203842488</v>
      </c>
      <c r="Y3" s="113">
        <f>_xlfn.STDEV.S(L3:L38)</f>
        <v>0.16045773212327669</v>
      </c>
      <c r="Z3" s="113">
        <f>_xlfn.STDEV.S(M3:M38)</f>
        <v>0.14569038145939303</v>
      </c>
      <c r="AA3" s="113">
        <f>_xlfn.STDEV.S(N3:N38)</f>
        <v>0.13994517119003472</v>
      </c>
    </row>
    <row r="4" spans="1:27" x14ac:dyDescent="0.25">
      <c r="A4">
        <v>2</v>
      </c>
      <c r="B4" s="1">
        <v>44865</v>
      </c>
      <c r="C4" s="140">
        <v>60.07</v>
      </c>
      <c r="D4" s="140">
        <v>83.44</v>
      </c>
      <c r="E4" s="141">
        <v>60.06</v>
      </c>
      <c r="F4" s="140">
        <v>134.970001</v>
      </c>
      <c r="G4" s="141">
        <v>83.58</v>
      </c>
      <c r="I4" s="1">
        <v>44865</v>
      </c>
      <c r="J4" s="110">
        <f t="shared" ref="J4:J39" si="0">LN(C4/C5)</f>
        <v>8.8359198342346748E-2</v>
      </c>
      <c r="K4" s="110">
        <f>LN(D4/D5)</f>
        <v>0.1256186637540094</v>
      </c>
      <c r="L4" s="110">
        <f t="shared" ref="L4:L38" si="1">LN(E4/E5)</f>
        <v>-5.3488684950986118E-2</v>
      </c>
      <c r="M4" s="110">
        <f t="shared" ref="M4:M38" si="2">LN(F4/F5)</f>
        <v>0.1060440442584431</v>
      </c>
      <c r="N4" s="110">
        <f t="shared" ref="N4:N39" si="3">LN(G4/G5)</f>
        <v>-2.9356661641613775E-2</v>
      </c>
      <c r="W4" s="102"/>
      <c r="X4" s="102"/>
      <c r="Y4" s="102"/>
      <c r="Z4" s="102"/>
    </row>
    <row r="5" spans="1:27" x14ac:dyDescent="0.25">
      <c r="A5">
        <v>3</v>
      </c>
      <c r="B5" s="1">
        <v>44834</v>
      </c>
      <c r="C5" s="140">
        <v>54.99</v>
      </c>
      <c r="D5" s="140">
        <v>73.59</v>
      </c>
      <c r="E5" s="141">
        <v>63.36</v>
      </c>
      <c r="F5" s="140">
        <v>121.389999</v>
      </c>
      <c r="G5" s="141">
        <v>86.07</v>
      </c>
      <c r="I5" s="1">
        <v>44834</v>
      </c>
      <c r="J5" s="110">
        <f t="shared" si="0"/>
        <v>-0.22564995484939313</v>
      </c>
      <c r="K5" s="110">
        <f t="shared" ref="K5:K38" si="4">LN(D5/D6)</f>
        <v>-8.8505029246413028E-2</v>
      </c>
      <c r="L5" s="110">
        <f t="shared" si="1"/>
        <v>-0.29228792647541518</v>
      </c>
      <c r="M5" s="110">
        <f t="shared" si="2"/>
        <v>-0.217873925435219</v>
      </c>
      <c r="N5" s="110">
        <f t="shared" si="3"/>
        <v>-8.2158600418533914E-2</v>
      </c>
      <c r="W5" s="102"/>
      <c r="X5" s="102"/>
      <c r="Y5" s="102"/>
      <c r="Z5" s="102"/>
    </row>
    <row r="6" spans="1:27" x14ac:dyDescent="0.25">
      <c r="A6">
        <v>4</v>
      </c>
      <c r="B6" s="1">
        <v>44804</v>
      </c>
      <c r="C6" s="140">
        <v>68.91</v>
      </c>
      <c r="D6" s="140">
        <v>80.400000000000006</v>
      </c>
      <c r="E6" s="141">
        <v>84.87</v>
      </c>
      <c r="F6" s="140">
        <v>150.94000199999999</v>
      </c>
      <c r="G6" s="141">
        <v>93.44</v>
      </c>
      <c r="I6" s="1">
        <v>44804</v>
      </c>
      <c r="J6" s="110">
        <f t="shared" si="0"/>
        <v>-9.8721197130997057E-2</v>
      </c>
      <c r="K6" s="110">
        <f t="shared" si="4"/>
        <v>-0.25602966223125212</v>
      </c>
      <c r="L6" s="110">
        <f t="shared" si="1"/>
        <v>-0.10716164979945736</v>
      </c>
      <c r="M6" s="110">
        <f t="shared" si="2"/>
        <v>-0.18508925818282343</v>
      </c>
      <c r="N6" s="110">
        <f t="shared" si="3"/>
        <v>7.6828344461269349E-2</v>
      </c>
      <c r="W6" s="102"/>
      <c r="X6" s="102"/>
      <c r="Y6" s="102"/>
      <c r="Z6" s="102"/>
    </row>
    <row r="7" spans="1:27" x14ac:dyDescent="0.25">
      <c r="A7">
        <v>5</v>
      </c>
      <c r="B7" s="1">
        <v>44773</v>
      </c>
      <c r="C7" s="140">
        <v>76.06</v>
      </c>
      <c r="D7" s="140">
        <v>103.86</v>
      </c>
      <c r="E7" s="141">
        <v>94.47</v>
      </c>
      <c r="F7" s="140">
        <v>181.63000500000001</v>
      </c>
      <c r="G7" s="141">
        <v>86.53</v>
      </c>
      <c r="I7" s="1">
        <v>44773</v>
      </c>
      <c r="J7" s="110">
        <f t="shared" si="0"/>
        <v>0.21313594579777501</v>
      </c>
      <c r="K7" s="110">
        <f t="shared" si="4"/>
        <v>-3.8809572342876124E-2</v>
      </c>
      <c r="L7" s="110">
        <f t="shared" si="1"/>
        <v>0.21138381672490922</v>
      </c>
      <c r="M7" s="110">
        <f t="shared" si="2"/>
        <v>0.18079219670488189</v>
      </c>
      <c r="N7" s="110">
        <f t="shared" si="3"/>
        <v>0.21428426308730072</v>
      </c>
      <c r="W7" s="101"/>
      <c r="X7" s="101"/>
      <c r="Y7" s="101"/>
      <c r="Z7" s="101"/>
    </row>
    <row r="8" spans="1:27" x14ac:dyDescent="0.25">
      <c r="A8">
        <v>6</v>
      </c>
      <c r="B8" s="1">
        <v>44742</v>
      </c>
      <c r="C8" s="140">
        <v>61.46</v>
      </c>
      <c r="D8" s="140">
        <v>107.97</v>
      </c>
      <c r="E8" s="141">
        <v>76.47</v>
      </c>
      <c r="F8" s="140">
        <v>151.58999600000001</v>
      </c>
      <c r="G8" s="141">
        <v>69.84</v>
      </c>
      <c r="I8" s="1">
        <v>44742</v>
      </c>
      <c r="J8" s="110">
        <f t="shared" si="0"/>
        <v>-0.35336651584540124</v>
      </c>
      <c r="K8" s="110">
        <f t="shared" si="4"/>
        <v>4.8277876705294142E-3</v>
      </c>
      <c r="L8" s="110">
        <f t="shared" si="1"/>
        <v>-0.28670081440032485</v>
      </c>
      <c r="M8" s="110">
        <f t="shared" si="2"/>
        <v>-0.20843069230889666</v>
      </c>
      <c r="N8" s="110">
        <f t="shared" si="3"/>
        <v>-0.19891188630851769</v>
      </c>
      <c r="W8" s="101"/>
      <c r="X8" s="101"/>
      <c r="Y8" s="101"/>
      <c r="Z8" s="101"/>
    </row>
    <row r="9" spans="1:27" x14ac:dyDescent="0.25">
      <c r="A9">
        <v>7</v>
      </c>
      <c r="B9" s="1">
        <v>44712</v>
      </c>
      <c r="C9" s="140">
        <v>87.51</v>
      </c>
      <c r="D9" s="140">
        <v>107.45</v>
      </c>
      <c r="E9" s="141">
        <v>101.86</v>
      </c>
      <c r="F9" s="140">
        <v>186.720001</v>
      </c>
      <c r="G9" s="141">
        <v>85.21</v>
      </c>
      <c r="I9" s="1">
        <v>44712</v>
      </c>
      <c r="J9" s="110">
        <f t="shared" si="0"/>
        <v>-0.12880650088266832</v>
      </c>
      <c r="K9" s="110">
        <f t="shared" si="4"/>
        <v>7.6164708688526608E-2</v>
      </c>
      <c r="L9" s="110">
        <f t="shared" si="1"/>
        <v>0.17484905473966875</v>
      </c>
      <c r="M9" s="110">
        <f t="shared" si="2"/>
        <v>6.7170246009553855E-3</v>
      </c>
      <c r="N9" s="110">
        <f t="shared" si="3"/>
        <v>-3.1422245551046321E-2</v>
      </c>
      <c r="Q9" t="s">
        <v>100</v>
      </c>
      <c r="W9" s="101"/>
      <c r="X9" s="101"/>
      <c r="Y9" s="101"/>
      <c r="Z9" s="101"/>
    </row>
    <row r="10" spans="1:27" x14ac:dyDescent="0.25">
      <c r="A10">
        <v>8</v>
      </c>
      <c r="B10" s="1">
        <v>44681</v>
      </c>
      <c r="C10" s="140">
        <v>99.54</v>
      </c>
      <c r="D10" s="140">
        <v>99.57</v>
      </c>
      <c r="E10" s="141">
        <v>85.52</v>
      </c>
      <c r="F10" s="140">
        <v>185.470001</v>
      </c>
      <c r="G10" s="141">
        <v>87.93</v>
      </c>
      <c r="I10" s="1">
        <v>44681</v>
      </c>
      <c r="J10" s="110">
        <f t="shared" si="0"/>
        <v>-0.30914980207588699</v>
      </c>
      <c r="K10" s="110">
        <f t="shared" si="4"/>
        <v>-0.16327690268374404</v>
      </c>
      <c r="L10" s="110">
        <f t="shared" si="1"/>
        <v>-0.24571202675006346</v>
      </c>
      <c r="M10" s="110">
        <f t="shared" si="2"/>
        <v>-0.38606563886857714</v>
      </c>
      <c r="N10" s="110">
        <f t="shared" si="3"/>
        <v>-0.27402734528653733</v>
      </c>
      <c r="P10" s="97"/>
      <c r="Q10" s="139" t="s">
        <v>87</v>
      </c>
      <c r="R10" s="139" t="s">
        <v>88</v>
      </c>
      <c r="S10" s="139" t="s">
        <v>84</v>
      </c>
      <c r="T10" s="139" t="s">
        <v>85</v>
      </c>
      <c r="U10" s="139" t="s">
        <v>86</v>
      </c>
      <c r="W10" s="114"/>
      <c r="X10" s="114"/>
      <c r="Y10" s="114"/>
      <c r="Z10" s="114"/>
    </row>
    <row r="11" spans="1:27" x14ac:dyDescent="0.25">
      <c r="A11">
        <v>9</v>
      </c>
      <c r="B11" s="1">
        <v>44651</v>
      </c>
      <c r="C11" s="140">
        <v>135.6</v>
      </c>
      <c r="D11" s="140">
        <v>117.23</v>
      </c>
      <c r="E11" s="141">
        <v>109.34</v>
      </c>
      <c r="F11" s="140">
        <v>272.85998499999999</v>
      </c>
      <c r="G11" s="141">
        <v>115.65</v>
      </c>
      <c r="I11" s="1">
        <v>44651</v>
      </c>
      <c r="J11" s="110">
        <f t="shared" si="0"/>
        <v>6.8518900390314746E-2</v>
      </c>
      <c r="K11" s="110">
        <f t="shared" si="4"/>
        <v>-0.11486903453408226</v>
      </c>
      <c r="L11" s="110">
        <f t="shared" si="1"/>
        <v>-0.1152800582500125</v>
      </c>
      <c r="M11" s="110">
        <f t="shared" si="2"/>
        <v>0.11240548140012872</v>
      </c>
      <c r="N11" s="110">
        <f t="shared" si="3"/>
        <v>4.0317726238849418E-2</v>
      </c>
      <c r="P11" s="139" t="s">
        <v>87</v>
      </c>
      <c r="Q11" s="112">
        <f>CORREL(J3:J38,J3:J38)</f>
        <v>0.99999999999999978</v>
      </c>
      <c r="R11" s="113">
        <f>CORREL(J3:J38,K3:K38)</f>
        <v>0.25613805904678838</v>
      </c>
      <c r="S11" s="113">
        <f>CORREL(J3:J38,L3:L38)</f>
        <v>0.54888184036973553</v>
      </c>
      <c r="T11" s="113">
        <f>CORREL(J3:J38,M3:M38)</f>
        <v>0.65534029374124725</v>
      </c>
      <c r="U11" s="113">
        <f>CORREL(J3:J38,N3:N38)</f>
        <v>0.61943703201415334</v>
      </c>
      <c r="W11" s="101"/>
      <c r="X11" s="101"/>
      <c r="Y11" s="101"/>
      <c r="Z11" s="101"/>
    </row>
    <row r="12" spans="1:27" x14ac:dyDescent="0.25">
      <c r="A12">
        <v>10</v>
      </c>
      <c r="B12" s="1">
        <v>44620</v>
      </c>
      <c r="C12" s="140">
        <v>126.62</v>
      </c>
      <c r="D12" s="140">
        <v>131.5</v>
      </c>
      <c r="E12" s="141">
        <v>122.7</v>
      </c>
      <c r="F12" s="140">
        <v>243.85000600000001</v>
      </c>
      <c r="G12" s="141">
        <v>111.08</v>
      </c>
      <c r="I12" s="1">
        <v>44620</v>
      </c>
      <c r="J12" s="110">
        <f t="shared" si="0"/>
        <v>4.5152026365467987E-2</v>
      </c>
      <c r="K12" s="110">
        <f t="shared" si="4"/>
        <v>-0.15195380893968241</v>
      </c>
      <c r="L12" s="110">
        <f t="shared" si="1"/>
        <v>7.9879721771456053E-2</v>
      </c>
      <c r="M12" s="110">
        <f t="shared" si="2"/>
        <v>-4.1333159683842177E-3</v>
      </c>
      <c r="N12" s="110">
        <f t="shared" si="3"/>
        <v>-0.42719347852135287</v>
      </c>
      <c r="P12" s="139" t="s">
        <v>88</v>
      </c>
      <c r="Q12" s="113">
        <f>CORREL(J3:J38,K3:K38)</f>
        <v>0.25613805904678838</v>
      </c>
      <c r="R12" s="112">
        <f>CORREL(K3:K38,K3:K38)</f>
        <v>0.99999999999999978</v>
      </c>
      <c r="S12" s="113">
        <f>CORREL(K3:K38,L3:L38)</f>
        <v>6.0173854678676711E-2</v>
      </c>
      <c r="T12" s="113">
        <f>CORREL(K3:K38,M3:M38)</f>
        <v>0.29466029891074996</v>
      </c>
      <c r="U12" s="113">
        <f>CORREL(K3:K38,N3:N38)</f>
        <v>0.209648393303596</v>
      </c>
      <c r="W12" s="102"/>
      <c r="X12" s="102"/>
      <c r="Y12" s="102"/>
      <c r="Z12" s="102"/>
    </row>
    <row r="13" spans="1:27" x14ac:dyDescent="0.25">
      <c r="A13">
        <v>11</v>
      </c>
      <c r="B13" s="1">
        <v>44592</v>
      </c>
      <c r="C13" s="140">
        <v>121.03</v>
      </c>
      <c r="D13" s="140">
        <v>153.08000000000001</v>
      </c>
      <c r="E13" s="141">
        <v>113.28</v>
      </c>
      <c r="F13" s="140">
        <v>244.86000100000001</v>
      </c>
      <c r="G13" s="141">
        <v>170.28</v>
      </c>
      <c r="I13" s="1">
        <v>44592</v>
      </c>
      <c r="J13" s="110">
        <f t="shared" si="0"/>
        <v>-0.29525474836319765</v>
      </c>
      <c r="K13" s="110">
        <f t="shared" si="4"/>
        <v>-0.18728483122497661</v>
      </c>
      <c r="L13" s="110">
        <f t="shared" si="1"/>
        <v>-0.24223971443406253</v>
      </c>
      <c r="M13" s="110">
        <f t="shared" si="2"/>
        <v>-0.18326717329095243</v>
      </c>
      <c r="N13" s="110">
        <f t="shared" si="3"/>
        <v>-0.10551906545600745</v>
      </c>
      <c r="P13" s="139" t="s">
        <v>84</v>
      </c>
      <c r="Q13" s="113">
        <f>CORREL(J3:J38,L3:L38)</f>
        <v>0.54888184036973553</v>
      </c>
      <c r="R13" s="113">
        <f>CORREL(K3:K38,L3:L38)</f>
        <v>6.0173854678676711E-2</v>
      </c>
      <c r="S13" s="112">
        <f>CORREL(L3:L38,L3:L38)</f>
        <v>0.99999999999999989</v>
      </c>
      <c r="T13" s="113">
        <f>CORREL(L3:L38,M3:M38)</f>
        <v>0.76019734129524197</v>
      </c>
      <c r="U13" s="113">
        <f>CORREL(L3:L38,N3:N38)</f>
        <v>0.29731564880294131</v>
      </c>
      <c r="W13" s="102"/>
      <c r="X13" s="102"/>
      <c r="Y13" s="102"/>
      <c r="Z13" s="102"/>
    </row>
    <row r="14" spans="1:27" x14ac:dyDescent="0.25">
      <c r="A14">
        <v>12</v>
      </c>
      <c r="B14" s="1">
        <v>44561</v>
      </c>
      <c r="C14" s="140">
        <v>162.6</v>
      </c>
      <c r="D14" s="140">
        <v>184.61</v>
      </c>
      <c r="E14" s="141">
        <v>144.33000000000001</v>
      </c>
      <c r="F14" s="140">
        <v>294.10998499999999</v>
      </c>
      <c r="G14" s="141">
        <v>189.23</v>
      </c>
      <c r="I14" s="1">
        <v>44561</v>
      </c>
      <c r="J14" s="110">
        <f t="shared" si="0"/>
        <v>-0.24783016382658038</v>
      </c>
      <c r="K14" s="110">
        <f t="shared" si="4"/>
        <v>-0.13555388422456263</v>
      </c>
      <c r="L14" s="110">
        <f t="shared" si="1"/>
        <v>-9.2831723124162491E-2</v>
      </c>
      <c r="M14" s="110">
        <f t="shared" si="2"/>
        <v>-0.10527219105648102</v>
      </c>
      <c r="N14" s="110">
        <f t="shared" si="3"/>
        <v>2.3202152773697492E-2</v>
      </c>
      <c r="P14" s="139" t="s">
        <v>85</v>
      </c>
      <c r="Q14" s="113">
        <f>CORREL(J3:J38,M3:M38)</f>
        <v>0.65534029374124725</v>
      </c>
      <c r="R14" s="113">
        <f>CORREL(K3:K38,M3:M38)</f>
        <v>0.29466029891074996</v>
      </c>
      <c r="S14" s="113">
        <f>CORREL(L3:L38,M3:M38)</f>
        <v>0.76019734129524197</v>
      </c>
      <c r="T14" s="112">
        <f>CORREL(M3:M38,M3:M38)</f>
        <v>0.99999999999999978</v>
      </c>
      <c r="U14" s="113">
        <f>CORREL(M3:M38,N3:N38)</f>
        <v>0.40525070343829267</v>
      </c>
      <c r="W14" s="102"/>
      <c r="X14" s="102"/>
      <c r="Y14" s="102"/>
      <c r="Z14" s="102"/>
    </row>
    <row r="15" spans="1:27" x14ac:dyDescent="0.25">
      <c r="A15">
        <v>13</v>
      </c>
      <c r="B15" s="1">
        <v>44530</v>
      </c>
      <c r="C15" s="140">
        <v>208.33</v>
      </c>
      <c r="D15" s="140">
        <v>211.41</v>
      </c>
      <c r="E15" s="141">
        <v>158.37</v>
      </c>
      <c r="F15" s="140">
        <v>326.76001000000002</v>
      </c>
      <c r="G15" s="141">
        <v>184.89</v>
      </c>
      <c r="I15" s="1">
        <v>44530</v>
      </c>
      <c r="J15" s="110">
        <f t="shared" si="0"/>
        <v>-0.20017747505028696</v>
      </c>
      <c r="K15" s="110">
        <f t="shared" si="4"/>
        <v>-0.26169818378158849</v>
      </c>
      <c r="L15" s="110">
        <f t="shared" si="1"/>
        <v>0.27552749251681674</v>
      </c>
      <c r="M15" s="110">
        <f t="shared" si="2"/>
        <v>0.24533844447595005</v>
      </c>
      <c r="N15" s="110">
        <f t="shared" si="3"/>
        <v>-0.22951619325671599</v>
      </c>
      <c r="P15" s="139" t="s">
        <v>86</v>
      </c>
      <c r="Q15" s="113">
        <f>CORREL(J3:J38,N3:N38)</f>
        <v>0.61943703201415334</v>
      </c>
      <c r="R15" s="113">
        <f>CORREL(K3:K38,N3:N38)</f>
        <v>0.209648393303596</v>
      </c>
      <c r="S15" s="113">
        <f>CORREL(L3:L38,N3:N38)</f>
        <v>0.29731564880294131</v>
      </c>
      <c r="T15" s="113">
        <f>CORREL(M3:M38,N3:N38)</f>
        <v>0.40525070343829267</v>
      </c>
      <c r="U15" s="112">
        <f>CORREL(N3:N38,N3:N38)</f>
        <v>1</v>
      </c>
    </row>
    <row r="16" spans="1:27" x14ac:dyDescent="0.25">
      <c r="A16">
        <v>14</v>
      </c>
      <c r="B16" s="1">
        <v>44500</v>
      </c>
      <c r="C16" s="140">
        <v>254.5</v>
      </c>
      <c r="D16" s="140">
        <v>274.64999999999998</v>
      </c>
      <c r="E16" s="141">
        <v>120.23</v>
      </c>
      <c r="F16" s="140">
        <v>255.66999799999999</v>
      </c>
      <c r="G16" s="141">
        <v>232.59</v>
      </c>
      <c r="I16" s="1">
        <v>44500</v>
      </c>
      <c r="J16" s="110">
        <f t="shared" si="0"/>
        <v>5.9328801636289785E-2</v>
      </c>
      <c r="K16" s="110">
        <f t="shared" si="4"/>
        <v>4.9063276283651688E-2</v>
      </c>
      <c r="L16" s="110">
        <f t="shared" si="1"/>
        <v>0.1556489321468138</v>
      </c>
      <c r="M16" s="110">
        <f t="shared" si="2"/>
        <v>0.21039608173678184</v>
      </c>
      <c r="N16" s="110">
        <f t="shared" si="3"/>
        <v>-0.11221175041634159</v>
      </c>
    </row>
    <row r="17" spans="1:14" x14ac:dyDescent="0.25">
      <c r="A17">
        <v>15</v>
      </c>
      <c r="B17" s="1">
        <v>44469</v>
      </c>
      <c r="C17" s="140">
        <v>239.84</v>
      </c>
      <c r="D17" s="140">
        <v>261.5</v>
      </c>
      <c r="E17" s="141">
        <v>102.9</v>
      </c>
      <c r="F17" s="140">
        <v>207.16000399999999</v>
      </c>
      <c r="G17" s="141">
        <v>260.20999999999998</v>
      </c>
      <c r="I17" s="1">
        <v>44469</v>
      </c>
      <c r="J17" s="110">
        <f t="shared" si="0"/>
        <v>-0.1112761060811978</v>
      </c>
      <c r="K17" s="110">
        <f t="shared" si="4"/>
        <v>-0.10172101350807239</v>
      </c>
      <c r="L17" s="110">
        <f t="shared" si="1"/>
        <v>-7.324684902935541E-2</v>
      </c>
      <c r="M17" s="110">
        <f t="shared" si="2"/>
        <v>-7.7484750626200027E-2</v>
      </c>
      <c r="N17" s="110">
        <f t="shared" si="3"/>
        <v>-0.1037605276240985</v>
      </c>
    </row>
    <row r="18" spans="1:14" x14ac:dyDescent="0.25">
      <c r="A18">
        <v>16</v>
      </c>
      <c r="B18" s="1">
        <v>44439</v>
      </c>
      <c r="C18" s="140">
        <v>268.07</v>
      </c>
      <c r="D18" s="140">
        <v>289.5</v>
      </c>
      <c r="E18" s="141">
        <v>110.72</v>
      </c>
      <c r="F18" s="140">
        <v>223.85000600000001</v>
      </c>
      <c r="G18" s="141">
        <v>288.66000000000003</v>
      </c>
      <c r="I18" s="1">
        <v>44439</v>
      </c>
      <c r="J18" s="110">
        <f t="shared" si="0"/>
        <v>8.0807725856704399E-2</v>
      </c>
      <c r="K18" s="110">
        <f t="shared" si="4"/>
        <v>-0.26700341388383725</v>
      </c>
      <c r="L18" s="110">
        <f t="shared" si="1"/>
        <v>4.1774549453605175E-2</v>
      </c>
      <c r="M18" s="110">
        <f t="shared" si="2"/>
        <v>0.13802791065080164</v>
      </c>
      <c r="N18" s="110">
        <f t="shared" si="3"/>
        <v>4.6553009352892145E-2</v>
      </c>
    </row>
    <row r="19" spans="1:14" x14ac:dyDescent="0.25">
      <c r="A19">
        <v>17</v>
      </c>
      <c r="B19" s="1">
        <v>44408</v>
      </c>
      <c r="C19" s="140">
        <v>247.26</v>
      </c>
      <c r="D19" s="140">
        <v>378.1</v>
      </c>
      <c r="E19" s="141">
        <v>106.19</v>
      </c>
      <c r="F19" s="140">
        <v>194.990005</v>
      </c>
      <c r="G19" s="141">
        <v>275.52999999999997</v>
      </c>
      <c r="I19" s="1">
        <v>44408</v>
      </c>
      <c r="J19" s="110">
        <f t="shared" si="0"/>
        <v>1.409219753160971E-2</v>
      </c>
      <c r="K19" s="110">
        <f t="shared" si="4"/>
        <v>-2.3343498508267654E-2</v>
      </c>
      <c r="L19" s="110">
        <f t="shared" si="1"/>
        <v>0.12268011840933003</v>
      </c>
      <c r="M19" s="110">
        <f t="shared" si="2"/>
        <v>-2.5494027900101017E-2</v>
      </c>
      <c r="N19" s="110">
        <f t="shared" si="3"/>
        <v>-5.627487721555624E-2</v>
      </c>
    </row>
    <row r="20" spans="1:14" x14ac:dyDescent="0.25">
      <c r="A20">
        <v>18</v>
      </c>
      <c r="B20" s="1">
        <v>44377</v>
      </c>
      <c r="C20" s="140">
        <v>243.8</v>
      </c>
      <c r="D20" s="140">
        <v>387.03</v>
      </c>
      <c r="E20" s="141">
        <v>93.93</v>
      </c>
      <c r="F20" s="140">
        <v>200.02499399999999</v>
      </c>
      <c r="G20" s="141">
        <v>291.48</v>
      </c>
      <c r="I20" s="1">
        <v>44377</v>
      </c>
      <c r="J20" s="110">
        <f t="shared" si="0"/>
        <v>9.1331231840078742E-2</v>
      </c>
      <c r="K20" s="110">
        <f t="shared" si="4"/>
        <v>0.15478390613635432</v>
      </c>
      <c r="L20" s="110">
        <f t="shared" si="1"/>
        <v>0.15952368899945901</v>
      </c>
      <c r="M20" s="110">
        <f t="shared" si="2"/>
        <v>0.20810280270813322</v>
      </c>
      <c r="N20" s="110">
        <f t="shared" si="3"/>
        <v>0.11421284166805898</v>
      </c>
    </row>
    <row r="21" spans="1:14" x14ac:dyDescent="0.25">
      <c r="A21">
        <v>19</v>
      </c>
      <c r="B21" s="1">
        <v>44347</v>
      </c>
      <c r="C21" s="140">
        <v>222.52</v>
      </c>
      <c r="D21" s="140">
        <v>331.53</v>
      </c>
      <c r="E21" s="141">
        <v>80.08</v>
      </c>
      <c r="F21" s="140">
        <v>162.445007</v>
      </c>
      <c r="G21" s="141">
        <v>260.02</v>
      </c>
      <c r="I21" s="1">
        <v>44347</v>
      </c>
      <c r="J21" s="110">
        <f t="shared" si="0"/>
        <v>-9.5506261440273826E-2</v>
      </c>
      <c r="K21" s="110">
        <f t="shared" si="4"/>
        <v>3.6741961116662496E-2</v>
      </c>
      <c r="L21" s="110">
        <f t="shared" si="1"/>
        <v>-1.9048194970694588E-2</v>
      </c>
      <c r="M21" s="110">
        <f t="shared" si="2"/>
        <v>7.907109241068408E-2</v>
      </c>
      <c r="N21" s="110">
        <f t="shared" si="3"/>
        <v>-8.692210726886784E-3</v>
      </c>
    </row>
    <row r="22" spans="1:14" x14ac:dyDescent="0.25">
      <c r="A22">
        <v>20</v>
      </c>
      <c r="B22" s="1">
        <v>44316</v>
      </c>
      <c r="C22" s="140">
        <v>244.82</v>
      </c>
      <c r="D22" s="140">
        <v>319.57</v>
      </c>
      <c r="E22" s="141">
        <v>81.62</v>
      </c>
      <c r="F22" s="140">
        <v>150.095001</v>
      </c>
      <c r="G22" s="141">
        <v>262.29000000000002</v>
      </c>
      <c r="I22" s="1">
        <v>44316</v>
      </c>
      <c r="J22" s="110">
        <f t="shared" si="0"/>
        <v>7.5352989103406223E-2</v>
      </c>
      <c r="K22" s="110">
        <f t="shared" si="4"/>
        <v>-5.3677999247914738E-3</v>
      </c>
      <c r="L22" s="110">
        <f t="shared" si="1"/>
        <v>3.8975705189296994E-2</v>
      </c>
      <c r="M22" s="110">
        <f t="shared" si="2"/>
        <v>0.11729806549891418</v>
      </c>
      <c r="N22" s="110">
        <f t="shared" si="3"/>
        <v>7.7047971598675991E-2</v>
      </c>
    </row>
    <row r="23" spans="1:14" x14ac:dyDescent="0.25">
      <c r="A23">
        <v>21</v>
      </c>
      <c r="B23" s="1">
        <v>44286</v>
      </c>
      <c r="C23" s="140">
        <v>227.05</v>
      </c>
      <c r="D23" s="140">
        <v>321.29000000000002</v>
      </c>
      <c r="E23" s="141">
        <v>78.5</v>
      </c>
      <c r="F23" s="140">
        <v>133.48249799999999</v>
      </c>
      <c r="G23" s="141">
        <v>242.84</v>
      </c>
      <c r="I23" s="1">
        <v>44286</v>
      </c>
      <c r="J23" s="110">
        <f t="shared" si="0"/>
        <v>-1.3039477655967215E-2</v>
      </c>
      <c r="K23" s="110">
        <f t="shared" si="4"/>
        <v>-0.15086833051482829</v>
      </c>
      <c r="L23" s="110">
        <f t="shared" si="1"/>
        <v>-7.3652909574765446E-2</v>
      </c>
      <c r="M23" s="110">
        <f t="shared" si="2"/>
        <v>-2.7068421328504927E-2</v>
      </c>
      <c r="N23" s="110">
        <f t="shared" si="3"/>
        <v>-6.7701751192217621E-2</v>
      </c>
    </row>
    <row r="24" spans="1:14" x14ac:dyDescent="0.25">
      <c r="A24">
        <v>22</v>
      </c>
      <c r="B24" s="1">
        <v>44255</v>
      </c>
      <c r="C24" s="140">
        <v>230.03</v>
      </c>
      <c r="D24" s="140">
        <v>373.61</v>
      </c>
      <c r="E24" s="141">
        <v>84.5</v>
      </c>
      <c r="F24" s="140">
        <v>137.145004</v>
      </c>
      <c r="G24" s="141">
        <v>259.85000000000002</v>
      </c>
      <c r="I24" s="1">
        <v>44255</v>
      </c>
      <c r="J24" s="110">
        <f t="shared" si="0"/>
        <v>6.3116529849841091E-2</v>
      </c>
      <c r="K24" s="110">
        <f t="shared" si="4"/>
        <v>4.130463977738614E-3</v>
      </c>
      <c r="L24" s="110">
        <f t="shared" si="1"/>
        <v>-1.340092935835388E-2</v>
      </c>
      <c r="M24" s="110">
        <f t="shared" si="2"/>
        <v>5.429305764423141E-2</v>
      </c>
      <c r="N24" s="110">
        <f t="shared" si="3"/>
        <v>0.10345951652710973</v>
      </c>
    </row>
    <row r="25" spans="1:14" x14ac:dyDescent="0.25">
      <c r="A25">
        <v>23</v>
      </c>
      <c r="B25" s="1">
        <v>44227</v>
      </c>
      <c r="C25" s="140">
        <v>215.96</v>
      </c>
      <c r="D25" s="140">
        <v>372.07</v>
      </c>
      <c r="E25" s="141">
        <v>85.64</v>
      </c>
      <c r="F25" s="140">
        <v>129.89750699999999</v>
      </c>
      <c r="G25" s="141">
        <v>234.31</v>
      </c>
      <c r="I25" s="1">
        <v>44227</v>
      </c>
      <c r="J25" s="110">
        <f t="shared" si="0"/>
        <v>-7.749116267638299E-3</v>
      </c>
      <c r="K25" s="110">
        <f t="shared" si="4"/>
        <v>9.8049973907578331E-2</v>
      </c>
      <c r="L25" s="110">
        <f t="shared" si="1"/>
        <v>-6.847896084937076E-2</v>
      </c>
      <c r="M25" s="110">
        <f t="shared" si="2"/>
        <v>-5.0105863183601143E-3</v>
      </c>
      <c r="N25" s="110">
        <f t="shared" si="3"/>
        <v>4.695737637243761E-4</v>
      </c>
    </row>
    <row r="26" spans="1:14" x14ac:dyDescent="0.25">
      <c r="A26">
        <v>24</v>
      </c>
      <c r="B26" s="1">
        <v>44196</v>
      </c>
      <c r="C26" s="140">
        <v>217.64</v>
      </c>
      <c r="D26" s="140">
        <v>337.32</v>
      </c>
      <c r="E26" s="141">
        <v>91.71</v>
      </c>
      <c r="F26" s="140">
        <v>130.550003</v>
      </c>
      <c r="G26" s="141">
        <v>234.2</v>
      </c>
      <c r="I26" s="1">
        <v>44196</v>
      </c>
      <c r="J26" s="110">
        <f t="shared" si="0"/>
        <v>3.1173779572693235E-2</v>
      </c>
      <c r="K26" s="110">
        <f t="shared" si="4"/>
        <v>-0.34933155239416591</v>
      </c>
      <c r="L26" s="110">
        <f t="shared" si="1"/>
        <v>-1.0305455417649524E-2</v>
      </c>
      <c r="M26" s="110">
        <f t="shared" si="2"/>
        <v>-2.6195408397880812E-2</v>
      </c>
      <c r="N26" s="110">
        <f t="shared" si="3"/>
        <v>8.9638845638436396E-2</v>
      </c>
    </row>
    <row r="27" spans="1:14" x14ac:dyDescent="0.25">
      <c r="A27">
        <v>25</v>
      </c>
      <c r="B27" s="1">
        <v>44165</v>
      </c>
      <c r="C27" s="140">
        <v>210.96</v>
      </c>
      <c r="D27" s="140">
        <v>478.36</v>
      </c>
      <c r="E27" s="141">
        <v>92.66</v>
      </c>
      <c r="F27" s="140">
        <v>134.01499899999999</v>
      </c>
      <c r="G27" s="141">
        <v>214.12</v>
      </c>
      <c r="I27" s="1">
        <v>44165</v>
      </c>
      <c r="J27" s="110">
        <f t="shared" si="0"/>
        <v>0.30901791851676441</v>
      </c>
      <c r="K27" s="110">
        <f t="shared" si="4"/>
        <v>3.7160790929105764E-2</v>
      </c>
      <c r="L27" s="110">
        <f t="shared" si="1"/>
        <v>0.20758955612647134</v>
      </c>
      <c r="M27" s="110">
        <f t="shared" si="2"/>
        <v>6.6921713639386871E-2</v>
      </c>
      <c r="N27" s="110">
        <f t="shared" si="3"/>
        <v>0.14009125121493887</v>
      </c>
    </row>
    <row r="28" spans="1:14" x14ac:dyDescent="0.25">
      <c r="A28">
        <v>26</v>
      </c>
      <c r="B28" s="1">
        <v>44135</v>
      </c>
      <c r="C28" s="140">
        <v>154.88</v>
      </c>
      <c r="D28" s="140">
        <v>460.91</v>
      </c>
      <c r="E28" s="141">
        <v>75.290000000000006</v>
      </c>
      <c r="F28" s="140">
        <v>125.339996</v>
      </c>
      <c r="G28" s="141">
        <v>186.13</v>
      </c>
      <c r="I28" s="1">
        <v>44135</v>
      </c>
      <c r="J28" s="110">
        <f t="shared" si="0"/>
        <v>-4.8335023221647545E-2</v>
      </c>
      <c r="K28" s="110">
        <f t="shared" si="4"/>
        <v>-1.9763913702109049E-2</v>
      </c>
      <c r="L28" s="110">
        <f t="shared" si="1"/>
        <v>-8.5249964746055243E-2</v>
      </c>
      <c r="M28" s="110">
        <f t="shared" si="2"/>
        <v>-7.6501424790626729E-2</v>
      </c>
      <c r="N28" s="110">
        <f t="shared" si="3"/>
        <v>-5.6910647097634708E-2</v>
      </c>
    </row>
    <row r="29" spans="1:14" x14ac:dyDescent="0.25">
      <c r="A29">
        <v>27</v>
      </c>
      <c r="B29" s="1">
        <v>44104</v>
      </c>
      <c r="C29" s="140">
        <v>162.55000000000001</v>
      </c>
      <c r="D29" s="140">
        <v>470.11</v>
      </c>
      <c r="E29" s="141">
        <v>81.99</v>
      </c>
      <c r="F29" s="140">
        <v>135.304993</v>
      </c>
      <c r="G29" s="141">
        <v>197.03</v>
      </c>
      <c r="I29" s="1">
        <v>44104</v>
      </c>
      <c r="J29" s="110">
        <f t="shared" si="0"/>
        <v>1.8565619712708446E-2</v>
      </c>
      <c r="K29" s="110">
        <f t="shared" si="4"/>
        <v>0.36883388256375027</v>
      </c>
      <c r="L29" s="110">
        <f t="shared" si="1"/>
        <v>-0.10228223706171877</v>
      </c>
      <c r="M29" s="110">
        <f t="shared" si="2"/>
        <v>1.1596473158758039E-2</v>
      </c>
      <c r="N29" s="110">
        <f t="shared" si="3"/>
        <v>-3.5450031567475837E-2</v>
      </c>
    </row>
    <row r="30" spans="1:14" x14ac:dyDescent="0.25">
      <c r="A30">
        <v>28</v>
      </c>
      <c r="B30" s="1">
        <v>44074</v>
      </c>
      <c r="C30" s="140">
        <v>159.56</v>
      </c>
      <c r="D30" s="140">
        <v>325.10000000000002</v>
      </c>
      <c r="E30" s="141">
        <v>90.82</v>
      </c>
      <c r="F30" s="140">
        <v>133.74499499999999</v>
      </c>
      <c r="G30" s="141">
        <v>204.14</v>
      </c>
      <c r="I30" s="1">
        <v>44074</v>
      </c>
      <c r="J30" s="110">
        <f t="shared" si="0"/>
        <v>0.20604008892844847</v>
      </c>
      <c r="K30" s="110">
        <f t="shared" si="4"/>
        <v>0.24715295378994284</v>
      </c>
      <c r="L30" s="110">
        <f t="shared" si="1"/>
        <v>0.15950522327117272</v>
      </c>
      <c r="M30" s="110">
        <f t="shared" si="2"/>
        <v>0.23110533764208804</v>
      </c>
      <c r="N30" s="110">
        <f t="shared" si="3"/>
        <v>4.0334294648021851E-2</v>
      </c>
    </row>
    <row r="31" spans="1:14" x14ac:dyDescent="0.25">
      <c r="A31">
        <v>29</v>
      </c>
      <c r="B31" s="1">
        <v>44043</v>
      </c>
      <c r="C31" s="140">
        <v>129.85</v>
      </c>
      <c r="D31" s="140">
        <v>253.91</v>
      </c>
      <c r="E31" s="141">
        <v>77.430000000000007</v>
      </c>
      <c r="F31" s="140">
        <v>106.147499</v>
      </c>
      <c r="G31" s="141">
        <v>196.07</v>
      </c>
      <c r="I31" s="1">
        <v>44043</v>
      </c>
      <c r="J31" s="110">
        <f t="shared" si="0"/>
        <v>0.21299117985019164</v>
      </c>
      <c r="K31" s="110">
        <f t="shared" si="4"/>
        <v>1.4582720093363299E-3</v>
      </c>
      <c r="L31" s="110">
        <f t="shared" si="1"/>
        <v>0.38665818265496799</v>
      </c>
      <c r="M31" s="110">
        <f t="shared" si="2"/>
        <v>0.11118959490054706</v>
      </c>
      <c r="N31" s="110">
        <f t="shared" si="3"/>
        <v>0.11809547289251664</v>
      </c>
    </row>
    <row r="32" spans="1:14" x14ac:dyDescent="0.25">
      <c r="A32">
        <v>30</v>
      </c>
      <c r="B32" s="1">
        <v>44012</v>
      </c>
      <c r="C32" s="140">
        <v>104.94</v>
      </c>
      <c r="D32" s="140">
        <v>253.54</v>
      </c>
      <c r="E32" s="141">
        <v>52.6</v>
      </c>
      <c r="F32" s="140">
        <v>94.977501000000004</v>
      </c>
      <c r="G32" s="141">
        <v>174.23</v>
      </c>
      <c r="I32" s="1">
        <v>44012</v>
      </c>
      <c r="J32" s="110">
        <f t="shared" si="0"/>
        <v>0.25795243667476647</v>
      </c>
      <c r="K32" s="110">
        <f t="shared" si="4"/>
        <v>0.34545782040279799</v>
      </c>
      <c r="L32" s="110">
        <f t="shared" si="1"/>
        <v>-2.2557347424074514E-2</v>
      </c>
      <c r="M32" s="110">
        <f t="shared" si="2"/>
        <v>6.7760300976712526E-2</v>
      </c>
      <c r="N32" s="110">
        <f t="shared" si="3"/>
        <v>0.11688663446761098</v>
      </c>
    </row>
    <row r="33" spans="1:14" x14ac:dyDescent="0.25">
      <c r="A33">
        <v>31</v>
      </c>
      <c r="B33" s="1">
        <v>43982</v>
      </c>
      <c r="C33" s="140">
        <v>81.08</v>
      </c>
      <c r="D33" s="140">
        <v>179.48</v>
      </c>
      <c r="E33" s="141">
        <v>53.8</v>
      </c>
      <c r="F33" s="140">
        <v>88.754997000000003</v>
      </c>
      <c r="G33" s="141">
        <v>155.01</v>
      </c>
      <c r="I33" s="1">
        <v>43982</v>
      </c>
      <c r="J33" s="110">
        <f t="shared" si="0"/>
        <v>0.21889752173571175</v>
      </c>
      <c r="K33" s="110">
        <f t="shared" si="4"/>
        <v>0.28353053561204622</v>
      </c>
      <c r="L33" s="110">
        <f t="shared" si="1"/>
        <v>2.6557733747610272E-2</v>
      </c>
      <c r="M33" s="110">
        <f t="shared" si="2"/>
        <v>0.19446184519272755</v>
      </c>
      <c r="N33" s="110">
        <f t="shared" si="3"/>
        <v>0.23130527559478545</v>
      </c>
    </row>
    <row r="34" spans="1:14" x14ac:dyDescent="0.25">
      <c r="A34">
        <v>32</v>
      </c>
      <c r="B34" s="1">
        <v>43951</v>
      </c>
      <c r="C34" s="140">
        <v>65.14</v>
      </c>
      <c r="D34" s="140">
        <v>135.16999999999999</v>
      </c>
      <c r="E34" s="141">
        <v>52.39</v>
      </c>
      <c r="F34" s="140">
        <v>73.069999999999993</v>
      </c>
      <c r="G34" s="141">
        <v>123</v>
      </c>
      <c r="I34" s="1">
        <v>43951</v>
      </c>
      <c r="J34" s="110">
        <f t="shared" si="0"/>
        <v>0.21801396076852156</v>
      </c>
      <c r="K34" s="110">
        <f t="shared" si="4"/>
        <v>-7.7894956431345488E-2</v>
      </c>
      <c r="L34" s="110">
        <f t="shared" si="1"/>
        <v>0.14144306453779307</v>
      </c>
      <c r="M34" s="110">
        <f t="shared" si="2"/>
        <v>0.10327941394565153</v>
      </c>
      <c r="N34" s="110">
        <f t="shared" si="3"/>
        <v>0.25054817140805463</v>
      </c>
    </row>
    <row r="35" spans="1:14" x14ac:dyDescent="0.25">
      <c r="A35">
        <v>33</v>
      </c>
      <c r="B35" s="1">
        <v>43921</v>
      </c>
      <c r="C35" s="140">
        <v>52.38</v>
      </c>
      <c r="D35" s="140">
        <v>146.12</v>
      </c>
      <c r="E35" s="141">
        <v>45.48</v>
      </c>
      <c r="F35" s="140">
        <v>65.900002000000001</v>
      </c>
      <c r="G35" s="141">
        <v>95.74</v>
      </c>
      <c r="I35" s="1">
        <v>43921</v>
      </c>
      <c r="J35" s="110">
        <f t="shared" si="0"/>
        <v>-0.46428378931454956</v>
      </c>
      <c r="K35" s="110">
        <f t="shared" si="4"/>
        <v>0.33046785176955845</v>
      </c>
      <c r="L35" s="110">
        <f t="shared" si="1"/>
        <v>0</v>
      </c>
      <c r="M35" s="110">
        <f t="shared" si="2"/>
        <v>-2.4248381300343874E-2</v>
      </c>
      <c r="N35" s="110">
        <f t="shared" si="3"/>
        <v>-0.12040244628030546</v>
      </c>
    </row>
    <row r="36" spans="1:14" x14ac:dyDescent="0.25">
      <c r="A36">
        <v>34</v>
      </c>
      <c r="B36" s="1">
        <v>43889</v>
      </c>
      <c r="C36" s="140">
        <v>83.33</v>
      </c>
      <c r="D36" s="140">
        <v>105</v>
      </c>
      <c r="E36" s="141">
        <v>45.48</v>
      </c>
      <c r="F36" s="140">
        <v>67.517501999999993</v>
      </c>
      <c r="G36" s="141">
        <v>107.99</v>
      </c>
      <c r="I36" s="1">
        <v>43890</v>
      </c>
      <c r="J36" s="110">
        <f t="shared" si="0"/>
        <v>0.10946241402514009</v>
      </c>
      <c r="K36" s="110">
        <f t="shared" si="4"/>
        <v>0.31928741186711201</v>
      </c>
      <c r="L36" s="110">
        <f t="shared" si="1"/>
        <v>-3.2874932827723365E-2</v>
      </c>
      <c r="M36" s="110">
        <f t="shared" si="2"/>
        <v>0.13302906708069542</v>
      </c>
      <c r="N36" s="110">
        <f t="shared" si="3"/>
        <v>-5.3194440041591379E-2</v>
      </c>
    </row>
    <row r="37" spans="1:14" x14ac:dyDescent="0.25">
      <c r="A37">
        <v>35</v>
      </c>
      <c r="B37" s="1">
        <v>43861</v>
      </c>
      <c r="C37" s="140">
        <v>74.69</v>
      </c>
      <c r="D37" s="140">
        <v>76.3</v>
      </c>
      <c r="E37" s="141">
        <v>47</v>
      </c>
      <c r="F37" s="140">
        <v>59.107498</v>
      </c>
      <c r="G37" s="141">
        <v>113.89</v>
      </c>
      <c r="I37" s="1">
        <v>43861</v>
      </c>
      <c r="J37" s="110">
        <f t="shared" si="0"/>
        <v>0.17722011813191951</v>
      </c>
      <c r="K37" s="110">
        <f t="shared" si="4"/>
        <v>0.11457717076275026</v>
      </c>
      <c r="L37" s="110">
        <f t="shared" si="1"/>
        <v>2.4554324280300174E-2</v>
      </c>
      <c r="M37" s="110">
        <f t="shared" si="2"/>
        <v>4.790834464122054E-3</v>
      </c>
      <c r="N37" s="110">
        <f t="shared" si="3"/>
        <v>5.1529006644061445E-2</v>
      </c>
    </row>
    <row r="38" spans="1:14" x14ac:dyDescent="0.25">
      <c r="A38">
        <v>36</v>
      </c>
      <c r="B38" s="1">
        <v>43830</v>
      </c>
      <c r="C38" s="140">
        <v>62.56</v>
      </c>
      <c r="D38" s="140">
        <v>68.040000000000006</v>
      </c>
      <c r="E38" s="141">
        <v>45.86</v>
      </c>
      <c r="F38" s="140">
        <v>58.825001</v>
      </c>
      <c r="G38" s="141">
        <v>108.17</v>
      </c>
      <c r="I38" s="1">
        <v>43830</v>
      </c>
      <c r="J38" s="110">
        <f t="shared" si="0"/>
        <v>-9.9718028258744582E-2</v>
      </c>
      <c r="K38" s="110">
        <f t="shared" si="4"/>
        <v>-9.0703357857852759E-2</v>
      </c>
      <c r="L38" s="110">
        <f t="shared" si="1"/>
        <v>0.15819285499294639</v>
      </c>
      <c r="M38" s="110">
        <f t="shared" si="2"/>
        <v>8.2162815782750656E-2</v>
      </c>
      <c r="N38" s="110">
        <f t="shared" si="3"/>
        <v>1.48024821181543E-3</v>
      </c>
    </row>
    <row r="39" spans="1:14" x14ac:dyDescent="0.25">
      <c r="A39">
        <v>37</v>
      </c>
      <c r="B39" s="1">
        <v>43799</v>
      </c>
      <c r="C39" s="140">
        <v>69.12</v>
      </c>
      <c r="D39" s="140">
        <v>74.5</v>
      </c>
      <c r="E39" s="141">
        <v>39.15</v>
      </c>
      <c r="F39" s="140">
        <v>54.185001</v>
      </c>
      <c r="G39" s="141">
        <v>108.01</v>
      </c>
      <c r="I39" s="1">
        <v>43799</v>
      </c>
      <c r="J39" s="110" t="e">
        <f t="shared" si="0"/>
        <v>#DIV/0!</v>
      </c>
      <c r="K39" s="110" t="e">
        <f t="shared" ref="K39:M39" si="5">LN(D39/D40)</f>
        <v>#DIV/0!</v>
      </c>
      <c r="L39" s="110" t="e">
        <f t="shared" si="5"/>
        <v>#DIV/0!</v>
      </c>
      <c r="M39" s="110" t="e">
        <f t="shared" si="5"/>
        <v>#DIV/0!</v>
      </c>
      <c r="N39" s="110" t="e">
        <f t="shared" si="3"/>
        <v>#DIV/0!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Параметры ноты</vt:lpstr>
      <vt:lpstr>Модель</vt:lpstr>
      <vt:lpstr>Ставки</vt:lpstr>
      <vt:lpstr>Предпосылки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Ольга Владимировна Ивлева</cp:lastModifiedBy>
  <dcterms:created xsi:type="dcterms:W3CDTF">2021-07-13T07:41:24Z</dcterms:created>
  <dcterms:modified xsi:type="dcterms:W3CDTF">2023-05-29T14:44:27Z</dcterms:modified>
</cp:coreProperties>
</file>